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comments8.xml" ContentType="application/vnd.openxmlformats-officedocument.spreadsheetml.comments+xml"/>
  <Override PartName="/xl/drawings/drawing12.xml" ContentType="application/vnd.openxmlformats-officedocument.drawing+xml"/>
  <Override PartName="/xl/comments9.xml" ContentType="application/vnd.openxmlformats-officedocument.spreadsheetml.comments+xml"/>
  <Override PartName="/xl/drawings/drawing13.xml" ContentType="application/vnd.openxmlformats-officedocument.drawing+xml"/>
  <Override PartName="/xl/comments10.xml" ContentType="application/vnd.openxmlformats-officedocument.spreadsheetml.comments+xml"/>
  <Override PartName="/xl/drawings/drawing14.xml" ContentType="application/vnd.openxmlformats-officedocument.drawing+xml"/>
  <Override PartName="/xl/comments11.xml" ContentType="application/vnd.openxmlformats-officedocument.spreadsheetml.comments+xml"/>
  <Override PartName="/xl/drawings/drawing15.xml" ContentType="application/vnd.openxmlformats-officedocument.drawing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15" codeName="{00000000-0000-0000-0000-000000000000}"/>
  <workbookPr codeName="ThisWorkbook"/>
  <xr:revisionPtr revIDLastSave="0" documentId="11_803BF42DEBAF2F606EC6485BA7C974150D9B3600" xr6:coauthVersionLast="47" xr6:coauthVersionMax="47" xr10:uidLastSave="{00000000-0000-0000-0000-000000000000}"/>
  <bookViews>
    <workbookView xWindow="9075" yWindow="120" windowWidth="15570" windowHeight="11640" tabRatio="815" firstSheet="4" activeTab="4" xr2:uid="{00000000-000D-0000-FFFF-FFFF00000000}"/>
  </bookViews>
  <sheets>
    <sheet name="Nøgler GL" sheetId="1" r:id="rId1"/>
    <sheet name="Nøgler m. lønkode" sheetId="2" r:id="rId2"/>
    <sheet name="Nøgler januar 2000" sheetId="3" r:id="rId3"/>
    <sheet name="Nøgler januar 2000 (2)" sheetId="61" r:id="rId4"/>
    <sheet name="Maj 2014" sheetId="66" r:id="rId5"/>
    <sheet name="Juni 2014" sheetId="63" r:id="rId6"/>
    <sheet name="Juli 2014" sheetId="65" r:id="rId7"/>
    <sheet name="August 2014" sheetId="64" r:id="rId8"/>
    <sheet name="September 2014" sheetId="62" r:id="rId9"/>
    <sheet name="Oktober 2014" sheetId="67" r:id="rId10"/>
    <sheet name="November 2014" sheetId="69" r:id="rId11"/>
    <sheet name="December 2014" sheetId="70" r:id="rId12"/>
    <sheet name="Januar 2015" sheetId="72" r:id="rId13"/>
    <sheet name="Februar 2015" sheetId="71" r:id="rId14"/>
    <sheet name="Marts 2015" sheetId="68" r:id="rId15"/>
    <sheet name="April 2015" sheetId="50" r:id="rId16"/>
    <sheet name="Prisliste 2014" sheetId="16" r:id="rId17"/>
    <sheet name="MUS 2014" sheetId="17" r:id="rId18"/>
    <sheet name="Balanced 2010" sheetId="22" r:id="rId19"/>
    <sheet name="HVEM KAN HVAD" sheetId="24" r:id="rId20"/>
    <sheet name="Ark1" sheetId="58" r:id="rId21"/>
    <sheet name="Ark2" sheetId="59" r:id="rId22"/>
    <sheet name="Ark3" sheetId="73" r:id="rId23"/>
  </sheets>
  <definedNames>
    <definedName name="_xlnm.Print_Area" localSheetId="2">'Nøgler januar 2000'!$A$1:$W$229</definedName>
    <definedName name="_xlnm.Print_Area" localSheetId="3">'Nøgler januar 2000 (2)'!$A$1:$W$229</definedName>
    <definedName name="_xlnm.Print_Area" localSheetId="1">'Nøgler m. lønkode'!$A$1:$J$302</definedName>
    <definedName name="_xlnm.Print_Titles" localSheetId="15">'April 2015'!$1:$3</definedName>
    <definedName name="_xlnm.Print_Titles" localSheetId="7">'August 2014'!$1:$3</definedName>
    <definedName name="_xlnm.Print_Titles" localSheetId="18">'Balanced 2010'!$1:$1</definedName>
    <definedName name="_xlnm.Print_Titles" localSheetId="11">'December 2014'!$1:$3</definedName>
    <definedName name="_xlnm.Print_Titles" localSheetId="13">'Februar 2015'!$1:$3</definedName>
    <definedName name="_xlnm.Print_Titles" localSheetId="12">'Januar 2015'!$1:$3</definedName>
    <definedName name="_xlnm.Print_Titles" localSheetId="6">'Juli 2014'!$1:$3</definedName>
    <definedName name="_xlnm.Print_Titles" localSheetId="5">'Juni 2014'!$1:$3</definedName>
    <definedName name="_xlnm.Print_Titles" localSheetId="4">'Maj 2014'!$1:$3</definedName>
    <definedName name="_xlnm.Print_Titles" localSheetId="14">'Marts 2015'!$1:$3</definedName>
    <definedName name="_xlnm.Print_Titles" localSheetId="10">'November 2014'!$1:$3</definedName>
    <definedName name="_xlnm.Print_Titles" localSheetId="9">'Oktober 2014'!$1:$3</definedName>
    <definedName name="_xlnm.Print_Titles" localSheetId="8">'September 2014'!$1:$3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65" i="61" l="1"/>
  <c r="G265" i="61"/>
  <c r="F265" i="61"/>
  <c r="E265" i="61"/>
  <c r="D265" i="61"/>
  <c r="C265" i="61"/>
  <c r="B265" i="61"/>
  <c r="I264" i="61"/>
  <c r="I262" i="61"/>
  <c r="I260" i="61"/>
  <c r="I258" i="61"/>
  <c r="I256" i="61"/>
  <c r="I254" i="61"/>
  <c r="I252" i="61"/>
  <c r="I250" i="61"/>
  <c r="I248" i="61"/>
  <c r="I246" i="61"/>
  <c r="I244" i="61"/>
  <c r="I242" i="61"/>
  <c r="I240" i="61"/>
  <c r="I238" i="61"/>
  <c r="I236" i="61"/>
  <c r="I265" i="61"/>
  <c r="G267" i="61"/>
  <c r="H267" i="61"/>
  <c r="I267" i="61"/>
  <c r="I225" i="61"/>
  <c r="I223" i="61"/>
  <c r="I224" i="61"/>
  <c r="I226" i="61"/>
  <c r="H214" i="61"/>
  <c r="G214" i="61"/>
  <c r="F214" i="61"/>
  <c r="E214" i="61"/>
  <c r="D214" i="61"/>
  <c r="C214" i="61"/>
  <c r="B214" i="61"/>
  <c r="I213" i="61"/>
  <c r="I211" i="61"/>
  <c r="I209" i="61"/>
  <c r="I214" i="61"/>
  <c r="G216" i="61"/>
  <c r="H216" i="61"/>
  <c r="I216" i="61"/>
  <c r="H203" i="61"/>
  <c r="G203" i="61"/>
  <c r="F203" i="61"/>
  <c r="E203" i="61"/>
  <c r="D203" i="61"/>
  <c r="C203" i="61"/>
  <c r="B203" i="61"/>
  <c r="I202" i="61"/>
  <c r="I200" i="61"/>
  <c r="I198" i="61"/>
  <c r="I196" i="61"/>
  <c r="I194" i="61"/>
  <c r="N192" i="61"/>
  <c r="I192" i="61"/>
  <c r="N191" i="61"/>
  <c r="I190" i="61"/>
  <c r="I203" i="61"/>
  <c r="S187" i="61"/>
  <c r="H182" i="61"/>
  <c r="G182" i="61"/>
  <c r="F182" i="61"/>
  <c r="E182" i="61"/>
  <c r="D182" i="61"/>
  <c r="C182" i="61"/>
  <c r="B182" i="61"/>
  <c r="I181" i="61"/>
  <c r="I175" i="61"/>
  <c r="N172" i="61"/>
  <c r="N173" i="61"/>
  <c r="I173" i="61"/>
  <c r="N171" i="61"/>
  <c r="I171" i="61"/>
  <c r="N170" i="61"/>
  <c r="I169" i="61"/>
  <c r="I182" i="61"/>
  <c r="S166" i="61"/>
  <c r="H162" i="61"/>
  <c r="G162" i="61"/>
  <c r="F162" i="61"/>
  <c r="E162" i="61"/>
  <c r="D162" i="61"/>
  <c r="C162" i="61"/>
  <c r="B162" i="61"/>
  <c r="I161" i="61"/>
  <c r="I159" i="61"/>
  <c r="I157" i="61"/>
  <c r="I155" i="61"/>
  <c r="I153" i="61"/>
  <c r="I151" i="61"/>
  <c r="I162" i="61"/>
  <c r="G164" i="61"/>
  <c r="H164" i="61"/>
  <c r="I164" i="61"/>
  <c r="H144" i="61"/>
  <c r="G144" i="61"/>
  <c r="F144" i="61"/>
  <c r="E144" i="61"/>
  <c r="D144" i="61"/>
  <c r="C144" i="61"/>
  <c r="B144" i="61"/>
  <c r="I143" i="61"/>
  <c r="N142" i="61"/>
  <c r="I141" i="61"/>
  <c r="I139" i="61"/>
  <c r="I144" i="61"/>
  <c r="G146" i="61"/>
  <c r="H146" i="61"/>
  <c r="I146" i="61"/>
  <c r="H132" i="61"/>
  <c r="G132" i="61"/>
  <c r="F132" i="61"/>
  <c r="E132" i="61"/>
  <c r="D132" i="61"/>
  <c r="C132" i="61"/>
  <c r="B132" i="61"/>
  <c r="I131" i="61"/>
  <c r="I129" i="61"/>
  <c r="I132" i="61"/>
  <c r="G134" i="61"/>
  <c r="H134" i="61"/>
  <c r="I134" i="61"/>
  <c r="Q129" i="61"/>
  <c r="O131" i="61"/>
  <c r="Q131" i="61"/>
  <c r="S127" i="61"/>
  <c r="I123" i="61"/>
  <c r="G125" i="61"/>
  <c r="H125" i="61"/>
  <c r="I125" i="61"/>
  <c r="I117" i="61"/>
  <c r="I114" i="61"/>
  <c r="G119" i="61"/>
  <c r="H119" i="61"/>
  <c r="I119" i="61"/>
  <c r="H107" i="61"/>
  <c r="G107" i="61"/>
  <c r="F107" i="61"/>
  <c r="E107" i="61"/>
  <c r="D107" i="61"/>
  <c r="C107" i="61"/>
  <c r="B107" i="61"/>
  <c r="I106" i="61"/>
  <c r="I104" i="61"/>
  <c r="I102" i="61"/>
  <c r="I100" i="61"/>
  <c r="I98" i="61"/>
  <c r="I96" i="61"/>
  <c r="I94" i="61"/>
  <c r="I92" i="61"/>
  <c r="I90" i="61"/>
  <c r="I88" i="61"/>
  <c r="I86" i="61"/>
  <c r="I84" i="61"/>
  <c r="I82" i="61"/>
  <c r="I80" i="61"/>
  <c r="I78" i="61"/>
  <c r="I107" i="61"/>
  <c r="G109" i="61"/>
  <c r="H109" i="61"/>
  <c r="I109" i="61"/>
  <c r="H70" i="61"/>
  <c r="G70" i="61"/>
  <c r="F70" i="61"/>
  <c r="E70" i="61"/>
  <c r="D70" i="61"/>
  <c r="C70" i="61"/>
  <c r="B70" i="61"/>
  <c r="I69" i="61"/>
  <c r="I67" i="61"/>
  <c r="M66" i="61"/>
  <c r="I65" i="61"/>
  <c r="I63" i="61"/>
  <c r="N54" i="61"/>
  <c r="I61" i="61"/>
  <c r="I59" i="61"/>
  <c r="I57" i="61"/>
  <c r="I55" i="61"/>
  <c r="N53" i="61"/>
  <c r="I53" i="61"/>
  <c r="I51" i="61"/>
  <c r="N52" i="61"/>
  <c r="N50" i="61"/>
  <c r="N49" i="61"/>
  <c r="I49" i="61"/>
  <c r="N48" i="61"/>
  <c r="N47" i="61"/>
  <c r="I47" i="61"/>
  <c r="I45" i="61"/>
  <c r="N51" i="61"/>
  <c r="N44" i="61"/>
  <c r="N43" i="61"/>
  <c r="I43" i="61"/>
  <c r="N46" i="61"/>
  <c r="N42" i="61"/>
  <c r="I41" i="61"/>
  <c r="I70" i="61"/>
  <c r="H34" i="61"/>
  <c r="G34" i="61"/>
  <c r="F34" i="61"/>
  <c r="E34" i="61"/>
  <c r="D34" i="61"/>
  <c r="C34" i="61"/>
  <c r="B34" i="61"/>
  <c r="M33" i="61"/>
  <c r="I33" i="61"/>
  <c r="I31" i="61"/>
  <c r="I29" i="61"/>
  <c r="I34" i="61"/>
  <c r="H25" i="61"/>
  <c r="H220" i="61"/>
  <c r="H221" i="61"/>
  <c r="G25" i="61"/>
  <c r="G220" i="61"/>
  <c r="G221" i="61"/>
  <c r="F25" i="61"/>
  <c r="F220" i="61"/>
  <c r="F221" i="61"/>
  <c r="E25" i="61"/>
  <c r="E220" i="61"/>
  <c r="E221" i="61"/>
  <c r="D25" i="61"/>
  <c r="D220" i="61"/>
  <c r="D221" i="61"/>
  <c r="C25" i="61"/>
  <c r="C220" i="61"/>
  <c r="C221" i="61"/>
  <c r="B25" i="61"/>
  <c r="B220" i="61"/>
  <c r="B221" i="61"/>
  <c r="I24" i="61"/>
  <c r="N20" i="61"/>
  <c r="I22" i="61"/>
  <c r="I20" i="61"/>
  <c r="N18" i="61"/>
  <c r="I18" i="61"/>
  <c r="I16" i="61"/>
  <c r="N16" i="61"/>
  <c r="I14" i="61"/>
  <c r="I25" i="61"/>
  <c r="I8" i="61"/>
  <c r="I4" i="61"/>
  <c r="M35" i="61"/>
  <c r="G36" i="61"/>
  <c r="H36" i="61"/>
  <c r="I36" i="61"/>
  <c r="G72" i="61"/>
  <c r="H72" i="61"/>
  <c r="I72" i="61"/>
  <c r="M68" i="61"/>
  <c r="P182" i="61"/>
  <c r="G184" i="61"/>
  <c r="H184" i="61"/>
  <c r="I184" i="61"/>
  <c r="P203" i="61"/>
  <c r="G205" i="61"/>
  <c r="H205" i="61"/>
  <c r="I205" i="61"/>
  <c r="I220" i="61"/>
  <c r="I221" i="61"/>
  <c r="G10" i="61"/>
  <c r="H10" i="61"/>
  <c r="I10" i="61"/>
  <c r="N15" i="61"/>
  <c r="N21" i="61"/>
  <c r="N41" i="61"/>
  <c r="N56" i="61"/>
  <c r="O60" i="61"/>
  <c r="M62" i="61"/>
  <c r="P62" i="61"/>
  <c r="N130" i="61"/>
  <c r="N169" i="61"/>
  <c r="N174" i="61"/>
  <c r="Q168" i="61"/>
  <c r="O170" i="61"/>
  <c r="Q170" i="61"/>
  <c r="O172" i="61"/>
  <c r="S172" i="61"/>
  <c r="S174" i="61"/>
  <c r="S182" i="61"/>
  <c r="N190" i="61"/>
  <c r="N195" i="61"/>
  <c r="Q189" i="61"/>
  <c r="O191" i="61"/>
  <c r="Q191" i="61"/>
  <c r="O193" i="61"/>
  <c r="S193" i="61"/>
  <c r="S195" i="61"/>
  <c r="S203" i="61"/>
  <c r="P27" i="61"/>
  <c r="O25" i="61"/>
  <c r="M27" i="61"/>
  <c r="J222" i="61"/>
  <c r="I229" i="61"/>
  <c r="U203" i="61"/>
  <c r="U182" i="61"/>
  <c r="P64" i="61"/>
  <c r="P66" i="61"/>
  <c r="R66" i="61"/>
  <c r="O68" i="61"/>
  <c r="M64" i="61"/>
  <c r="P68" i="61"/>
  <c r="P29" i="61"/>
  <c r="P33" i="61"/>
  <c r="R33" i="61"/>
  <c r="O35" i="61"/>
  <c r="P35" i="61"/>
  <c r="M29" i="61"/>
  <c r="I4" i="1"/>
  <c r="I9" i="1"/>
  <c r="I11" i="1"/>
  <c r="I13" i="1"/>
  <c r="I15" i="1"/>
  <c r="I17" i="1"/>
  <c r="I19" i="1"/>
  <c r="B20" i="1"/>
  <c r="C20" i="1"/>
  <c r="D20" i="1"/>
  <c r="E20" i="1"/>
  <c r="F20" i="1"/>
  <c r="G20" i="1"/>
  <c r="H20" i="1"/>
  <c r="I25" i="1"/>
  <c r="I27" i="1"/>
  <c r="I29" i="1"/>
  <c r="B30" i="1"/>
  <c r="C30" i="1"/>
  <c r="D30" i="1"/>
  <c r="E30" i="1"/>
  <c r="F30" i="1"/>
  <c r="G30" i="1"/>
  <c r="H30" i="1"/>
  <c r="I36" i="1"/>
  <c r="I38" i="1"/>
  <c r="I40" i="1"/>
  <c r="I42" i="1"/>
  <c r="I44" i="1"/>
  <c r="I46" i="1"/>
  <c r="I48" i="1"/>
  <c r="I50" i="1"/>
  <c r="I52" i="1"/>
  <c r="I54" i="1"/>
  <c r="I56" i="1"/>
  <c r="I58" i="1"/>
  <c r="I60" i="1"/>
  <c r="I62" i="1"/>
  <c r="I64" i="1"/>
  <c r="B65" i="1"/>
  <c r="C65" i="1"/>
  <c r="D65" i="1"/>
  <c r="E65" i="1"/>
  <c r="F65" i="1"/>
  <c r="G65" i="1"/>
  <c r="H65" i="1"/>
  <c r="I69" i="1"/>
  <c r="I71" i="1"/>
  <c r="I73" i="1"/>
  <c r="B74" i="1"/>
  <c r="C74" i="1"/>
  <c r="D74" i="1"/>
  <c r="E74" i="1"/>
  <c r="F74" i="1"/>
  <c r="G74" i="1"/>
  <c r="H74" i="1"/>
  <c r="I78" i="1"/>
  <c r="I80" i="1"/>
  <c r="I82" i="1"/>
  <c r="I84" i="1"/>
  <c r="I86" i="1"/>
  <c r="I88" i="1"/>
  <c r="B89" i="1"/>
  <c r="C89" i="1"/>
  <c r="D89" i="1"/>
  <c r="E89" i="1"/>
  <c r="F89" i="1"/>
  <c r="G89" i="1"/>
  <c r="H89" i="1"/>
  <c r="I93" i="1"/>
  <c r="I95" i="1"/>
  <c r="I97" i="1"/>
  <c r="B98" i="1"/>
  <c r="C98" i="1"/>
  <c r="D98" i="1"/>
  <c r="E98" i="1"/>
  <c r="F98" i="1"/>
  <c r="G98" i="1"/>
  <c r="H98" i="1"/>
  <c r="I102" i="1"/>
  <c r="I107" i="1"/>
  <c r="I112" i="1"/>
  <c r="I114" i="1"/>
  <c r="I116" i="1"/>
  <c r="B117" i="1"/>
  <c r="C117" i="1"/>
  <c r="D117" i="1"/>
  <c r="E117" i="1"/>
  <c r="F117" i="1"/>
  <c r="G117" i="1"/>
  <c r="H117" i="1"/>
  <c r="I122" i="1"/>
  <c r="I127" i="1"/>
  <c r="I135" i="1"/>
  <c r="I137" i="1"/>
  <c r="I139" i="1"/>
  <c r="I141" i="1"/>
  <c r="I143" i="1"/>
  <c r="B144" i="1"/>
  <c r="C144" i="1"/>
  <c r="D144" i="1"/>
  <c r="E144" i="1"/>
  <c r="F144" i="1"/>
  <c r="G144" i="1"/>
  <c r="H144" i="1"/>
  <c r="I153" i="1"/>
  <c r="I154" i="1"/>
  <c r="I155" i="1"/>
  <c r="I4" i="3"/>
  <c r="I8" i="3"/>
  <c r="I14" i="3"/>
  <c r="N15" i="3"/>
  <c r="I16" i="3"/>
  <c r="N16" i="3"/>
  <c r="I18" i="3"/>
  <c r="I20" i="3"/>
  <c r="N18" i="3"/>
  <c r="I24" i="3"/>
  <c r="N20" i="3"/>
  <c r="I22" i="3"/>
  <c r="B25" i="3"/>
  <c r="C25" i="3"/>
  <c r="D25" i="3"/>
  <c r="E25" i="3"/>
  <c r="F25" i="3"/>
  <c r="G25" i="3"/>
  <c r="H25" i="3"/>
  <c r="I29" i="3"/>
  <c r="I31" i="3"/>
  <c r="I33" i="3"/>
  <c r="M33" i="3"/>
  <c r="B34" i="3"/>
  <c r="C34" i="3"/>
  <c r="D34" i="3"/>
  <c r="E34" i="3"/>
  <c r="F34" i="3"/>
  <c r="G34" i="3"/>
  <c r="H34" i="3"/>
  <c r="I41" i="3"/>
  <c r="N41" i="3"/>
  <c r="I47" i="3"/>
  <c r="N42" i="3"/>
  <c r="I43" i="3"/>
  <c r="N46" i="3"/>
  <c r="I53" i="3"/>
  <c r="N43" i="3"/>
  <c r="I59" i="3"/>
  <c r="N44" i="3"/>
  <c r="I45" i="3"/>
  <c r="N51" i="3"/>
  <c r="I49" i="3"/>
  <c r="N47" i="3"/>
  <c r="I55" i="3"/>
  <c r="N48" i="3"/>
  <c r="I61" i="3"/>
  <c r="N49" i="3"/>
  <c r="I67" i="3"/>
  <c r="N50" i="3"/>
  <c r="I51" i="3"/>
  <c r="N52" i="3"/>
  <c r="I57" i="3"/>
  <c r="N53" i="3"/>
  <c r="I63" i="3"/>
  <c r="N54" i="3"/>
  <c r="I65" i="3"/>
  <c r="M66" i="3"/>
  <c r="I69" i="3"/>
  <c r="B70" i="3"/>
  <c r="C70" i="3"/>
  <c r="D70" i="3"/>
  <c r="E70" i="3"/>
  <c r="F70" i="3"/>
  <c r="G70" i="3"/>
  <c r="H70" i="3"/>
  <c r="I78" i="3"/>
  <c r="I80" i="3"/>
  <c r="I82" i="3"/>
  <c r="I84" i="3"/>
  <c r="I86" i="3"/>
  <c r="I88" i="3"/>
  <c r="I90" i="3"/>
  <c r="I92" i="3"/>
  <c r="I94" i="3"/>
  <c r="I96" i="3"/>
  <c r="I98" i="3"/>
  <c r="I100" i="3"/>
  <c r="I102" i="3"/>
  <c r="I104" i="3"/>
  <c r="I106" i="3"/>
  <c r="B107" i="3"/>
  <c r="C107" i="3"/>
  <c r="D107" i="3"/>
  <c r="E107" i="3"/>
  <c r="F107" i="3"/>
  <c r="G107" i="3"/>
  <c r="H107" i="3"/>
  <c r="I114" i="3"/>
  <c r="I117" i="3"/>
  <c r="I123" i="3"/>
  <c r="G125" i="3"/>
  <c r="H125" i="3"/>
  <c r="I125" i="3"/>
  <c r="S127" i="3"/>
  <c r="I129" i="3"/>
  <c r="I131" i="3"/>
  <c r="N130" i="3"/>
  <c r="B132" i="3"/>
  <c r="C132" i="3"/>
  <c r="D132" i="3"/>
  <c r="E132" i="3"/>
  <c r="F132" i="3"/>
  <c r="G132" i="3"/>
  <c r="H132" i="3"/>
  <c r="I139" i="3"/>
  <c r="I141" i="3"/>
  <c r="N142" i="3"/>
  <c r="I143" i="3"/>
  <c r="B144" i="3"/>
  <c r="C144" i="3"/>
  <c r="D144" i="3"/>
  <c r="E144" i="3"/>
  <c r="F144" i="3"/>
  <c r="G144" i="3"/>
  <c r="H144" i="3"/>
  <c r="I151" i="3"/>
  <c r="I153" i="3"/>
  <c r="I155" i="3"/>
  <c r="I157" i="3"/>
  <c r="I159" i="3"/>
  <c r="I161" i="3"/>
  <c r="B162" i="3"/>
  <c r="C162" i="3"/>
  <c r="D162" i="3"/>
  <c r="E162" i="3"/>
  <c r="F162" i="3"/>
  <c r="G162" i="3"/>
  <c r="H162" i="3"/>
  <c r="S166" i="3"/>
  <c r="I171" i="3"/>
  <c r="I173" i="3"/>
  <c r="N171" i="3"/>
  <c r="N173" i="3"/>
  <c r="I181" i="3"/>
  <c r="B182" i="3"/>
  <c r="C182" i="3"/>
  <c r="D182" i="3"/>
  <c r="E182" i="3"/>
  <c r="F182" i="3"/>
  <c r="G182" i="3"/>
  <c r="H182" i="3"/>
  <c r="S187" i="3"/>
  <c r="I190" i="3"/>
  <c r="N190" i="3"/>
  <c r="I192" i="3"/>
  <c r="N191" i="3"/>
  <c r="I194" i="3"/>
  <c r="N192" i="3"/>
  <c r="I196" i="3"/>
  <c r="I198" i="3"/>
  <c r="I200" i="3"/>
  <c r="I202" i="3"/>
  <c r="B203" i="3"/>
  <c r="C203" i="3"/>
  <c r="D203" i="3"/>
  <c r="E203" i="3"/>
  <c r="F203" i="3"/>
  <c r="G203" i="3"/>
  <c r="H203" i="3"/>
  <c r="I209" i="3"/>
  <c r="I211" i="3"/>
  <c r="I213" i="3"/>
  <c r="B214" i="3"/>
  <c r="C214" i="3"/>
  <c r="D214" i="3"/>
  <c r="E214" i="3"/>
  <c r="F214" i="3"/>
  <c r="G214" i="3"/>
  <c r="H214" i="3"/>
  <c r="I223" i="3"/>
  <c r="I224" i="3"/>
  <c r="I225" i="3"/>
  <c r="I236" i="3"/>
  <c r="I238" i="3"/>
  <c r="I240" i="3"/>
  <c r="I242" i="3"/>
  <c r="I244" i="3"/>
  <c r="I246" i="3"/>
  <c r="I248" i="3"/>
  <c r="I250" i="3"/>
  <c r="I252" i="3"/>
  <c r="I254" i="3"/>
  <c r="I256" i="3"/>
  <c r="I258" i="3"/>
  <c r="I260" i="3"/>
  <c r="I262" i="3"/>
  <c r="I264" i="3"/>
  <c r="B265" i="3"/>
  <c r="C265" i="3"/>
  <c r="D265" i="3"/>
  <c r="E265" i="3"/>
  <c r="F265" i="3"/>
  <c r="G265" i="3"/>
  <c r="H265" i="3"/>
  <c r="I4" i="2"/>
  <c r="G7" i="2"/>
  <c r="H7" i="2"/>
  <c r="I7" i="2"/>
  <c r="I11" i="2"/>
  <c r="G14" i="2"/>
  <c r="H14" i="2"/>
  <c r="I14" i="2"/>
  <c r="I36" i="2"/>
  <c r="I39" i="2"/>
  <c r="I42" i="2"/>
  <c r="I45" i="2"/>
  <c r="I48" i="2"/>
  <c r="I51" i="2"/>
  <c r="B53" i="2"/>
  <c r="C53" i="2"/>
  <c r="D53" i="2"/>
  <c r="E53" i="2"/>
  <c r="F53" i="2"/>
  <c r="G53" i="2"/>
  <c r="H53" i="2"/>
  <c r="I57" i="2"/>
  <c r="I60" i="2"/>
  <c r="I63" i="2"/>
  <c r="B65" i="2"/>
  <c r="C65" i="2"/>
  <c r="D65" i="2"/>
  <c r="E65" i="2"/>
  <c r="F65" i="2"/>
  <c r="G65" i="2"/>
  <c r="H65" i="2"/>
  <c r="I73" i="2"/>
  <c r="I76" i="2"/>
  <c r="I79" i="2"/>
  <c r="I82" i="2"/>
  <c r="I85" i="2"/>
  <c r="I88" i="2"/>
  <c r="I91" i="2"/>
  <c r="I94" i="2"/>
  <c r="I97" i="2"/>
  <c r="I100" i="2"/>
  <c r="I103" i="2"/>
  <c r="I106" i="2"/>
  <c r="I109" i="2"/>
  <c r="I112" i="2"/>
  <c r="I115" i="2"/>
  <c r="B116" i="2"/>
  <c r="C116" i="2"/>
  <c r="D116" i="2"/>
  <c r="E116" i="2"/>
  <c r="F116" i="2"/>
  <c r="G116" i="2"/>
  <c r="H116" i="2"/>
  <c r="I157" i="2"/>
  <c r="I162" i="2"/>
  <c r="B163" i="2"/>
  <c r="C163" i="2"/>
  <c r="D163" i="2"/>
  <c r="E163" i="2"/>
  <c r="F163" i="2"/>
  <c r="I169" i="2"/>
  <c r="G172" i="2"/>
  <c r="H172" i="2"/>
  <c r="I172" i="2"/>
  <c r="I184" i="2"/>
  <c r="I187" i="2"/>
  <c r="B189" i="2"/>
  <c r="C189" i="2"/>
  <c r="D189" i="2"/>
  <c r="E189" i="2"/>
  <c r="F189" i="2"/>
  <c r="G189" i="2"/>
  <c r="H189" i="2"/>
  <c r="I196" i="2"/>
  <c r="I199" i="2"/>
  <c r="I202" i="2"/>
  <c r="B204" i="2"/>
  <c r="C204" i="2"/>
  <c r="D204" i="2"/>
  <c r="E204" i="2"/>
  <c r="F204" i="2"/>
  <c r="G204" i="2"/>
  <c r="H204" i="2"/>
  <c r="I221" i="2"/>
  <c r="I224" i="2"/>
  <c r="I227" i="2"/>
  <c r="I230" i="2"/>
  <c r="I233" i="2"/>
  <c r="I236" i="2"/>
  <c r="B238" i="2"/>
  <c r="C238" i="2"/>
  <c r="D238" i="2"/>
  <c r="E238" i="2"/>
  <c r="F238" i="2"/>
  <c r="G238" i="2"/>
  <c r="H238" i="2"/>
  <c r="B247" i="2"/>
  <c r="C247" i="2"/>
  <c r="D247" i="2"/>
  <c r="E247" i="2"/>
  <c r="F247" i="2"/>
  <c r="G247" i="2"/>
  <c r="H247" i="2"/>
  <c r="G249" i="2"/>
  <c r="H249" i="2"/>
  <c r="I249" i="2"/>
  <c r="I257" i="2"/>
  <c r="I260" i="2"/>
  <c r="I263" i="2"/>
  <c r="I266" i="2"/>
  <c r="I269" i="2"/>
  <c r="I272" i="2"/>
  <c r="I275" i="2"/>
  <c r="B277" i="2"/>
  <c r="C277" i="2"/>
  <c r="D277" i="2"/>
  <c r="E277" i="2"/>
  <c r="F277" i="2"/>
  <c r="G277" i="2"/>
  <c r="H277" i="2"/>
  <c r="I291" i="2"/>
  <c r="I292" i="2"/>
  <c r="I293" i="2"/>
  <c r="C287" i="2"/>
  <c r="C288" i="2"/>
  <c r="I214" i="3"/>
  <c r="G216" i="3"/>
  <c r="H216" i="3"/>
  <c r="I216" i="3"/>
  <c r="C148" i="1"/>
  <c r="I132" i="3"/>
  <c r="G134" i="3"/>
  <c r="H134" i="3"/>
  <c r="I134" i="3"/>
  <c r="G220" i="3"/>
  <c r="G221" i="3"/>
  <c r="H148" i="1"/>
  <c r="I277" i="2"/>
  <c r="G279" i="2"/>
  <c r="H279" i="2"/>
  <c r="I279" i="2"/>
  <c r="I265" i="3"/>
  <c r="G267" i="3"/>
  <c r="H267" i="3"/>
  <c r="I267" i="3"/>
  <c r="I107" i="3"/>
  <c r="G109" i="3"/>
  <c r="H109" i="3"/>
  <c r="I109" i="3"/>
  <c r="N56" i="3"/>
  <c r="O60" i="3"/>
  <c r="M62" i="3"/>
  <c r="P62" i="3"/>
  <c r="M64" i="3"/>
  <c r="I144" i="1"/>
  <c r="G148" i="1"/>
  <c r="E149" i="1"/>
  <c r="I65" i="1"/>
  <c r="D148" i="1"/>
  <c r="I20" i="1"/>
  <c r="Q129" i="3"/>
  <c r="O131" i="3"/>
  <c r="Q131" i="3"/>
  <c r="I70" i="3"/>
  <c r="E287" i="2"/>
  <c r="E288" i="2"/>
  <c r="I163" i="2"/>
  <c r="G165" i="2"/>
  <c r="H165" i="2"/>
  <c r="I165" i="2"/>
  <c r="I116" i="2"/>
  <c r="G118" i="2"/>
  <c r="H118" i="2"/>
  <c r="I118" i="2"/>
  <c r="I162" i="3"/>
  <c r="G164" i="3"/>
  <c r="H164" i="3"/>
  <c r="I164" i="3"/>
  <c r="I34" i="3"/>
  <c r="E220" i="3"/>
  <c r="E221" i="3"/>
  <c r="C220" i="3"/>
  <c r="C221" i="3"/>
  <c r="I25" i="3"/>
  <c r="M35" i="3"/>
  <c r="F148" i="1"/>
  <c r="B148" i="1"/>
  <c r="I74" i="1"/>
  <c r="I30" i="1"/>
  <c r="I203" i="3"/>
  <c r="I189" i="2"/>
  <c r="G191" i="2"/>
  <c r="H191" i="2"/>
  <c r="I191" i="2"/>
  <c r="I65" i="2"/>
  <c r="G10" i="3"/>
  <c r="H10" i="3"/>
  <c r="I10" i="3"/>
  <c r="G119" i="3"/>
  <c r="H119" i="3"/>
  <c r="I119" i="3"/>
  <c r="I156" i="1"/>
  <c r="I294" i="2"/>
  <c r="N21" i="3"/>
  <c r="O25" i="3"/>
  <c r="M27" i="3"/>
  <c r="I117" i="1"/>
  <c r="N195" i="3"/>
  <c r="Q189" i="3"/>
  <c r="O191" i="3"/>
  <c r="Q191" i="3"/>
  <c r="O193" i="3"/>
  <c r="S193" i="3"/>
  <c r="S195" i="3"/>
  <c r="S203" i="3"/>
  <c r="I182" i="3"/>
  <c r="I144" i="3"/>
  <c r="D149" i="1"/>
  <c r="D150" i="1"/>
  <c r="H149" i="1"/>
  <c r="H150" i="1"/>
  <c r="C149" i="1"/>
  <c r="G149" i="1"/>
  <c r="G150" i="1"/>
  <c r="F149" i="1"/>
  <c r="B149" i="1"/>
  <c r="G287" i="2"/>
  <c r="G288" i="2"/>
  <c r="B287" i="2"/>
  <c r="B288" i="2"/>
  <c r="I53" i="2"/>
  <c r="I226" i="3"/>
  <c r="H220" i="3"/>
  <c r="H221" i="3"/>
  <c r="F220" i="3"/>
  <c r="F221" i="3"/>
  <c r="D220" i="3"/>
  <c r="D221" i="3"/>
  <c r="B220" i="3"/>
  <c r="B221" i="3"/>
  <c r="I89" i="1"/>
  <c r="I238" i="2"/>
  <c r="G240" i="2"/>
  <c r="H240" i="2"/>
  <c r="I240" i="2"/>
  <c r="I204" i="2"/>
  <c r="G206" i="2"/>
  <c r="H206" i="2"/>
  <c r="I206" i="2"/>
  <c r="H287" i="2"/>
  <c r="H288" i="2"/>
  <c r="F287" i="2"/>
  <c r="F288" i="2"/>
  <c r="D287" i="2"/>
  <c r="D288" i="2"/>
  <c r="N174" i="3"/>
  <c r="Q168" i="3"/>
  <c r="O170" i="3"/>
  <c r="Q170" i="3"/>
  <c r="O172" i="3"/>
  <c r="S172" i="3"/>
  <c r="S174" i="3"/>
  <c r="S182" i="3"/>
  <c r="I98" i="1"/>
  <c r="E148" i="1"/>
  <c r="E150" i="1"/>
  <c r="G36" i="3"/>
  <c r="H36" i="3"/>
  <c r="I36" i="3"/>
  <c r="F150" i="1"/>
  <c r="C150" i="1"/>
  <c r="P27" i="3"/>
  <c r="M29" i="3"/>
  <c r="P64" i="3"/>
  <c r="P66" i="3"/>
  <c r="R66" i="3"/>
  <c r="O68" i="3"/>
  <c r="G72" i="3"/>
  <c r="H72" i="3"/>
  <c r="I72" i="3"/>
  <c r="M68" i="3"/>
  <c r="P68" i="3"/>
  <c r="P203" i="3"/>
  <c r="G205" i="3"/>
  <c r="H205" i="3"/>
  <c r="I205" i="3"/>
  <c r="U203" i="3"/>
  <c r="P182" i="3"/>
  <c r="U182" i="3"/>
  <c r="G184" i="3"/>
  <c r="H184" i="3"/>
  <c r="I184" i="3"/>
  <c r="P29" i="3"/>
  <c r="P33" i="3"/>
  <c r="R33" i="3"/>
  <c r="O35" i="3"/>
  <c r="P35" i="3"/>
  <c r="G146" i="3"/>
  <c r="H146" i="3"/>
  <c r="I146" i="3"/>
  <c r="I220" i="3"/>
  <c r="I221" i="3"/>
  <c r="J222" i="3"/>
  <c r="I149" i="1"/>
  <c r="G67" i="2"/>
  <c r="H67" i="2"/>
  <c r="I67" i="2"/>
  <c r="I287" i="2"/>
  <c r="I288" i="2"/>
  <c r="I297" i="2"/>
  <c r="I148" i="1"/>
  <c r="B150" i="1"/>
  <c r="I150" i="1"/>
  <c r="I159" i="1"/>
  <c r="I22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perlar</author>
    <author>bovolf</author>
    <author>flniel</author>
    <author>marasm</author>
    <author>sthert</author>
    <author>erskyg</author>
    <author>benvil</author>
    <author>mipede</author>
    <author>jilars</author>
  </authors>
  <commentList>
    <comment ref="F13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perlar:</t>
        </r>
        <r>
          <rPr>
            <sz val="8"/>
            <color indexed="81"/>
            <rFont val="Tahoma"/>
            <family val="2"/>
          </rPr>
          <t xml:space="preserve">
MGP</t>
        </r>
      </text>
    </comment>
    <comment ref="I14" authorId="1" shapeId="0" xr:uid="{00000000-0006-0000-0400-000002000000}">
      <text>
        <r>
          <rPr>
            <sz val="10"/>
            <color indexed="81"/>
            <rFont val="Tahoma"/>
            <family val="2"/>
          </rPr>
          <t>Valgkælder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4" authorId="1" shapeId="0" xr:uid="{00000000-0006-0000-0400-000003000000}">
      <text>
        <r>
          <rPr>
            <sz val="10"/>
            <color indexed="81"/>
            <rFont val="Tahoma"/>
            <family val="2"/>
          </rPr>
          <t>Valgkælder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4" authorId="2" shapeId="0" xr:uid="{00000000-0006-0000-0400-00000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Valgkælder</t>
        </r>
      </text>
    </comment>
    <comment ref="O14" authorId="2" shapeId="0" xr:uid="{00000000-0006-0000-0400-00000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X14" authorId="2" shapeId="0" xr:uid="{00000000-0006-0000-0400-00000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Valgkælder</t>
        </r>
      </text>
    </comment>
    <comment ref="Y14" authorId="2" shapeId="0" xr:uid="{00000000-0006-0000-0400-00000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Valgkælder</t>
        </r>
      </text>
    </comment>
    <comment ref="I15" authorId="1" shapeId="0" xr:uid="{00000000-0006-0000-0400-000008000000}">
      <text>
        <r>
          <rPr>
            <sz val="10"/>
            <color indexed="81"/>
            <rFont val="Tahoma"/>
            <family val="2"/>
          </rPr>
          <t>Valgkælder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5" authorId="1" shapeId="0" xr:uid="{00000000-0006-0000-0400-000009000000}">
      <text>
        <r>
          <rPr>
            <sz val="10"/>
            <color indexed="81"/>
            <rFont val="Tahoma"/>
            <family val="2"/>
          </rPr>
          <t>Valgkælder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5" authorId="2" shapeId="0" xr:uid="{00000000-0006-0000-0400-00000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Valgkælder</t>
        </r>
      </text>
    </comment>
    <comment ref="N15" authorId="1" shapeId="0" xr:uid="{00000000-0006-0000-0400-00000B000000}">
      <text>
        <r>
          <rPr>
            <sz val="10"/>
            <color indexed="81"/>
            <rFont val="Tahoma"/>
            <family val="2"/>
          </rPr>
          <t>Erstatningsfridag for d.7 Maj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5" authorId="2" shapeId="0" xr:uid="{00000000-0006-0000-0400-00000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P15" authorId="1" shapeId="0" xr:uid="{00000000-0006-0000-0400-00000D000000}">
      <text>
        <r>
          <rPr>
            <sz val="10"/>
            <color indexed="81"/>
            <rFont val="Tahoma"/>
            <family val="2"/>
          </rPr>
          <t>Erstatningsfridag for d.8 Maj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5" authorId="2" shapeId="0" xr:uid="{00000000-0006-0000-0400-00000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Erstatningsfri for den 9. maj</t>
        </r>
      </text>
    </comment>
    <comment ref="W15" authorId="2" shapeId="0" xr:uid="{00000000-0006-0000-0400-00000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Valgkælder</t>
        </r>
      </text>
    </comment>
    <comment ref="X15" authorId="2" shapeId="0" xr:uid="{00000000-0006-0000-0400-00001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Valgkælder</t>
        </r>
      </text>
    </comment>
    <comment ref="Y15" authorId="2" shapeId="0" xr:uid="{00000000-0006-0000-0400-00001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Valgkælder</t>
        </r>
      </text>
    </comment>
    <comment ref="N16" authorId="2" shapeId="0" xr:uid="{00000000-0006-0000-0400-00001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AA16" authorId="2" shapeId="0" xr:uid="{00000000-0006-0000-0400-00001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Valg</t>
        </r>
      </text>
    </comment>
    <comment ref="AB16" authorId="2" shapeId="0" xr:uid="{00000000-0006-0000-0400-00001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V17" authorId="2" shapeId="0" xr:uid="{00000000-0006-0000-0400-00001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AA17" authorId="2" shapeId="0" xr:uid="{00000000-0006-0000-0400-00001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Valg</t>
        </r>
      </text>
    </comment>
    <comment ref="N18" authorId="2" shapeId="0" xr:uid="{00000000-0006-0000-0400-00001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N20" authorId="2" shapeId="0" xr:uid="{00000000-0006-0000-0400-00001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P20" authorId="3" shapeId="0" xr:uid="{00000000-0006-0000-0400-000019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Kjeld kun dag</t>
        </r>
      </text>
    </comment>
    <comment ref="AB20" authorId="2" shapeId="0" xr:uid="{00000000-0006-0000-0400-00001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F21" authorId="0" shapeId="0" xr:uid="{00000000-0006-0000-0400-00001B000000}">
      <text>
        <r>
          <rPr>
            <b/>
            <sz val="8"/>
            <color indexed="81"/>
            <rFont val="Tahoma"/>
            <family val="2"/>
          </rPr>
          <t>perlar:</t>
        </r>
        <r>
          <rPr>
            <sz val="8"/>
            <color indexed="81"/>
            <rFont val="Tahoma"/>
            <family val="2"/>
          </rPr>
          <t xml:space="preserve">
MGP</t>
        </r>
      </text>
    </comment>
    <comment ref="O21" authorId="2" shapeId="0" xr:uid="{00000000-0006-0000-0400-00001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AA21" authorId="2" shapeId="0" xr:uid="{00000000-0006-0000-0400-00001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Modtagning af stemmesedler mødetid kl. 19.30 Rådhuset</t>
        </r>
      </text>
    </comment>
    <comment ref="AB21" authorId="2" shapeId="0" xr:uid="{00000000-0006-0000-0400-00001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O37" authorId="2" shapeId="0" xr:uid="{00000000-0006-0000-0400-00001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Q37" authorId="4" shapeId="0" xr:uid="{00000000-0006-0000-0400-00002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Griffenfeldsgade 0900-1300</t>
        </r>
      </text>
    </comment>
    <comment ref="AA37" authorId="2" shapeId="0" xr:uid="{00000000-0006-0000-0400-00002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Valg</t>
        </r>
      </text>
    </comment>
    <comment ref="AB37" authorId="2" shapeId="0" xr:uid="{00000000-0006-0000-0400-00002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N38" authorId="2" shapeId="0" xr:uid="{00000000-0006-0000-0400-00002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P38" authorId="2" shapeId="0" xr:uid="{00000000-0006-0000-0400-00002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 12.30-14.30</t>
        </r>
      </text>
    </comment>
    <comment ref="N39" authorId="4" shapeId="0" xr:uid="{00000000-0006-0000-0400-00002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3-vagt hele ugen</t>
        </r>
      </text>
    </comment>
    <comment ref="O39" authorId="2" shapeId="0" xr:uid="{00000000-0006-0000-0400-00002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P39" authorId="4" shapeId="0" xr:uid="{00000000-0006-0000-0400-00002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3-vagt hele ugen</t>
        </r>
      </text>
    </comment>
    <comment ref="Q39" authorId="4" shapeId="0" xr:uid="{00000000-0006-0000-0400-00002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3-vagt hele ugen</t>
        </r>
      </text>
    </comment>
    <comment ref="R39" authorId="4" shapeId="0" xr:uid="{00000000-0006-0000-0400-00002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3-vagt hele ugen</t>
        </r>
      </text>
    </comment>
    <comment ref="I40" authorId="5" shapeId="0" xr:uid="{00000000-0006-0000-0400-00002A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Møder som 4-vagt
</t>
        </r>
      </text>
    </comment>
    <comment ref="J40" authorId="5" shapeId="0" xr:uid="{00000000-0006-0000-0400-00002B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patruljeleder</t>
        </r>
      </text>
    </comment>
    <comment ref="K40" authorId="5" shapeId="0" xr:uid="{00000000-0006-0000-0400-00002C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patruljeleder</t>
        </r>
      </text>
    </comment>
    <comment ref="N40" authorId="2" shapeId="0" xr:uid="{00000000-0006-0000-0400-00002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AB40" authorId="2" shapeId="0" xr:uid="{00000000-0006-0000-0400-00002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Nattevagt for Gorm</t>
        </r>
      </text>
    </comment>
    <comment ref="J41" authorId="2" shapeId="0" xr:uid="{00000000-0006-0000-0400-00002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Hovedkassen
 kl. 9</t>
        </r>
      </text>
    </comment>
    <comment ref="N41" authorId="2" shapeId="0" xr:uid="{00000000-0006-0000-0400-00003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AA41" authorId="2" shapeId="0" xr:uid="{00000000-0006-0000-0400-00003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Modtagning af stemmesedler mødetid kl. 19.30 Rådhuset</t>
        </r>
      </text>
    </comment>
    <comment ref="AB41" authorId="2" shapeId="0" xr:uid="{00000000-0006-0000-0400-00003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F42" authorId="0" shapeId="0" xr:uid="{00000000-0006-0000-0400-000033000000}">
      <text>
        <r>
          <rPr>
            <b/>
            <sz val="8"/>
            <color indexed="81"/>
            <rFont val="Tahoma"/>
            <family val="2"/>
          </rPr>
          <t>perlar:</t>
        </r>
        <r>
          <rPr>
            <sz val="8"/>
            <color indexed="81"/>
            <rFont val="Tahoma"/>
            <family val="2"/>
          </rPr>
          <t xml:space="preserve">
MGP</t>
        </r>
      </text>
    </comment>
    <comment ref="J42" authorId="2" shapeId="0" xr:uid="{00000000-0006-0000-0400-00003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Hovedkassen
 kl. 9</t>
        </r>
      </text>
    </comment>
    <comment ref="N42" authorId="2" shapeId="0" xr:uid="{00000000-0006-0000-0400-00003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AB42" authorId="2" shapeId="0" xr:uid="{00000000-0006-0000-0400-00003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O43" authorId="2" shapeId="0" xr:uid="{00000000-0006-0000-0400-00003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F44" authorId="0" shapeId="0" xr:uid="{00000000-0006-0000-0400-000038000000}">
      <text>
        <r>
          <rPr>
            <b/>
            <sz val="8"/>
            <color indexed="81"/>
            <rFont val="Tahoma"/>
            <family val="2"/>
          </rPr>
          <t>perlar:</t>
        </r>
        <r>
          <rPr>
            <sz val="8"/>
            <color indexed="81"/>
            <rFont val="Tahoma"/>
            <family val="2"/>
          </rPr>
          <t xml:space="preserve">
MGP</t>
        </r>
      </text>
    </comment>
    <comment ref="O44" authorId="2" shapeId="0" xr:uid="{00000000-0006-0000-0400-00003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D45" authorId="2" shapeId="0" xr:uid="{00000000-0006-0000-0400-00003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på Brønshøjvej kl. 08.30 og er tilbage på Rådhuset ca. 11.45</t>
        </r>
      </text>
    </comment>
    <comment ref="O45" authorId="2" shapeId="0" xr:uid="{00000000-0006-0000-0400-00003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N46" authorId="2" shapeId="0" xr:uid="{00000000-0006-0000-0400-00003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U46" authorId="2" shapeId="0" xr:uid="{00000000-0006-0000-0400-00003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Førstehjælp
</t>
        </r>
      </text>
    </comment>
    <comment ref="V46" authorId="2" shapeId="0" xr:uid="{00000000-0006-0000-0400-00003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Førstehjælp
</t>
        </r>
      </text>
    </comment>
    <comment ref="AA46" authorId="2" shapeId="0" xr:uid="{00000000-0006-0000-0400-00003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Valg</t>
        </r>
      </text>
    </comment>
    <comment ref="AB46" authorId="2" shapeId="0" xr:uid="{00000000-0006-0000-0400-00004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AC46" authorId="2" shapeId="0" xr:uid="{00000000-0006-0000-0400-00004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Førstehjælp
</t>
        </r>
      </text>
    </comment>
    <comment ref="AD46" authorId="2" shapeId="0" xr:uid="{00000000-0006-0000-0400-00004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Førstehjælp
</t>
        </r>
      </text>
    </comment>
    <comment ref="N47" authorId="2" shapeId="0" xr:uid="{00000000-0006-0000-0400-00004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AB47" authorId="2" shapeId="0" xr:uid="{00000000-0006-0000-0400-00004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OA som 6-vagt</t>
        </r>
      </text>
    </comment>
    <comment ref="O48" authorId="2" shapeId="0" xr:uid="{00000000-0006-0000-0400-00004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AB48" authorId="2" shapeId="0" xr:uid="{00000000-0006-0000-0400-00004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OA som  8-vagt</t>
        </r>
      </text>
    </comment>
    <comment ref="J49" authorId="2" shapeId="0" xr:uid="{00000000-0006-0000-0400-00004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Hovedkassen
 kl. 9 møder selv som 7-vagt</t>
        </r>
      </text>
    </comment>
    <comment ref="O49" authorId="2" shapeId="0" xr:uid="{00000000-0006-0000-0400-00004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V50" authorId="2" shapeId="0" xr:uid="{00000000-0006-0000-0400-00004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AB50" authorId="2" shapeId="0" xr:uid="{00000000-0006-0000-0400-00004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V51" authorId="2" shapeId="0" xr:uid="{00000000-0006-0000-0400-00004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Y51" authorId="2" shapeId="0" xr:uid="{00000000-0006-0000-0400-00004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F61" authorId="0" shapeId="0" xr:uid="{00000000-0006-0000-0400-00004D000000}">
      <text>
        <r>
          <rPr>
            <b/>
            <sz val="8"/>
            <color indexed="81"/>
            <rFont val="Tahoma"/>
            <family val="2"/>
          </rPr>
          <t>perlar:</t>
        </r>
        <r>
          <rPr>
            <sz val="8"/>
            <color indexed="81"/>
            <rFont val="Tahoma"/>
            <family val="2"/>
          </rPr>
          <t xml:space="preserve">
MGP</t>
        </r>
      </text>
    </comment>
    <comment ref="N61" authorId="2" shapeId="0" xr:uid="{00000000-0006-0000-0400-00004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AB61" authorId="2" shapeId="0" xr:uid="{00000000-0006-0000-0400-00004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Vagthavende 06.30</t>
        </r>
      </text>
    </comment>
    <comment ref="AC61" authorId="2" shapeId="0" xr:uid="{00000000-0006-0000-0400-00005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Vagthavende 06.30</t>
        </r>
      </text>
    </comment>
    <comment ref="F74" authorId="0" shapeId="0" xr:uid="{00000000-0006-0000-0400-000051000000}">
      <text>
        <r>
          <rPr>
            <b/>
            <sz val="8"/>
            <color indexed="81"/>
            <rFont val="Tahoma"/>
            <family val="2"/>
          </rPr>
          <t>perlar:</t>
        </r>
        <r>
          <rPr>
            <sz val="8"/>
            <color indexed="81"/>
            <rFont val="Tahoma"/>
            <family val="2"/>
          </rPr>
          <t xml:space="preserve">
MGP</t>
        </r>
      </text>
    </comment>
    <comment ref="G74" authorId="4" shapeId="0" xr:uid="{00000000-0006-0000-0400-00005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Retten på frederiksberg kl. 0930</t>
        </r>
      </text>
    </comment>
    <comment ref="I74" authorId="4" shapeId="0" xr:uid="{00000000-0006-0000-0400-00005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O-VAGT</t>
        </r>
      </text>
    </comment>
    <comment ref="J74" authorId="4" shapeId="0" xr:uid="{00000000-0006-0000-0400-00005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O-VAGT</t>
        </r>
      </text>
    </comment>
    <comment ref="K74" authorId="4" shapeId="0" xr:uid="{00000000-0006-0000-0400-00005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O-VAGT</t>
        </r>
      </text>
    </comment>
    <comment ref="O74" authorId="2" shapeId="0" xr:uid="{00000000-0006-0000-0400-00005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P74" authorId="4" shapeId="0" xr:uid="{00000000-0006-0000-0400-00005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Q74" authorId="4" shapeId="0" xr:uid="{00000000-0006-0000-0400-00005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U74" authorId="4" shapeId="0" xr:uid="{00000000-0006-0000-0400-00005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M-VAFT</t>
        </r>
      </text>
    </comment>
    <comment ref="V74" authorId="4" shapeId="0" xr:uid="{00000000-0006-0000-0400-00005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OMVISNING 16-20 + Matthæusgade </t>
        </r>
      </text>
    </comment>
    <comment ref="AA74" authorId="2" shapeId="0" xr:uid="{00000000-0006-0000-0400-00005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Modtagning af stemmesedler mødetid kl. 19.30 Rådhuset</t>
        </r>
      </text>
    </comment>
    <comment ref="AB74" authorId="2" shapeId="0" xr:uid="{00000000-0006-0000-0400-00005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AD74" authorId="4" shapeId="0" xr:uid="{00000000-0006-0000-0400-00005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Griffen ?</t>
        </r>
      </text>
    </comment>
    <comment ref="AF74" authorId="4" shapeId="0" xr:uid="{00000000-0006-0000-0400-00005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E-vagt</t>
        </r>
      </text>
    </comment>
    <comment ref="D75" authorId="4" shapeId="0" xr:uid="{00000000-0006-0000-0400-00005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Matthæusgade</t>
        </r>
      </text>
    </comment>
    <comment ref="F75" authorId="0" shapeId="0" xr:uid="{00000000-0006-0000-0400-000060000000}">
      <text>
        <r>
          <rPr>
            <b/>
            <sz val="8"/>
            <color indexed="81"/>
            <rFont val="Tahoma"/>
            <family val="2"/>
          </rPr>
          <t>perlar:</t>
        </r>
        <r>
          <rPr>
            <sz val="8"/>
            <color indexed="81"/>
            <rFont val="Tahoma"/>
            <family val="2"/>
          </rPr>
          <t xml:space="preserve">
MGP</t>
        </r>
      </text>
    </comment>
    <comment ref="H75" authorId="4" shapeId="0" xr:uid="{00000000-0006-0000-0400-00006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SOF</t>
        </r>
      </text>
    </comment>
    <comment ref="I75" authorId="2" shapeId="0" xr:uid="{00000000-0006-0000-0400-00006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O75" authorId="2" shapeId="0" xr:uid="{00000000-0006-0000-0400-00006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Q75" authorId="4" shapeId="0" xr:uid="{00000000-0006-0000-0400-00006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rådhuset 08900-1200</t>
        </r>
      </text>
    </comment>
    <comment ref="U75" authorId="4" shapeId="0" xr:uid="{00000000-0006-0000-0400-00006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V75" authorId="4" shapeId="0" xr:uid="{00000000-0006-0000-0400-00006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W75" authorId="4" shapeId="0" xr:uid="{00000000-0006-0000-0400-00006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X75" authorId="4" shapeId="0" xr:uid="{00000000-0006-0000-0400-00006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Y75" authorId="4" shapeId="0" xr:uid="{00000000-0006-0000-0400-00006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AA75" authorId="2" shapeId="0" xr:uid="{00000000-0006-0000-0400-00006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Valg</t>
        </r>
      </text>
    </comment>
    <comment ref="AB75" authorId="4" shapeId="0" xr:uid="{00000000-0006-0000-0400-00006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AC75" authorId="4" shapeId="0" xr:uid="{00000000-0006-0000-0400-00006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AD75" authorId="6" shapeId="0" xr:uid="{00000000-0006-0000-0400-00006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COK</t>
        </r>
      </text>
    </comment>
    <comment ref="N76" authorId="4" shapeId="0" xr:uid="{00000000-0006-0000-0400-00006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</t>
        </r>
        <r>
          <rPr>
            <sz val="10"/>
            <color indexed="81"/>
            <rFont val="Tahoma"/>
            <family val="2"/>
          </rPr>
          <t>-VAGT</t>
        </r>
      </text>
    </comment>
    <comment ref="O76" authorId="2" shapeId="0" xr:uid="{00000000-0006-0000-0400-00006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Q76" authorId="4" shapeId="0" xr:uid="{00000000-0006-0000-0400-00007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rådhuset 0900-1200</t>
        </r>
      </text>
    </comment>
    <comment ref="V76" authorId="4" shapeId="0" xr:uid="{00000000-0006-0000-0400-00007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Gl.køgelandevej
1145-1530</t>
        </r>
      </text>
    </comment>
    <comment ref="J86" authorId="2" shapeId="0" xr:uid="{00000000-0006-0000-0400-00007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Hovedkassen
 kl. 9</t>
        </r>
      </text>
    </comment>
    <comment ref="N86" authorId="4" shapeId="0" xr:uid="{00000000-0006-0000-0400-00007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O86" authorId="4" shapeId="0" xr:uid="{00000000-0006-0000-0400-00007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Q86" authorId="4" shapeId="0" xr:uid="{00000000-0006-0000-0400-00007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rådhuset 0900-1200</t>
        </r>
      </text>
    </comment>
    <comment ref="V86" authorId="2" shapeId="0" xr:uid="{00000000-0006-0000-0400-00007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D87" authorId="4" shapeId="0" xr:uid="{00000000-0006-0000-0400-00007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 0815-1415</t>
        </r>
      </text>
    </comment>
    <comment ref="G87" authorId="4" shapeId="0" xr:uid="{00000000-0006-0000-0400-00007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Brønshøjvejm + Kreds på OA.</t>
        </r>
      </text>
    </comment>
    <comment ref="H87" authorId="4" shapeId="0" xr:uid="{00000000-0006-0000-0400-00007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</t>
        </r>
      </text>
    </comment>
    <comment ref="J87" authorId="4" shapeId="0" xr:uid="{00000000-0006-0000-0400-00007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K5</t>
        </r>
      </text>
    </comment>
    <comment ref="N87" authorId="2" shapeId="0" xr:uid="{00000000-0006-0000-0400-00007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O87" authorId="4" shapeId="0" xr:uid="{00000000-0006-0000-0400-00007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+ E-vagt 1145-1530</t>
        </r>
      </text>
    </comment>
    <comment ref="Q87" authorId="4" shapeId="0" xr:uid="{00000000-0006-0000-0400-00007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rådhuset 0900-1200</t>
        </r>
      </text>
    </comment>
    <comment ref="V87" authorId="4" shapeId="0" xr:uid="{00000000-0006-0000-0400-00007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Griffenfeldsgade 
1030-1500</t>
        </r>
      </text>
    </comment>
    <comment ref="AB87" authorId="2" shapeId="0" xr:uid="{00000000-0006-0000-0400-00007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K2 på OA</t>
        </r>
      </text>
    </comment>
    <comment ref="AF87" authorId="4" shapeId="0" xr:uid="{00000000-0006-0000-0400-00008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Griffenfeldsgade</t>
        </r>
      </text>
    </comment>
    <comment ref="D88" authorId="4" shapeId="0" xr:uid="{00000000-0006-0000-0400-00008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G88" authorId="7" shapeId="0" xr:uid="{00000000-0006-0000-0400-000082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G- vagt</t>
        </r>
      </text>
    </comment>
    <comment ref="J88" authorId="2" shapeId="0" xr:uid="{00000000-0006-0000-0400-00008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Hovedkassen
 kl. 9 møder ikke som K2</t>
        </r>
      </text>
    </comment>
    <comment ref="N88" authorId="4" shapeId="0" xr:uid="{00000000-0006-0000-0400-00008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P-VAGT</t>
        </r>
      </text>
    </comment>
    <comment ref="O88" authorId="2" shapeId="0" xr:uid="{00000000-0006-0000-0400-00008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P88" authorId="2" shapeId="0" xr:uid="{00000000-0006-0000-0400-00008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Hospitalbesøg
9 - 13</t>
        </r>
      </text>
    </comment>
    <comment ref="Q88" authorId="4" shapeId="0" xr:uid="{00000000-0006-0000-0400-00008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rådhuset 0900-1200</t>
        </r>
      </text>
    </comment>
    <comment ref="V88" authorId="4" shapeId="0" xr:uid="{00000000-0006-0000-0400-00008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K-VAGT 0815 - 1200 derefter på rådhuset og hjælpe </t>
        </r>
        <r>
          <rPr>
            <sz val="10"/>
            <color indexed="81"/>
            <rFont val="Tahoma"/>
            <family val="2"/>
          </rPr>
          <t>under kursus</t>
        </r>
      </text>
    </comment>
    <comment ref="W88" authorId="2" shapeId="0" xr:uid="{00000000-0006-0000-0400-00008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Hospitalbesøg kl.10
-</t>
        </r>
      </text>
    </comment>
    <comment ref="G99" authorId="3" shapeId="0" xr:uid="{00000000-0006-0000-0400-00008A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Kommer lidt senere.</t>
        </r>
      </text>
    </comment>
    <comment ref="N99" authorId="2" shapeId="0" xr:uid="{00000000-0006-0000-0400-00008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AA99" authorId="2" shapeId="0" xr:uid="{00000000-0006-0000-0400-00008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Modtagning af stemmesedler mødetid kl. 19.30 Rådhuset</t>
        </r>
      </text>
    </comment>
    <comment ref="AB99" authorId="2" shapeId="0" xr:uid="{00000000-0006-0000-0400-00008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J100" authorId="2" shapeId="0" xr:uid="{00000000-0006-0000-0400-00008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Hovedkassen
 kl. 9</t>
        </r>
      </text>
    </comment>
    <comment ref="O100" authorId="2" shapeId="0" xr:uid="{00000000-0006-0000-0400-00008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AA100" authorId="2" shapeId="0" xr:uid="{00000000-0006-0000-0400-00009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Valg</t>
        </r>
      </text>
    </comment>
    <comment ref="V101" authorId="2" shapeId="0" xr:uid="{00000000-0006-0000-0400-00009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Q119" authorId="4" shapeId="0" xr:uid="{00000000-0006-0000-0400-00009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rådhuset 0900-1200</t>
        </r>
      </text>
    </comment>
    <comment ref="V119" authorId="2" shapeId="0" xr:uid="{00000000-0006-0000-0400-00009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AF119" authorId="4" shapeId="0" xr:uid="{00000000-0006-0000-0400-00009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interen flexfri</t>
        </r>
      </text>
    </comment>
    <comment ref="J120" authorId="2" shapeId="0" xr:uid="{00000000-0006-0000-0400-00009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Hovedkassen
 kl. 9</t>
        </r>
      </text>
    </comment>
    <comment ref="N120" authorId="2" shapeId="0" xr:uid="{00000000-0006-0000-0400-00009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O120" authorId="8" shapeId="0" xr:uid="{00000000-0006-0000-0400-000097000000}">
      <text>
        <r>
          <rPr>
            <b/>
            <sz val="9"/>
            <color indexed="81"/>
            <rFont val="Tahoma"/>
            <family val="2"/>
          </rPr>
          <t>jilars:
Hospitalet hele dagen</t>
        </r>
      </text>
    </comment>
    <comment ref="Q120" authorId="4" shapeId="0" xr:uid="{00000000-0006-0000-0400-00009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rådhuset</t>
        </r>
      </text>
    </comment>
    <comment ref="V120" authorId="4" shapeId="0" xr:uid="{00000000-0006-0000-0400-00009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FOA</t>
        </r>
      </text>
    </comment>
    <comment ref="W120" authorId="4" shapeId="0" xr:uid="{00000000-0006-0000-0400-00009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FOA</t>
        </r>
      </text>
    </comment>
    <comment ref="AA120" authorId="2" shapeId="0" xr:uid="{00000000-0006-0000-0400-00009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Valg</t>
        </r>
      </text>
    </comment>
    <comment ref="AB120" authorId="2" shapeId="0" xr:uid="{00000000-0006-0000-0400-00009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J121" authorId="2" shapeId="0" xr:uid="{00000000-0006-0000-0400-00009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Hovedkassen
 kl. 9</t>
        </r>
      </text>
    </comment>
    <comment ref="O121" authorId="2" shapeId="0" xr:uid="{00000000-0006-0000-0400-00009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Q121" authorId="4" shapeId="0" xr:uid="{00000000-0006-0000-0400-00009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rådhuset</t>
        </r>
      </text>
    </comment>
    <comment ref="O122" authorId="2" shapeId="0" xr:uid="{00000000-0006-0000-0400-0000A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Q122" authorId="4" shapeId="0" xr:uid="{00000000-0006-0000-0400-0000A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rådhuset 0900-1200</t>
        </r>
      </text>
    </comment>
    <comment ref="D123" authorId="4" shapeId="0" xr:uid="{00000000-0006-0000-0400-0000A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senior dag</t>
        </r>
      </text>
    </comment>
    <comment ref="J123" authorId="2" shapeId="0" xr:uid="{00000000-0006-0000-0400-0000A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Hovedkassen
 kl. 9</t>
        </r>
      </text>
    </comment>
    <comment ref="N123" authorId="2" shapeId="0" xr:uid="{00000000-0006-0000-0400-0000A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Q123" authorId="4" shapeId="0" xr:uid="{00000000-0006-0000-0400-0000A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rådhuset 0900-1200</t>
        </r>
      </text>
    </comment>
    <comment ref="N124" authorId="4" shapeId="0" xr:uid="{00000000-0006-0000-0400-0000A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På hospitalet</t>
        </r>
      </text>
    </comment>
    <comment ref="Q124" authorId="4" shapeId="0" xr:uid="{00000000-0006-0000-0400-0000A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rådhuset 0900-1200</t>
        </r>
      </text>
    </comment>
    <comment ref="J125" authorId="2" shapeId="0" xr:uid="{00000000-0006-0000-0400-0000A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Hovedkassen
 kl. 9</t>
        </r>
      </text>
    </comment>
    <comment ref="Q125" authorId="4" shapeId="0" xr:uid="{00000000-0006-0000-0400-0000A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rådhuset 0900-1200</t>
        </r>
      </text>
    </comment>
    <comment ref="V125" authorId="2" shapeId="0" xr:uid="{00000000-0006-0000-0400-0000A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Q126" authorId="4" shapeId="0" xr:uid="{00000000-0006-0000-0400-0000A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rådhuset 0900-1200</t>
        </r>
      </text>
    </comment>
    <comment ref="V126" authorId="2" shapeId="0" xr:uid="{00000000-0006-0000-0400-0000A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D127" authorId="4" shapeId="0" xr:uid="{00000000-0006-0000-0400-0000A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Til læge</t>
        </r>
      </text>
    </comment>
    <comment ref="J127" authorId="2" shapeId="0" xr:uid="{00000000-0006-0000-0400-0000A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Hovedkassen
 kl. 9</t>
        </r>
      </text>
    </comment>
    <comment ref="Q127" authorId="4" shapeId="0" xr:uid="{00000000-0006-0000-0400-0000A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rådhuset 0900-1200</t>
        </r>
      </text>
    </comment>
    <comment ref="V127" authorId="2" shapeId="0" xr:uid="{00000000-0006-0000-0400-0000B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J128" authorId="2" shapeId="0" xr:uid="{00000000-0006-0000-0400-0000B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Hovedkassen
 kl. 9</t>
        </r>
      </text>
    </comment>
    <comment ref="O128" authorId="2" shapeId="0" xr:uid="{00000000-0006-0000-0400-0000B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Q128" authorId="4" shapeId="0" xr:uid="{00000000-0006-0000-0400-0000B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rådhuset 0900-1200</t>
        </r>
      </text>
    </comment>
    <comment ref="Q129" authorId="4" shapeId="0" xr:uid="{00000000-0006-0000-0400-0000B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rådhuset 0900-1200</t>
        </r>
      </text>
    </comment>
    <comment ref="V129" authorId="2" shapeId="0" xr:uid="{00000000-0006-0000-0400-0000B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AA129" authorId="2" shapeId="0" xr:uid="{00000000-0006-0000-0400-0000B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Valg</t>
        </r>
      </text>
    </comment>
    <comment ref="N130" authorId="2" shapeId="0" xr:uid="{00000000-0006-0000-0400-0000B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Q130" authorId="4" shapeId="0" xr:uid="{00000000-0006-0000-0400-0000B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rådhuset 0900-1200</t>
        </r>
      </text>
    </comment>
    <comment ref="J141" authorId="2" shapeId="0" xr:uid="{00000000-0006-0000-0400-0000B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Hovedkassen
 kl. 9</t>
        </r>
      </text>
    </comment>
    <comment ref="J143" authorId="2" shapeId="0" xr:uid="{00000000-0006-0000-0400-0000B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Hovedkassen
 kl. 9</t>
        </r>
      </text>
    </comment>
    <comment ref="AA145" authorId="2" shapeId="0" xr:uid="{00000000-0006-0000-0400-0000B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Modtagning af stemmesedler mødetid kl. 19.30 Rådhuset</t>
        </r>
      </text>
    </comment>
    <comment ref="AB145" authorId="2" shapeId="0" xr:uid="{00000000-0006-0000-0400-0000B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V167" authorId="2" shapeId="0" xr:uid="{00000000-0006-0000-0400-0000B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J168" authorId="2" shapeId="0" xr:uid="{00000000-0006-0000-0400-0000B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Hovedkassen
 kl. 9</t>
        </r>
      </text>
    </comment>
    <comment ref="N168" authorId="2" shapeId="0" xr:uid="{00000000-0006-0000-0400-0000B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Møder som 1-vagt</t>
        </r>
      </text>
    </comment>
    <comment ref="O168" authorId="4" shapeId="0" xr:uid="{00000000-0006-0000-0400-0000C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P168" authorId="4" shapeId="0" xr:uid="{00000000-0006-0000-0400-0000C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1-vagt</t>
        </r>
      </text>
    </comment>
    <comment ref="Q168" authorId="4" shapeId="0" xr:uid="{00000000-0006-0000-0400-0000C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1-vagt</t>
        </r>
      </text>
    </comment>
    <comment ref="R168" authorId="4" shapeId="0" xr:uid="{00000000-0006-0000-0400-0000C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1-vagt</t>
        </r>
      </text>
    </comment>
    <comment ref="AA168" authorId="2" shapeId="0" xr:uid="{00000000-0006-0000-0400-0000C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Modtagning af stemmesedler mødetid kl. 19.30 Rådhuset</t>
        </r>
      </text>
    </comment>
    <comment ref="J169" authorId="2" shapeId="0" xr:uid="{00000000-0006-0000-0400-0000C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Hovedkassen
 kl. 9</t>
        </r>
      </text>
    </comment>
    <comment ref="V169" authorId="2" shapeId="0" xr:uid="{00000000-0006-0000-0400-0000C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F170" authorId="0" shapeId="0" xr:uid="{00000000-0006-0000-0400-0000C7000000}">
      <text>
        <r>
          <rPr>
            <b/>
            <sz val="8"/>
            <color indexed="81"/>
            <rFont val="Tahoma"/>
            <family val="2"/>
          </rPr>
          <t>perlar:</t>
        </r>
        <r>
          <rPr>
            <sz val="8"/>
            <color indexed="81"/>
            <rFont val="Tahoma"/>
            <family val="2"/>
          </rPr>
          <t xml:space="preserve">
MGP</t>
        </r>
      </text>
    </comment>
    <comment ref="J170" authorId="2" shapeId="0" xr:uid="{00000000-0006-0000-0400-0000C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Hovedkassen
 kl. 9</t>
        </r>
      </text>
    </comment>
    <comment ref="O170" authorId="2" shapeId="0" xr:uid="{00000000-0006-0000-0400-0000C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AB170" authorId="2" shapeId="0" xr:uid="{00000000-0006-0000-0400-0000C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F171" authorId="0" shapeId="0" xr:uid="{00000000-0006-0000-0400-0000CB000000}">
      <text>
        <r>
          <rPr>
            <b/>
            <sz val="8"/>
            <color indexed="81"/>
            <rFont val="Tahoma"/>
            <family val="2"/>
          </rPr>
          <t>perlar:</t>
        </r>
        <r>
          <rPr>
            <sz val="8"/>
            <color indexed="81"/>
            <rFont val="Tahoma"/>
            <family val="2"/>
          </rPr>
          <t xml:space="preserve">
MGP</t>
        </r>
      </text>
    </comment>
    <comment ref="G171" authorId="7" shapeId="0" xr:uid="{00000000-0006-0000-0400-0000CC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L-vagt</t>
        </r>
      </text>
    </comment>
    <comment ref="O171" authorId="2" shapeId="0" xr:uid="{00000000-0006-0000-0400-0000C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Q171" authorId="4" shapeId="0" xr:uid="{00000000-0006-0000-0400-0000C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Afløser 0815-1800</t>
        </r>
      </text>
    </comment>
    <comment ref="V171" authorId="2" shapeId="0" xr:uid="{00000000-0006-0000-0400-0000C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AA171" authorId="2" shapeId="0" xr:uid="{00000000-0006-0000-0400-0000D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Valg</t>
        </r>
      </text>
    </comment>
    <comment ref="AB171" authorId="2" shapeId="0" xr:uid="{00000000-0006-0000-0400-0000D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D172" authorId="2" shapeId="0" xr:uid="{00000000-0006-0000-0400-0000D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G172" authorId="2" shapeId="0" xr:uid="{00000000-0006-0000-0400-0000D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H172" authorId="2" shapeId="0" xr:uid="{00000000-0006-0000-0400-0000D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I172" authorId="2" shapeId="0" xr:uid="{00000000-0006-0000-0400-0000D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J172" authorId="2" shapeId="0" xr:uid="{00000000-0006-0000-0400-0000D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K172" authorId="2" shapeId="0" xr:uid="{00000000-0006-0000-0400-0000D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N172" authorId="2" shapeId="0" xr:uid="{00000000-0006-0000-0400-0000D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O172" authorId="2" shapeId="0" xr:uid="{00000000-0006-0000-0400-0000D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P172" authorId="2" shapeId="0" xr:uid="{00000000-0006-0000-0400-0000D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Q172" authorId="2" shapeId="0" xr:uid="{00000000-0006-0000-0400-0000D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U172" authorId="2" shapeId="0" xr:uid="{00000000-0006-0000-0400-0000D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V172" authorId="2" shapeId="0" xr:uid="{00000000-0006-0000-0400-0000D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W172" authorId="2" shapeId="0" xr:uid="{00000000-0006-0000-0400-0000D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X172" authorId="2" shapeId="0" xr:uid="{00000000-0006-0000-0400-0000D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Y172" authorId="2" shapeId="0" xr:uid="{00000000-0006-0000-0400-0000E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D173" authorId="2" shapeId="0" xr:uid="{00000000-0006-0000-0400-0000E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kl. 07.00 på Rådhuset afløser Sonny 10.30 på Brønshøjvej</t>
        </r>
      </text>
    </comment>
    <comment ref="V173" authorId="2" shapeId="0" xr:uid="{00000000-0006-0000-0400-0000E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AB173" authorId="1" shapeId="0" xr:uid="{00000000-0006-0000-0400-0000E3000000}">
      <text>
        <r>
          <rPr>
            <sz val="10"/>
            <color indexed="81"/>
            <rFont val="Tahoma"/>
            <family val="2"/>
          </rPr>
          <t>M vagt på OA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73" authorId="8" shapeId="0" xr:uid="{00000000-0006-0000-0400-0000E4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K2-vagt på OA</t>
        </r>
      </text>
    </comment>
    <comment ref="O182" authorId="4" shapeId="0" xr:uid="{00000000-0006-0000-0400-0000E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Hjælper med at passe 1 og 4 vagt under kursus.</t>
        </r>
      </text>
    </comment>
    <comment ref="V182" authorId="2" shapeId="0" xr:uid="{00000000-0006-0000-0400-0000E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N197" authorId="2" shapeId="0" xr:uid="{00000000-0006-0000-0400-0000E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F198" authorId="0" shapeId="0" xr:uid="{00000000-0006-0000-0400-0000E8000000}">
      <text>
        <r>
          <rPr>
            <b/>
            <sz val="8"/>
            <color indexed="81"/>
            <rFont val="Tahoma"/>
            <family val="2"/>
          </rPr>
          <t>perlar:</t>
        </r>
        <r>
          <rPr>
            <sz val="8"/>
            <color indexed="81"/>
            <rFont val="Tahoma"/>
            <family val="2"/>
          </rPr>
          <t xml:space="preserve">
MGP</t>
        </r>
      </text>
    </comment>
    <comment ref="O198" authorId="2" shapeId="0" xr:uid="{00000000-0006-0000-0400-0000E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08.15 - 11.30
Klareboderne
</t>
        </r>
      </text>
    </comment>
    <comment ref="AA198" authorId="2" shapeId="0" xr:uid="{00000000-0006-0000-0400-0000E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Modtagning af stemmesedler mødetid kl. 19.30 Rådhuset</t>
        </r>
      </text>
    </comment>
    <comment ref="O199" authorId="2" shapeId="0" xr:uid="{00000000-0006-0000-0400-0000E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V200" authorId="2" shapeId="0" xr:uid="{00000000-0006-0000-0400-0000E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F201" authorId="0" shapeId="0" xr:uid="{00000000-0006-0000-0400-0000ED000000}">
      <text>
        <r>
          <rPr>
            <b/>
            <sz val="8"/>
            <color indexed="81"/>
            <rFont val="Tahoma"/>
            <family val="2"/>
          </rPr>
          <t>perlar:</t>
        </r>
        <r>
          <rPr>
            <sz val="8"/>
            <color indexed="81"/>
            <rFont val="Tahoma"/>
            <family val="2"/>
          </rPr>
          <t xml:space="preserve">
MGP</t>
        </r>
      </text>
    </comment>
    <comment ref="V201" authorId="2" shapeId="0" xr:uid="{00000000-0006-0000-0400-0000E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12.15 - 15.30
Klareboderne
</t>
        </r>
      </text>
    </comment>
    <comment ref="AA201" authorId="2" shapeId="0" xr:uid="{00000000-0006-0000-0400-0000E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Modtagning af stemmesedler mødetid kl. 19.30 Rådhuset</t>
        </r>
      </text>
    </comment>
    <comment ref="AB201" authorId="2" shapeId="0" xr:uid="{00000000-0006-0000-0400-0000F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AA205" authorId="2" shapeId="0" xr:uid="{00000000-0006-0000-0400-0000F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Valg</t>
        </r>
      </text>
    </comment>
    <comment ref="AB205" authorId="2" shapeId="0" xr:uid="{00000000-0006-0000-0400-0000F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AB209" authorId="2" shapeId="0" xr:uid="{00000000-0006-0000-0400-0000F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som delvis syg i Scanningen</t>
        </r>
      </text>
    </comment>
    <comment ref="F229" authorId="0" shapeId="0" xr:uid="{00000000-0006-0000-0400-0000F4000000}">
      <text>
        <r>
          <rPr>
            <b/>
            <sz val="8"/>
            <color indexed="81"/>
            <rFont val="Tahoma"/>
            <family val="2"/>
          </rPr>
          <t>perlar:</t>
        </r>
        <r>
          <rPr>
            <sz val="8"/>
            <color indexed="81"/>
            <rFont val="Tahoma"/>
            <family val="2"/>
          </rPr>
          <t xml:space="preserve">
MGP</t>
        </r>
      </text>
    </comment>
    <comment ref="AA234" authorId="2" shapeId="0" xr:uid="{00000000-0006-0000-0400-0000F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Modtagning af stemmesedler mødetid kl. 19.30 Rådhuset</t>
        </r>
      </text>
    </comment>
    <comment ref="AB234" authorId="2" shapeId="0" xr:uid="{00000000-0006-0000-0400-0000F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F235" authorId="0" shapeId="0" xr:uid="{00000000-0006-0000-0400-0000F7000000}">
      <text>
        <r>
          <rPr>
            <b/>
            <sz val="8"/>
            <color indexed="81"/>
            <rFont val="Tahoma"/>
            <family val="2"/>
          </rPr>
          <t>perlar:</t>
        </r>
        <r>
          <rPr>
            <sz val="8"/>
            <color indexed="81"/>
            <rFont val="Tahoma"/>
            <family val="2"/>
          </rPr>
          <t xml:space="preserve">
MGP</t>
        </r>
      </text>
    </comment>
    <comment ref="AA235" authorId="2" shapeId="0" xr:uid="{00000000-0006-0000-0400-0000F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 alg</t>
        </r>
      </text>
    </comment>
    <comment ref="F236" authorId="0" shapeId="0" xr:uid="{00000000-0006-0000-0400-0000F9000000}">
      <text>
        <r>
          <rPr>
            <b/>
            <sz val="8"/>
            <color indexed="81"/>
            <rFont val="Tahoma"/>
            <family val="2"/>
          </rPr>
          <t>perlar:</t>
        </r>
        <r>
          <rPr>
            <sz val="8"/>
            <color indexed="81"/>
            <rFont val="Tahoma"/>
            <family val="2"/>
          </rPr>
          <t xml:space="preserve">
MGP</t>
        </r>
      </text>
    </comment>
    <comment ref="AA236" authorId="2" shapeId="0" xr:uid="{00000000-0006-0000-0400-0000F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Modtagning af stemmesedler mødetid kl. 19.30 Rådhuset</t>
        </r>
      </text>
    </comment>
    <comment ref="AB236" authorId="2" shapeId="0" xr:uid="{00000000-0006-0000-0400-0000F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sthert</author>
    <author>bovolf</author>
    <author>marasm</author>
  </authors>
  <commentList>
    <comment ref="L1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Er indberettet</t>
        </r>
      </text>
    </comment>
    <comment ref="S14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Valgkælder</t>
        </r>
      </text>
    </comment>
    <comment ref="T14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Valgkælder</t>
        </r>
      </text>
    </comment>
    <comment ref="U14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Valgkælder</t>
        </r>
      </text>
    </comment>
    <comment ref="S15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Valgkælder</t>
        </r>
      </text>
    </comment>
    <comment ref="T15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Valgkælder</t>
        </r>
      </text>
    </comment>
    <comment ref="U15" authorId="0" shapeId="0" xr:uid="{00000000-0006-0000-0500-00000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Valgkælder</t>
        </r>
      </text>
    </comment>
    <comment ref="H17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Griffenfeldsgade 0815-1315</t>
        </r>
      </text>
    </comment>
    <comment ref="V21" authorId="0" shapeId="0" xr:uid="{00000000-0006-0000-0500-00000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på natten</t>
        </r>
      </text>
    </comment>
    <comment ref="R37" authorId="0" shapeId="0" xr:uid="{00000000-0006-0000-0500-00000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8 - vagt</t>
        </r>
      </text>
    </comment>
    <comment ref="S37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Remisevej 1130-1500
</t>
        </r>
        <r>
          <rPr>
            <sz val="10"/>
            <color indexed="81"/>
            <rFont val="Tahoma"/>
            <family val="2"/>
          </rPr>
          <t xml:space="preserve">
8 - vagt</t>
        </r>
      </text>
    </comment>
    <comment ref="T37" authorId="0" shapeId="0" xr:uid="{00000000-0006-0000-0500-00000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8 - vagt</t>
        </r>
      </text>
    </comment>
    <comment ref="U37" authorId="1" shapeId="0" xr:uid="{00000000-0006-0000-0500-00000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 0930-?</t>
        </r>
      </text>
    </comment>
    <comment ref="T38" authorId="0" shapeId="0" xr:uid="{00000000-0006-0000-0500-00000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Vagt i HNG 09.45 - 13.45</t>
        </r>
      </text>
    </comment>
    <comment ref="U38" authorId="0" shapeId="0" xr:uid="{00000000-0006-0000-0500-00000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Vagt i HNG 09.45 - 13.45</t>
        </r>
      </text>
    </comment>
    <comment ref="K45" authorId="0" shapeId="0" xr:uid="{00000000-0006-0000-0500-00001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Er indberettet</t>
        </r>
      </text>
    </comment>
    <comment ref="S47" authorId="0" shapeId="0" xr:uid="{00000000-0006-0000-0500-00001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Vagthavende</t>
        </r>
      </text>
    </comment>
    <comment ref="T47" authorId="0" shapeId="0" xr:uid="{00000000-0006-0000-0500-00001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Vagthavende</t>
        </r>
      </text>
    </comment>
    <comment ref="U47" authorId="0" shapeId="0" xr:uid="{00000000-0006-0000-0500-00001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Vagthavende</t>
        </r>
      </text>
    </comment>
    <comment ref="R48" authorId="0" shapeId="0" xr:uid="{00000000-0006-0000-0500-00001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11 - vagt</t>
        </r>
      </text>
    </comment>
    <comment ref="S48" authorId="0" shapeId="0" xr:uid="{00000000-0006-0000-0500-00001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11 - vagt</t>
        </r>
      </text>
    </comment>
    <comment ref="T48" authorId="0" shapeId="0" xr:uid="{00000000-0006-0000-0500-00001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11 - vagt</t>
        </r>
      </text>
    </comment>
    <comment ref="U48" authorId="0" shapeId="0" xr:uid="{00000000-0006-0000-0500-00001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11 - vagt</t>
        </r>
      </text>
    </comment>
    <comment ref="K49" authorId="2" shapeId="0" xr:uid="{00000000-0006-0000-0500-000018000000}">
      <text>
        <r>
          <rPr>
            <sz val="10"/>
            <color indexed="81"/>
            <rFont val="Tahoma"/>
            <family val="2"/>
          </rPr>
          <t>Niel Bo tager 10 vagt på OA.
BV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61" authorId="0" shapeId="0" xr:uid="{00000000-0006-0000-0500-00001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Vagthavende</t>
        </r>
      </text>
    </comment>
    <comment ref="O61" authorId="0" shapeId="0" xr:uid="{00000000-0006-0000-0500-00001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Vagthavende</t>
        </r>
      </text>
    </comment>
    <comment ref="AA61" authorId="0" shapeId="0" xr:uid="{00000000-0006-0000-0500-00001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Vagthavende</t>
        </r>
      </text>
    </comment>
    <comment ref="AB61" authorId="0" shapeId="0" xr:uid="{00000000-0006-0000-0500-00001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Vagthavende</t>
        </r>
      </text>
    </comment>
    <comment ref="AC61" authorId="0" shapeId="0" xr:uid="{00000000-0006-0000-0500-00001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Vagthavende</t>
        </r>
      </text>
    </comment>
    <comment ref="D74" authorId="1" shapeId="0" xr:uid="{00000000-0006-0000-0500-00001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E74" authorId="1" shapeId="0" xr:uid="{00000000-0006-0000-0500-00001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F74" authorId="1" shapeId="0" xr:uid="{00000000-0006-0000-0500-00002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H74" authorId="1" shapeId="0" xr:uid="{00000000-0006-0000-0500-00002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J74" authorId="0" shapeId="0" xr:uid="{00000000-0006-0000-0500-00002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Er Indberettet</t>
        </r>
      </text>
    </comment>
    <comment ref="R74" authorId="1" shapeId="0" xr:uid="{00000000-0006-0000-0500-000023000000}">
      <text>
        <r>
          <rPr>
            <sz val="11"/>
            <color indexed="81"/>
            <rFont val="Tahoma"/>
            <family val="2"/>
          </rPr>
          <t>O vagt for Henning
Larsen
BV.</t>
        </r>
      </text>
    </comment>
    <comment ref="S74" authorId="1" shapeId="0" xr:uid="{00000000-0006-0000-0500-00002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Temamøde Griffen</t>
        </r>
      </text>
    </comment>
    <comment ref="T74" authorId="1" shapeId="0" xr:uid="{00000000-0006-0000-0500-00002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 + Valdemarsgade kl 14</t>
        </r>
      </text>
    </comment>
    <comment ref="U74" authorId="1" shapeId="0" xr:uid="{00000000-0006-0000-0500-00002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V74" authorId="1" shapeId="0" xr:uid="{00000000-0006-0000-0500-00002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Y74" authorId="1" shapeId="0" xr:uid="{00000000-0006-0000-0500-00002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SOF- Valdemarsgade 0815. Matthæus 1200. Spanien 1400</t>
        </r>
      </text>
    </comment>
    <comment ref="Z74" authorId="1" shapeId="0" xr:uid="{00000000-0006-0000-0500-00002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M-VAGT</t>
        </r>
      </text>
    </comment>
    <comment ref="AA74" authorId="1" shapeId="0" xr:uid="{00000000-0006-0000-0500-00002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M-VAGT</t>
        </r>
      </text>
    </comment>
    <comment ref="AB74" authorId="1" shapeId="0" xr:uid="{00000000-0006-0000-0500-00002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M-VAGT</t>
        </r>
      </text>
    </comment>
    <comment ref="AC74" authorId="1" shapeId="0" xr:uid="{00000000-0006-0000-0500-00002C000000}">
      <text>
        <r>
          <rPr>
            <b/>
            <sz val="9"/>
            <color indexed="81"/>
            <rFont val="Tahoma"/>
            <family val="2"/>
          </rPr>
          <t xml:space="preserve">sthert
</t>
        </r>
        <r>
          <rPr>
            <sz val="11"/>
            <color indexed="81"/>
            <rFont val="Tahoma"/>
            <family val="2"/>
          </rPr>
          <t>Hospital</t>
        </r>
      </text>
    </comment>
    <comment ref="AF74" authorId="1" shapeId="0" xr:uid="{00000000-0006-0000-0500-00002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Remisevej</t>
        </r>
      </text>
    </comment>
    <comment ref="L75" authorId="1" shapeId="0" xr:uid="{00000000-0006-0000-0500-00002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Griffenfeldagade</t>
        </r>
      </text>
    </comment>
    <comment ref="M75" authorId="1" shapeId="0" xr:uid="{00000000-0006-0000-0500-00002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R75" authorId="1" shapeId="0" xr:uid="{00000000-0006-0000-0500-00003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S75" authorId="1" shapeId="0" xr:uid="{00000000-0006-0000-0500-000031000000}">
      <text>
        <r>
          <rPr>
            <b/>
            <sz val="9"/>
            <color indexed="81"/>
            <rFont val="Tahoma"/>
            <family val="2"/>
          </rPr>
          <t>sthert:
Matthæusgade</t>
        </r>
      </text>
    </comment>
    <comment ref="T75" authorId="1" shapeId="0" xr:uid="{00000000-0006-0000-0500-00003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U75" authorId="1" shapeId="0" xr:uid="{00000000-0006-0000-0500-00003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V75" authorId="1" shapeId="0" xr:uid="{00000000-0006-0000-0500-000034000000}">
      <text>
        <r>
          <rPr>
            <b/>
            <sz val="9"/>
            <color indexed="81"/>
            <rFont val="Tahoma"/>
            <family val="2"/>
          </rPr>
          <t>sthert:
Spaniensgade</t>
        </r>
      </text>
    </comment>
    <comment ref="Y75" authorId="1" shapeId="0" xr:uid="{00000000-0006-0000-0500-00003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M-VAGT</t>
        </r>
      </text>
    </comment>
    <comment ref="AC75" authorId="1" shapeId="0" xr:uid="{00000000-0006-0000-0500-00003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M-VAGT</t>
        </r>
      </text>
    </comment>
    <comment ref="AF75" authorId="1" shapeId="0" xr:uid="{00000000-0006-0000-0500-00003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D76" authorId="1" shapeId="0" xr:uid="{00000000-0006-0000-0500-00003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E-VAGT</t>
        </r>
      </text>
    </comment>
    <comment ref="E76" authorId="1" shapeId="0" xr:uid="{00000000-0006-0000-0500-00003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Svendborggade</t>
        </r>
      </text>
    </comment>
    <comment ref="H76" authorId="1" shapeId="0" xr:uid="{00000000-0006-0000-0500-00003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E-vagt</t>
        </r>
      </text>
    </comment>
    <comment ref="M76" authorId="1" shapeId="0" xr:uid="{00000000-0006-0000-0500-00003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bestyrelsmøde</t>
        </r>
      </text>
    </comment>
    <comment ref="Y86" authorId="1" shapeId="0" xr:uid="{00000000-0006-0000-0500-00003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G-VAGT</t>
        </r>
      </text>
    </comment>
    <comment ref="Z86" authorId="1" shapeId="0" xr:uid="{00000000-0006-0000-0500-00003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G-VAGT</t>
        </r>
      </text>
    </comment>
    <comment ref="AA86" authorId="1" shapeId="0" xr:uid="{00000000-0006-0000-0500-00003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G-VAGT</t>
        </r>
      </text>
    </comment>
    <comment ref="AB86" authorId="1" shapeId="0" xr:uid="{00000000-0006-0000-0500-00003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G-VAGT</t>
        </r>
      </text>
    </comment>
    <comment ref="AC86" authorId="1" shapeId="0" xr:uid="{00000000-0006-0000-0500-00004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G-VAGT</t>
        </r>
      </text>
    </comment>
    <comment ref="AF86" authorId="1" shapeId="0" xr:uid="{00000000-0006-0000-0500-00004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i1</t>
        </r>
      </text>
    </comment>
    <comment ref="D87" authorId="1" shapeId="0" xr:uid="{00000000-0006-0000-0500-00004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Griffenfeldgade oplæring</t>
        </r>
      </text>
    </comment>
    <comment ref="E87" authorId="1" shapeId="0" xr:uid="{00000000-0006-0000-0500-00004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Griffenfeldgade oplæring</t>
        </r>
      </text>
    </comment>
    <comment ref="F87" authorId="1" shapeId="0" xr:uid="{00000000-0006-0000-0500-00004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Griffenfeldgade oplæring</t>
        </r>
      </text>
    </comment>
    <comment ref="H87" authorId="1" shapeId="0" xr:uid="{00000000-0006-0000-0500-00004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C-vagt</t>
        </r>
      </text>
    </comment>
    <comment ref="L87" authorId="1" shapeId="0" xr:uid="{00000000-0006-0000-0500-00004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Griffenfeldsgade oplæring</t>
        </r>
      </text>
    </comment>
    <comment ref="M87" authorId="1" shapeId="0" xr:uid="{00000000-0006-0000-0500-00004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Griffenfeldsgade oplæring</t>
        </r>
      </text>
    </comment>
    <comment ref="N87" authorId="1" shapeId="0" xr:uid="{00000000-0006-0000-0500-00004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Griffenfeldsgade oplæring</t>
        </r>
      </text>
    </comment>
    <comment ref="O87" authorId="1" shapeId="0" xr:uid="{00000000-0006-0000-0500-00004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Griffenfeldsgade oplæring</t>
        </r>
      </text>
    </comment>
    <comment ref="S87" authorId="1" shapeId="0" xr:uid="{00000000-0006-0000-0500-00004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Gl. KØGE Landevej</t>
        </r>
      </text>
    </comment>
    <comment ref="T87" authorId="1" shapeId="0" xr:uid="{00000000-0006-0000-0500-00004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Gl. KØGE Landevej</t>
        </r>
      </text>
    </comment>
    <comment ref="U87" authorId="1" shapeId="0" xr:uid="{00000000-0006-0000-0500-00004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Gl. KØGE Landevej</t>
        </r>
      </text>
    </comment>
    <comment ref="V87" authorId="1" shapeId="0" xr:uid="{00000000-0006-0000-0500-00004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Y87" authorId="1" shapeId="0" xr:uid="{00000000-0006-0000-0500-00004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 1330</t>
        </r>
      </text>
    </comment>
    <comment ref="Z87" authorId="1" shapeId="0" xr:uid="{00000000-0006-0000-0500-00004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O-VAGT</t>
        </r>
      </text>
    </comment>
    <comment ref="AA87" authorId="1" shapeId="0" xr:uid="{00000000-0006-0000-0500-00005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O-VAGT</t>
        </r>
      </text>
    </comment>
    <comment ref="AB87" authorId="1" shapeId="0" xr:uid="{00000000-0006-0000-0500-00005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O-VAGT</t>
        </r>
      </text>
    </comment>
    <comment ref="AC87" authorId="1" shapeId="0" xr:uid="{00000000-0006-0000-0500-00005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O-VAGT</t>
        </r>
      </text>
    </comment>
    <comment ref="AF87" authorId="1" shapeId="0" xr:uid="{00000000-0006-0000-0500-00005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M-VAGT og K2 på overarbejde</t>
        </r>
      </text>
    </comment>
    <comment ref="Y88" authorId="1" shapeId="0" xr:uid="{00000000-0006-0000-0500-00005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0-vagt gl. køge</t>
        </r>
      </text>
    </comment>
    <comment ref="Z88" authorId="1" shapeId="0" xr:uid="{00000000-0006-0000-0500-00005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K5</t>
        </r>
      </text>
    </comment>
    <comment ref="AA88" authorId="1" shapeId="0" xr:uid="{00000000-0006-0000-0500-00005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K5</t>
        </r>
      </text>
    </comment>
    <comment ref="AB88" authorId="1" shapeId="0" xr:uid="{00000000-0006-0000-0500-00005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K2</t>
        </r>
      </text>
    </comment>
    <comment ref="AC88" authorId="1" shapeId="0" xr:uid="{00000000-0006-0000-0500-00005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K2</t>
        </r>
      </text>
    </comment>
    <comment ref="AF88" authorId="1" shapeId="0" xr:uid="{00000000-0006-0000-0500-00005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Fuglebakken 0815 - 1515</t>
        </r>
      </text>
    </comment>
    <comment ref="S99" authorId="3" shapeId="0" xr:uid="{00000000-0006-0000-0500-00005A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Går kl 12</t>
        </r>
      </text>
    </comment>
    <comment ref="AB99" authorId="3" shapeId="0" xr:uid="{00000000-0006-0000-0500-00005B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Går kl 15</t>
        </r>
      </text>
    </comment>
    <comment ref="H119" authorId="0" shapeId="0" xr:uid="{00000000-0006-0000-0500-00005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Flexdag</t>
        </r>
      </text>
    </comment>
    <comment ref="AC119" authorId="1" shapeId="0" xr:uid="{00000000-0006-0000-0500-00005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Intern flexdag</t>
        </r>
      </text>
    </comment>
    <comment ref="M121" authorId="1" shapeId="0" xr:uid="{00000000-0006-0000-0500-00005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Til undersøgelse roskilde.</t>
        </r>
      </text>
    </comment>
    <comment ref="S123" authorId="1" shapeId="0" xr:uid="{00000000-0006-0000-0500-00005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Kursus med sof fra kl. 12</t>
        </r>
      </text>
    </comment>
    <comment ref="AF123" authorId="1" shapeId="0" xr:uid="{00000000-0006-0000-0500-00006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Læge 0900-1200</t>
        </r>
      </text>
    </comment>
    <comment ref="V124" authorId="1" shapeId="0" xr:uid="{00000000-0006-0000-0500-00006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Til LÆGE</t>
        </r>
      </text>
    </comment>
    <comment ref="Y125" authorId="1" shapeId="0" xr:uid="{00000000-0006-0000-0500-00006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Møder Fuglebakken 0800-1500</t>
        </r>
      </text>
    </comment>
    <comment ref="AA125" authorId="1" shapeId="0" xr:uid="{00000000-0006-0000-0500-00006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Møder Fuglebakken 0800-1500</t>
        </r>
      </text>
    </comment>
    <comment ref="M140" authorId="0" shapeId="0" xr:uid="{00000000-0006-0000-0500-00006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Er indberettet</t>
        </r>
      </text>
    </comment>
    <comment ref="R168" authorId="0" shapeId="0" xr:uid="{00000000-0006-0000-0500-000065000000}">
      <text>
        <r>
          <rPr>
            <b/>
            <sz val="9"/>
            <color indexed="81"/>
            <rFont val="Tahoma"/>
            <family val="2"/>
          </rPr>
          <t>flniel
FUGLEBAKKEN</t>
        </r>
      </text>
    </comment>
    <comment ref="T168" authorId="0" shapeId="0" xr:uid="{00000000-0006-0000-0500-000066000000}">
      <text>
        <r>
          <rPr>
            <b/>
            <sz val="9"/>
            <color indexed="81"/>
            <rFont val="Tahoma"/>
            <family val="2"/>
          </rPr>
          <t>flniel
Valdemarsgade 0815-1400</t>
        </r>
      </text>
    </comment>
    <comment ref="U168" authorId="0" shapeId="0" xr:uid="{00000000-0006-0000-0500-000067000000}">
      <text>
        <r>
          <rPr>
            <b/>
            <sz val="9"/>
            <color indexed="81"/>
            <rFont val="Tahoma"/>
            <family val="2"/>
          </rPr>
          <t>flniel
FUGLEBAKKEN</t>
        </r>
      </text>
    </comment>
    <comment ref="V168" authorId="0" shapeId="0" xr:uid="{00000000-0006-0000-0500-000068000000}">
      <text>
        <r>
          <rPr>
            <b/>
            <sz val="9"/>
            <color indexed="81"/>
            <rFont val="Tahoma"/>
            <family val="2"/>
          </rPr>
          <t>flniel
Valdemarsgade</t>
        </r>
      </text>
    </comment>
    <comment ref="AF168" authorId="1" shapeId="0" xr:uid="{00000000-0006-0000-0500-00006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H169" authorId="1" shapeId="0" xr:uid="{00000000-0006-0000-0500-00006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kl.07</t>
        </r>
      </text>
    </comment>
    <comment ref="AF169" authorId="0" shapeId="0" xr:uid="{00000000-0006-0000-0500-00006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0" authorId="0" shapeId="0" xr:uid="{00000000-0006-0000-0500-00006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Er Indberettet</t>
        </r>
      </text>
    </comment>
    <comment ref="R170" authorId="0" shapeId="0" xr:uid="{00000000-0006-0000-0500-00006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S170" authorId="0" shapeId="0" xr:uid="{00000000-0006-0000-0500-00006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T170" authorId="0" shapeId="0" xr:uid="{00000000-0006-0000-0500-00006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U170" authorId="0" shapeId="0" xr:uid="{00000000-0006-0000-0500-00007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V170" authorId="0" shapeId="0" xr:uid="{00000000-0006-0000-0500-00007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D171" authorId="2" shapeId="0" xr:uid="{00000000-0006-0000-0500-000072000000}">
      <text>
        <r>
          <rPr>
            <sz val="10"/>
            <color indexed="81"/>
            <rFont val="Tahoma"/>
            <family val="2"/>
          </rPr>
          <t>Tager K5 på OA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71" authorId="1" shapeId="0" xr:uid="{00000000-0006-0000-0500-00007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V173" authorId="0" shapeId="0" xr:uid="{00000000-0006-0000-0500-00007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Ørnevej 0815 - 1415</t>
        </r>
      </text>
    </comment>
    <comment ref="S204" authorId="0" shapeId="0" xr:uid="{00000000-0006-0000-0500-00007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Er raskmeldt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sthert</author>
    <author>marasm</author>
    <author>erskyg</author>
    <author>flniel</author>
    <author>benvil</author>
  </authors>
  <commentList>
    <comment ref="W38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 vagt Svanevej</t>
        </r>
      </text>
    </comment>
    <comment ref="X38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 vagt Svanevej</t>
        </r>
      </text>
    </comment>
    <comment ref="Y38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 vagt Svanevej</t>
        </r>
      </text>
    </comment>
    <comment ref="Z38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 vagt Svanevej</t>
        </r>
      </text>
    </comment>
    <comment ref="AA38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 vagt Svanevej</t>
        </r>
      </text>
    </comment>
    <comment ref="AD38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på Svanevej</t>
        </r>
      </text>
    </comment>
    <comment ref="AE38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Møder på Svanevej</t>
        </r>
      </text>
    </comment>
    <comment ref="AF38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Møder på Svanevej</t>
        </r>
      </text>
    </comment>
    <comment ref="AG38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Møder på Svanevej</t>
        </r>
      </text>
    </comment>
    <comment ref="S39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Svanevej 13-18</t>
        </r>
      </text>
    </comment>
    <comment ref="T39" authorId="2" shapeId="0" xr:uid="{00000000-0006-0000-0600-00000B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på Svanevej til kl. 13, og derefter her</t>
        </r>
      </text>
    </comment>
    <comment ref="P41" authorId="3" shapeId="0" xr:uid="{00000000-0006-0000-0600-00000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Vagthavende</t>
        </r>
      </text>
    </comment>
    <comment ref="AD49" authorId="0" shapeId="0" xr:uid="{00000000-0006-0000-0600-00000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10 vagt</t>
        </r>
      </text>
    </comment>
    <comment ref="AE49" authorId="0" shapeId="0" xr:uid="{00000000-0006-0000-0600-00000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10 vagt</t>
        </r>
      </text>
    </comment>
    <comment ref="AF49" authorId="0" shapeId="0" xr:uid="{00000000-0006-0000-0600-00000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10 vagt</t>
        </r>
      </text>
    </comment>
    <comment ref="AG49" authorId="0" shapeId="0" xr:uid="{00000000-0006-0000-0600-00001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10 vagtr</t>
        </r>
      </text>
    </comment>
    <comment ref="I74" authorId="0" shapeId="0" xr:uid="{00000000-0006-0000-0600-00001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</t>
        </r>
        <r>
          <rPr>
            <sz val="11"/>
            <color indexed="81"/>
            <rFont val="Tahoma"/>
            <family val="2"/>
          </rPr>
          <t>-VAGT</t>
        </r>
      </text>
    </comment>
    <comment ref="J74" authorId="0" shapeId="0" xr:uid="{00000000-0006-0000-0600-00001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</t>
        </r>
        <r>
          <rPr>
            <sz val="11"/>
            <color indexed="81"/>
            <rFont val="Tahoma"/>
            <family val="2"/>
          </rPr>
          <t>-VAGT</t>
        </r>
      </text>
    </comment>
    <comment ref="K74" authorId="0" shapeId="0" xr:uid="{00000000-0006-0000-0600-00001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</t>
        </r>
        <r>
          <rPr>
            <sz val="11"/>
            <color indexed="81"/>
            <rFont val="Tahoma"/>
            <family val="2"/>
          </rPr>
          <t>-VAGT</t>
        </r>
      </text>
    </comment>
    <comment ref="L74" authorId="0" shapeId="0" xr:uid="{00000000-0006-0000-0600-00001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</t>
        </r>
        <r>
          <rPr>
            <sz val="11"/>
            <color indexed="81"/>
            <rFont val="Tahoma"/>
            <family val="2"/>
          </rPr>
          <t>-VAGT</t>
        </r>
      </text>
    </comment>
    <comment ref="M74" authorId="0" shapeId="0" xr:uid="{00000000-0006-0000-0600-00001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</t>
        </r>
        <r>
          <rPr>
            <sz val="11"/>
            <color indexed="81"/>
            <rFont val="Tahoma"/>
            <family val="2"/>
          </rPr>
          <t>-VAGT</t>
        </r>
      </text>
    </comment>
    <comment ref="P74" authorId="0" shapeId="0" xr:uid="{00000000-0006-0000-0600-00001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E-vagt</t>
        </r>
      </text>
    </comment>
    <comment ref="Q74" authorId="0" shapeId="0" xr:uid="{00000000-0006-0000-0600-00001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E-vagt</t>
        </r>
      </text>
    </comment>
    <comment ref="R74" authorId="0" shapeId="0" xr:uid="{00000000-0006-0000-0600-00001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S74" authorId="0" shapeId="0" xr:uid="{00000000-0006-0000-0600-00001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+ sof</t>
        </r>
      </text>
    </comment>
    <comment ref="T74" authorId="0" shapeId="0" xr:uid="{00000000-0006-0000-0600-00001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W74" authorId="0" shapeId="0" xr:uid="{00000000-0006-0000-0600-00001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 passe modtagelse</t>
        </r>
      </text>
    </comment>
    <comment ref="X74" authorId="0" shapeId="0" xr:uid="{00000000-0006-0000-0600-00001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 passe modtagelse</t>
        </r>
      </text>
    </comment>
    <comment ref="Y74" authorId="0" shapeId="0" xr:uid="{00000000-0006-0000-0600-00001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 passe modtagelse</t>
        </r>
      </text>
    </comment>
    <comment ref="Z74" authorId="0" shapeId="0" xr:uid="{00000000-0006-0000-0600-00001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 passe modtagelse</t>
        </r>
      </text>
    </comment>
    <comment ref="AA74" authorId="0" shapeId="0" xr:uid="{00000000-0006-0000-0600-00001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 passe modtagelse</t>
        </r>
      </text>
    </comment>
    <comment ref="AD74" authorId="0" shapeId="0" xr:uid="{00000000-0006-0000-0600-00002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E-VAGT</t>
        </r>
      </text>
    </comment>
    <comment ref="AE74" authorId="0" shapeId="0" xr:uid="{00000000-0006-0000-0600-00002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E-VAGT</t>
        </r>
      </text>
    </comment>
    <comment ref="AF74" authorId="0" shapeId="0" xr:uid="{00000000-0006-0000-0600-00002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E-VAGT</t>
        </r>
      </text>
    </comment>
    <comment ref="AG74" authorId="0" shapeId="0" xr:uid="{00000000-0006-0000-0600-00002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E-VAGT</t>
        </r>
      </text>
    </comment>
    <comment ref="C75" authorId="0" shapeId="0" xr:uid="{00000000-0006-0000-0600-00002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D75" authorId="0" shapeId="0" xr:uid="{00000000-0006-0000-0600-00002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E75" authorId="0" shapeId="0" xr:uid="{00000000-0006-0000-0600-00002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F75" authorId="0" shapeId="0" xr:uid="{00000000-0006-0000-0600-00002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P75" authorId="0" shapeId="0" xr:uid="{00000000-0006-0000-0600-00002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K-VAGT</t>
        </r>
      </text>
    </comment>
    <comment ref="R75" authorId="4" shapeId="0" xr:uid="{00000000-0006-0000-0600-00002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T75" authorId="4" shapeId="0" xr:uid="{00000000-0006-0000-0600-00002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W75" authorId="0" shapeId="0" xr:uid="{00000000-0006-0000-0600-00002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X75" authorId="0" shapeId="0" xr:uid="{00000000-0006-0000-0600-00002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Y75" authorId="0" shapeId="0" xr:uid="{00000000-0006-0000-0600-00002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Z75" authorId="4" shapeId="0" xr:uid="{00000000-0006-0000-0600-00002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Brønshøj + Fuglebakken 14 - 16</t>
        </r>
      </text>
    </comment>
    <comment ref="AA75" authorId="4" shapeId="0" xr:uid="{00000000-0006-0000-0600-00002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AD75" authorId="4" shapeId="0" xr:uid="{00000000-0006-0000-0600-00003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Brønshøj</t>
        </r>
      </text>
    </comment>
    <comment ref="AE75" authorId="4" shapeId="0" xr:uid="{00000000-0006-0000-0600-00003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Brønshøj</t>
        </r>
      </text>
    </comment>
    <comment ref="AF75" authorId="4" shapeId="0" xr:uid="{00000000-0006-0000-0600-00003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AG75" authorId="4" shapeId="0" xr:uid="{00000000-0006-0000-0600-00003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P76" authorId="0" shapeId="0" xr:uid="{00000000-0006-0000-0600-00003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Q76" authorId="0" shapeId="0" xr:uid="{00000000-0006-0000-0600-00003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R76" authorId="0" shapeId="0" xr:uid="{00000000-0006-0000-0600-00003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S76" authorId="0" shapeId="0" xr:uid="{00000000-0006-0000-0600-00003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T76" authorId="0" shapeId="0" xr:uid="{00000000-0006-0000-0600-00003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C86" authorId="0" shapeId="0" xr:uid="{00000000-0006-0000-0600-00003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i1</t>
        </r>
      </text>
    </comment>
    <comment ref="D86" authorId="0" shapeId="0" xr:uid="{00000000-0006-0000-0600-00003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Møder på rådhuset 0800-1515</t>
        </r>
      </text>
    </comment>
    <comment ref="E86" authorId="0" shapeId="0" xr:uid="{00000000-0006-0000-0600-00003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Møder på rådhuset 0800-1515</t>
        </r>
      </text>
    </comment>
    <comment ref="F86" authorId="0" shapeId="0" xr:uid="{00000000-0006-0000-0600-00003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Møder på rådhuset 0800-1515</t>
        </r>
      </text>
    </comment>
    <comment ref="I86" authorId="0" shapeId="0" xr:uid="{00000000-0006-0000-0600-00003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H-VAGT</t>
        </r>
      </text>
    </comment>
    <comment ref="J86" authorId="0" shapeId="0" xr:uid="{00000000-0006-0000-0600-00003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H-VAGT</t>
        </r>
      </text>
    </comment>
    <comment ref="K86" authorId="0" shapeId="0" xr:uid="{00000000-0006-0000-0600-00003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H-VAGT</t>
        </r>
      </text>
    </comment>
    <comment ref="L86" authorId="0" shapeId="0" xr:uid="{00000000-0006-0000-0600-00004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H-VAGT</t>
        </r>
      </text>
    </comment>
    <comment ref="M86" authorId="0" shapeId="0" xr:uid="{00000000-0006-0000-0600-00004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H-VAGT</t>
        </r>
      </text>
    </comment>
    <comment ref="P86" authorId="0" shapeId="0" xr:uid="{00000000-0006-0000-0600-00004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Q86" authorId="0" shapeId="0" xr:uid="{00000000-0006-0000-0600-00004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R86" authorId="0" shapeId="0" xr:uid="{00000000-0006-0000-0600-00004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S86" authorId="0" shapeId="0" xr:uid="{00000000-0006-0000-0600-00004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T86" authorId="0" shapeId="0" xr:uid="{00000000-0006-0000-0600-00004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D86" authorId="0" shapeId="0" xr:uid="{00000000-0006-0000-0600-00004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i1</t>
        </r>
      </text>
    </comment>
    <comment ref="AE86" authorId="0" shapeId="0" xr:uid="{00000000-0006-0000-0600-00004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i1</t>
        </r>
      </text>
    </comment>
    <comment ref="AF86" authorId="0" shapeId="0" xr:uid="{00000000-0006-0000-0600-00004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i1</t>
        </r>
      </text>
    </comment>
    <comment ref="AG86" authorId="0" shapeId="0" xr:uid="{00000000-0006-0000-0600-00004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Brønshøjvej</t>
        </r>
      </text>
    </comment>
    <comment ref="C87" authorId="0" shapeId="0" xr:uid="{00000000-0006-0000-0600-00004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M-VAGT</t>
        </r>
      </text>
    </comment>
    <comment ref="D87" authorId="0" shapeId="0" xr:uid="{00000000-0006-0000-0600-00004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M-VAGT</t>
        </r>
      </text>
    </comment>
    <comment ref="E87" authorId="0" shapeId="0" xr:uid="{00000000-0006-0000-0600-00004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M-VAGT + Griffen 0900-1200</t>
        </r>
      </text>
    </comment>
    <comment ref="F87" authorId="0" shapeId="0" xr:uid="{00000000-0006-0000-0600-00004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M-VAGT</t>
        </r>
      </text>
    </comment>
    <comment ref="S87" authorId="0" shapeId="0" xr:uid="{00000000-0006-0000-0600-00004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 ekstra mand</t>
        </r>
      </text>
    </comment>
    <comment ref="W87" authorId="0" shapeId="0" xr:uid="{00000000-0006-0000-0600-00005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X87" authorId="0" shapeId="0" xr:uid="{00000000-0006-0000-0600-00005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Y87" authorId="0" shapeId="0" xr:uid="{00000000-0006-0000-0600-00005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Z87" authorId="0" shapeId="0" xr:uid="{00000000-0006-0000-0600-00005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AA87" authorId="0" shapeId="0" xr:uid="{00000000-0006-0000-0600-00005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AD87" authorId="0" shapeId="0" xr:uid="{00000000-0006-0000-0600-00005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Gl. Køge</t>
        </r>
      </text>
    </comment>
    <comment ref="AE87" authorId="0" shapeId="0" xr:uid="{00000000-0006-0000-0600-00005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Gl. Køge</t>
        </r>
      </text>
    </comment>
    <comment ref="C88" authorId="0" shapeId="0" xr:uid="{00000000-0006-0000-0600-00005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88" authorId="0" shapeId="0" xr:uid="{00000000-0006-0000-0600-00005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Fuglebakken
</t>
        </r>
      </text>
    </comment>
    <comment ref="E88" authorId="0" shapeId="0" xr:uid="{00000000-0006-0000-0600-00005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Afspa fra kl.12</t>
        </r>
      </text>
    </comment>
    <comment ref="P88" authorId="0" shapeId="0" xr:uid="{00000000-0006-0000-0600-00005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Q88" authorId="0" shapeId="0" xr:uid="{00000000-0006-0000-0600-00005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R88" authorId="0" shapeId="0" xr:uid="{00000000-0006-0000-0600-00005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S88" authorId="0" shapeId="0" xr:uid="{00000000-0006-0000-0600-00005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T88" authorId="0" shapeId="0" xr:uid="{00000000-0006-0000-0600-00005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W88" authorId="0" shapeId="0" xr:uid="{00000000-0006-0000-0600-00005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X88" authorId="0" shapeId="0" xr:uid="{00000000-0006-0000-0600-00006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Y88" authorId="0" shapeId="0" xr:uid="{00000000-0006-0000-0600-00006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Z88" authorId="0" shapeId="0" xr:uid="{00000000-0006-0000-0600-00006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AA88" authorId="0" shapeId="0" xr:uid="{00000000-0006-0000-0600-00006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1-vagt + Fuglebakken 14 - 16</t>
        </r>
      </text>
    </comment>
    <comment ref="AG88" authorId="4" shapeId="0" xr:uid="{00000000-0006-0000-0600-00006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Gl. køge landevej 12-18</t>
        </r>
      </text>
    </comment>
    <comment ref="AF127" authorId="0" shapeId="0" xr:uid="{00000000-0006-0000-0600-00006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Læge</t>
        </r>
      </text>
    </comment>
    <comment ref="C166" authorId="0" shapeId="0" xr:uid="{00000000-0006-0000-0600-00006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D166" authorId="0" shapeId="0" xr:uid="{00000000-0006-0000-0600-00006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E166" authorId="0" shapeId="0" xr:uid="{00000000-0006-0000-0600-00006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F166" authorId="0" shapeId="0" xr:uid="{00000000-0006-0000-0600-00006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I166" authorId="0" shapeId="0" xr:uid="{00000000-0006-0000-0600-00006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J166" authorId="0" shapeId="0" xr:uid="{00000000-0006-0000-0600-00006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K166" authorId="0" shapeId="0" xr:uid="{00000000-0006-0000-0600-00006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L166" authorId="0" shapeId="0" xr:uid="{00000000-0006-0000-0600-00006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M166" authorId="0" shapeId="0" xr:uid="{00000000-0006-0000-0600-00006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P166" authorId="0" shapeId="0" xr:uid="{00000000-0006-0000-0600-00006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Q166" authorId="0" shapeId="0" xr:uid="{00000000-0006-0000-0600-00007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R166" authorId="0" shapeId="0" xr:uid="{00000000-0006-0000-0600-00007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S166" authorId="0" shapeId="0" xr:uid="{00000000-0006-0000-0600-00007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T166" authorId="0" shapeId="0" xr:uid="{00000000-0006-0000-0600-00007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W166" authorId="0" shapeId="0" xr:uid="{00000000-0006-0000-0600-00007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X166" authorId="0" shapeId="0" xr:uid="{00000000-0006-0000-0600-00007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Y166" authorId="0" shapeId="0" xr:uid="{00000000-0006-0000-0600-00007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Z166" authorId="0" shapeId="0" xr:uid="{00000000-0006-0000-0600-00007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AA166" authorId="0" shapeId="0" xr:uid="{00000000-0006-0000-0600-00007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E168" authorId="0" shapeId="0" xr:uid="{00000000-0006-0000-0600-00007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vagthavende
kursus 1000-1130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benvil</author>
    <author>marasm</author>
    <author>sthert</author>
    <author>bovolf</author>
  </authors>
  <commentList>
    <comment ref="F2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Fashion Week</t>
        </r>
      </text>
    </comment>
    <comment ref="G2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Fashion Week</t>
        </r>
      </text>
    </comment>
    <comment ref="H2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Fashion Week</t>
        </r>
      </text>
    </comment>
    <comment ref="I21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Fashion Week</t>
        </r>
      </text>
    </comment>
    <comment ref="M37" authorId="1" shapeId="0" xr:uid="{00000000-0006-0000-0700-00000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OA Griffen</t>
        </r>
      </text>
    </comment>
    <comment ref="N37" authorId="1" shapeId="0" xr:uid="{00000000-0006-0000-0700-00000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OA Griffen</t>
        </r>
      </text>
    </comment>
    <comment ref="O37" authorId="1" shapeId="0" xr:uid="{00000000-0006-0000-0700-00000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OA Griffen</t>
        </r>
      </text>
    </comment>
    <comment ref="C38" authorId="2" shapeId="0" xr:uid="{00000000-0006-0000-0700-000008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Møder på Svanevej</t>
        </r>
      </text>
    </comment>
    <comment ref="G46" authorId="3" shapeId="0" xr:uid="{00000000-0006-0000-0700-00000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Fashioweek</t>
        </r>
      </text>
    </comment>
    <comment ref="H46" authorId="3" shapeId="0" xr:uid="{00000000-0006-0000-0700-00000A000000}">
      <text>
        <r>
          <rPr>
            <b/>
            <sz val="9"/>
            <color indexed="81"/>
            <rFont val="Tahoma"/>
            <family val="2"/>
          </rPr>
          <t>sthert:
Borgerservice 0945-1215</t>
        </r>
        <r>
          <rPr>
            <sz val="9"/>
            <color indexed="81"/>
            <rFont val="Tahoma"/>
            <family val="2"/>
          </rPr>
          <t xml:space="preserve">
Fashioweek</t>
        </r>
      </text>
    </comment>
    <comment ref="I46" authorId="3" shapeId="0" xr:uid="{00000000-0006-0000-0700-00000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Fashioweek</t>
        </r>
      </text>
    </comment>
    <comment ref="J46" authorId="1" shapeId="0" xr:uid="{00000000-0006-0000-0700-00000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M46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Gl. Køgelandevej</t>
        </r>
      </text>
    </comment>
    <comment ref="C49" authorId="3" shapeId="0" xr:uid="{00000000-0006-0000-0700-00000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10 vagt</t>
        </r>
      </text>
    </comment>
    <comment ref="I61" authorId="1" shapeId="0" xr:uid="{00000000-0006-0000-0700-00000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Vagthavende</t>
        </r>
      </text>
    </comment>
    <comment ref="J61" authorId="1" shapeId="0" xr:uid="{00000000-0006-0000-0700-000010000000}">
      <text>
        <r>
          <rPr>
            <b/>
            <sz val="9"/>
            <color indexed="81"/>
            <rFont val="Tahoma"/>
            <family val="2"/>
          </rPr>
          <t>benv</t>
        </r>
        <r>
          <rPr>
            <b/>
            <sz val="11"/>
            <color indexed="81"/>
            <rFont val="Tahoma"/>
            <family val="2"/>
          </rPr>
          <t>il:</t>
        </r>
        <r>
          <rPr>
            <sz val="11"/>
            <color indexed="81"/>
            <rFont val="Tahoma"/>
            <family val="2"/>
          </rPr>
          <t xml:space="preserve">
Møder som vagthavende</t>
        </r>
      </text>
    </comment>
    <comment ref="M61" authorId="1" shapeId="0" xr:uid="{00000000-0006-0000-0700-00001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Vagthavende</t>
        </r>
      </text>
    </comment>
    <comment ref="N61" authorId="1" shapeId="0" xr:uid="{00000000-0006-0000-0700-00001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Vagthavende</t>
        </r>
      </text>
    </comment>
    <comment ref="O61" authorId="1" shapeId="0" xr:uid="{00000000-0006-0000-0700-00001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Vagthavende</t>
        </r>
      </text>
    </comment>
    <comment ref="P61" authorId="1" shapeId="0" xr:uid="{00000000-0006-0000-0700-00001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Vagthavende</t>
        </r>
      </text>
    </comment>
    <comment ref="Q61" authorId="1" shapeId="0" xr:uid="{00000000-0006-0000-0700-00001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Vagthavende</t>
        </r>
      </text>
    </comment>
    <comment ref="T61" authorId="1" shapeId="0" xr:uid="{00000000-0006-0000-0700-00001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Vagthavende</t>
        </r>
      </text>
    </comment>
    <comment ref="F74" authorId="3" shapeId="0" xr:uid="{00000000-0006-0000-0700-00001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H74" authorId="3" shapeId="0" xr:uid="{00000000-0006-0000-0700-00001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 + Fashioweek</t>
        </r>
      </text>
    </comment>
    <comment ref="I74" authorId="3" shapeId="0" xr:uid="{00000000-0006-0000-0700-00001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J74" authorId="3" shapeId="0" xr:uid="{00000000-0006-0000-0700-00001A000000}">
      <text>
        <r>
          <rPr>
            <b/>
            <sz val="9"/>
            <color indexed="81"/>
            <rFont val="Tahoma"/>
            <family val="2"/>
          </rPr>
          <t>sthert:
Sof</t>
        </r>
      </text>
    </comment>
    <comment ref="M74" authorId="3" shapeId="0" xr:uid="{00000000-0006-0000-0700-00001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
Passe modtagelse</t>
        </r>
      </text>
    </comment>
    <comment ref="N74" authorId="3" shapeId="0" xr:uid="{00000000-0006-0000-0700-00001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
Passe modtagelse
+ support nem-id</t>
        </r>
      </text>
    </comment>
    <comment ref="O74" authorId="3" shapeId="0" xr:uid="{00000000-0006-0000-0700-00001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
Passe modtagelse</t>
        </r>
      </text>
    </comment>
    <comment ref="P74" authorId="3" shapeId="0" xr:uid="{00000000-0006-0000-0700-00001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
Passe modtagelse</t>
        </r>
      </text>
    </comment>
    <comment ref="Q74" authorId="3" shapeId="0" xr:uid="{00000000-0006-0000-0700-00001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
Passe modtagelse</t>
        </r>
      </text>
    </comment>
    <comment ref="X74" authorId="3" shapeId="0" xr:uid="{00000000-0006-0000-0700-00002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COK 12-15</t>
        </r>
      </text>
    </comment>
    <comment ref="C75" authorId="1" shapeId="0" xr:uid="{00000000-0006-0000-0700-00002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D75" authorId="1" shapeId="0" xr:uid="{00000000-0006-0000-0700-00002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Hovedport pga. Modeuge kl. 13</t>
        </r>
      </text>
    </comment>
    <comment ref="F75" authorId="3" shapeId="0" xr:uid="{00000000-0006-0000-0700-00002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K5</t>
        </r>
      </text>
    </comment>
    <comment ref="G75" authorId="3" shapeId="0" xr:uid="{00000000-0006-0000-0700-00002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Fashionweek møder kl. 6</t>
        </r>
      </text>
    </comment>
    <comment ref="H75" authorId="3" shapeId="0" xr:uid="{00000000-0006-0000-0700-00002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Fashionweek</t>
        </r>
      </text>
    </comment>
    <comment ref="I75" authorId="3" shapeId="0" xr:uid="{00000000-0006-0000-0700-00002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Fashionweek</t>
        </r>
      </text>
    </comment>
    <comment ref="J75" authorId="0" shapeId="0" xr:uid="{00000000-0006-0000-0700-00002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Ørnevej</t>
        </r>
      </text>
    </comment>
    <comment ref="C86" authorId="3" shapeId="0" xr:uid="{00000000-0006-0000-0700-00002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Brønshøjvej</t>
        </r>
      </text>
    </comment>
    <comment ref="F86" authorId="3" shapeId="0" xr:uid="{00000000-0006-0000-0700-00002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GL. KØGE LANDEVEJ</t>
        </r>
      </text>
    </comment>
    <comment ref="G86" authorId="3" shapeId="0" xr:uid="{00000000-0006-0000-0700-00002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GL. KØGE LANDEVEJ + K5</t>
        </r>
      </text>
    </comment>
    <comment ref="H86" authorId="3" shapeId="0" xr:uid="{00000000-0006-0000-0700-00002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GL. KØGE LANDEVEJ</t>
        </r>
      </text>
    </comment>
    <comment ref="I86" authorId="3" shapeId="0" xr:uid="{00000000-0006-0000-0700-00002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GL. KØGE LANDEVEJ</t>
        </r>
      </text>
    </comment>
    <comment ref="J86" authorId="3" shapeId="0" xr:uid="{00000000-0006-0000-0700-00002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GL. KØGE LANDEVEJ</t>
        </r>
      </text>
    </comment>
    <comment ref="F88" authorId="3" shapeId="0" xr:uid="{00000000-0006-0000-0700-00002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K-VAGT</t>
        </r>
      </text>
    </comment>
    <comment ref="G88" authorId="3" shapeId="0" xr:uid="{00000000-0006-0000-0700-00002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K-VAGT</t>
        </r>
      </text>
    </comment>
    <comment ref="H88" authorId="3" shapeId="0" xr:uid="{00000000-0006-0000-0700-00003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K-VAGT</t>
        </r>
      </text>
    </comment>
    <comment ref="I88" authorId="3" shapeId="0" xr:uid="{00000000-0006-0000-0700-00003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K-VAGT</t>
        </r>
      </text>
    </comment>
    <comment ref="J88" authorId="3" shapeId="0" xr:uid="{00000000-0006-0000-0700-00003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K-VAGT</t>
        </r>
      </text>
    </comment>
    <comment ref="M88" authorId="3" shapeId="0" xr:uid="{00000000-0006-0000-0700-00003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på hospitalet</t>
        </r>
      </text>
    </comment>
    <comment ref="N88" authorId="3" shapeId="0" xr:uid="{00000000-0006-0000-0700-00003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K-VAGT</t>
        </r>
      </text>
    </comment>
    <comment ref="O88" authorId="3" shapeId="0" xr:uid="{00000000-0006-0000-0700-00003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K-VAGT</t>
        </r>
      </text>
    </comment>
    <comment ref="P88" authorId="3" shapeId="0" xr:uid="{00000000-0006-0000-0700-00003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K-VAGT</t>
        </r>
      </text>
    </comment>
    <comment ref="AC88" authorId="4" shapeId="0" xr:uid="{00000000-0006-0000-0700-000037000000}">
      <text>
        <r>
          <rPr>
            <sz val="10"/>
            <color indexed="81"/>
            <rFont val="Tahoma"/>
            <family val="2"/>
          </rPr>
          <t>Mødt kl.6:00 på stuen.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120" authorId="1" shapeId="0" xr:uid="{00000000-0006-0000-0700-00003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Møder</t>
        </r>
      </text>
    </comment>
    <comment ref="M127" authorId="3" shapeId="0" xr:uid="{00000000-0006-0000-0700-00003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U127" authorId="3" shapeId="0" xr:uid="{00000000-0006-0000-0700-00003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Læge</t>
        </r>
      </text>
    </comment>
    <comment ref="U166" authorId="0" shapeId="0" xr:uid="{00000000-0006-0000-0700-00003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AA166" authorId="0" shapeId="0" xr:uid="{00000000-0006-0000-0700-00003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AB166" authorId="0" shapeId="0" xr:uid="{00000000-0006-0000-0700-00003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AC166" authorId="0" shapeId="0" xr:uid="{00000000-0006-0000-0700-00003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AD166" authorId="0" shapeId="0" xr:uid="{00000000-0006-0000-0700-00003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AE166" authorId="0" shapeId="0" xr:uid="{00000000-0006-0000-0700-00004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AE169" authorId="0" shapeId="0" xr:uid="{00000000-0006-0000-0700-00004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kursus aften</t>
        </r>
      </text>
    </comment>
    <comment ref="G170" authorId="0" shapeId="0" xr:uid="{00000000-0006-0000-0700-00004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OA Ørnevej</t>
        </r>
      </text>
    </comment>
    <comment ref="I170" authorId="1" shapeId="0" xr:uid="{00000000-0006-0000-0700-00004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OA møder Griffen kl. 10:30</t>
        </r>
      </text>
    </comment>
    <comment ref="AE172" authorId="0" shapeId="0" xr:uid="{00000000-0006-0000-0700-00004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N180" authorId="3" shapeId="0" xr:uid="{00000000-0006-0000-0700-00004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Ørnevej oa.</t>
        </r>
      </text>
    </comment>
    <comment ref="AD180" authorId="4" shapeId="0" xr:uid="{00000000-0006-0000-0700-000046000000}">
      <text>
        <r>
          <rPr>
            <sz val="10"/>
            <color indexed="81"/>
            <rFont val="Tahoma"/>
            <family val="2"/>
          </rPr>
          <t>3 vagt på OA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80" authorId="4" shapeId="0" xr:uid="{00000000-0006-0000-0700-000047000000}">
      <text>
        <r>
          <rPr>
            <sz val="10"/>
            <color indexed="81"/>
            <rFont val="Tahoma"/>
            <family val="2"/>
          </rPr>
          <t>3 vagt på OA
BV.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benvil</author>
    <author>jilars</author>
    <author>sthert</author>
    <author>mipede</author>
    <author>marasm</author>
    <author>erskyg</author>
    <author>bovolf</author>
  </authors>
  <commentList>
    <comment ref="X17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OA 1430 - 2230</t>
        </r>
      </text>
    </comment>
    <comment ref="AE17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OA Svanevej 9-15</t>
        </r>
      </text>
    </comment>
    <comment ref="AF17" authorId="1" shapeId="0" xr:uid="{00000000-0006-0000-0800-00000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OA Svanevej 9-15</t>
        </r>
      </text>
    </comment>
    <comment ref="C2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Regninger</t>
        </r>
      </text>
    </comment>
    <comment ref="D21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Regninger</t>
        </r>
      </text>
    </comment>
    <comment ref="E21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Regninger</t>
        </r>
      </text>
    </comment>
    <comment ref="F2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Regninger</t>
        </r>
      </text>
    </comment>
    <comment ref="G21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Regninger</t>
        </r>
      </text>
    </comment>
    <comment ref="J21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Regninger</t>
        </r>
      </text>
    </comment>
    <comment ref="Q37" authorId="2" shapeId="0" xr:uid="{00000000-0006-0000-0800-00000A000000}">
      <text>
        <r>
          <rPr>
            <b/>
            <sz val="10"/>
            <color indexed="81"/>
            <rFont val="Tahoma"/>
            <family val="2"/>
          </rPr>
          <t>1-Vagt på OA</t>
        </r>
      </text>
    </comment>
    <comment ref="R37" authorId="2" shapeId="0" xr:uid="{00000000-0006-0000-0800-00000B000000}">
      <text>
        <r>
          <rPr>
            <b/>
            <sz val="10"/>
            <color indexed="81"/>
            <rFont val="Tahoma"/>
            <family val="2"/>
          </rPr>
          <t>1-Vagt på OA</t>
        </r>
      </text>
    </comment>
    <comment ref="S37" authorId="2" shapeId="0" xr:uid="{00000000-0006-0000-0800-00000C000000}">
      <text>
        <r>
          <rPr>
            <b/>
            <sz val="10"/>
            <color indexed="81"/>
            <rFont val="Tahoma"/>
            <family val="2"/>
          </rPr>
          <t>1-Vagt på OA</t>
        </r>
      </text>
    </comment>
    <comment ref="U37" authorId="2" shapeId="0" xr:uid="{00000000-0006-0000-0800-00000D000000}">
      <text>
        <r>
          <rPr>
            <b/>
            <sz val="10"/>
            <color indexed="81"/>
            <rFont val="Tahoma"/>
            <family val="2"/>
          </rPr>
          <t>1-Vagt på OA</t>
        </r>
      </text>
    </comment>
    <comment ref="AE37" authorId="0" shapeId="0" xr:uid="{00000000-0006-0000-0800-00000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13 -15
Hovedkassen</t>
        </r>
      </text>
    </comment>
    <comment ref="AE41" authorId="0" shapeId="0" xr:uid="{00000000-0006-0000-0800-00000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13 -15
Hovedkassen</t>
        </r>
      </text>
    </comment>
    <comment ref="AE42" authorId="0" shapeId="0" xr:uid="{00000000-0006-0000-0800-00001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13 -15
Hovedkassen</t>
        </r>
      </text>
    </comment>
    <comment ref="G46" authorId="3" shapeId="0" xr:uid="{00000000-0006-0000-0800-00001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N-VAGT</t>
        </r>
      </text>
    </comment>
    <comment ref="AE46" authorId="0" shapeId="0" xr:uid="{00000000-0006-0000-0800-00001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13 -15
Hovedkassen</t>
        </r>
      </text>
    </comment>
    <comment ref="AE47" authorId="0" shapeId="0" xr:uid="{00000000-0006-0000-0800-00001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13 -15
Hovedkassen</t>
        </r>
      </text>
    </comment>
    <comment ref="AE48" authorId="0" shapeId="0" xr:uid="{00000000-0006-0000-0800-00001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13 -15
Hovedkassen</t>
        </r>
      </text>
    </comment>
    <comment ref="K74" authorId="3" shapeId="0" xr:uid="{00000000-0006-0000-0800-00001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</t>
        </r>
      </text>
    </comment>
    <comment ref="L74" authorId="3" shapeId="0" xr:uid="{00000000-0006-0000-0800-00001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</t>
        </r>
      </text>
    </comment>
    <comment ref="M74" authorId="3" shapeId="0" xr:uid="{00000000-0006-0000-0800-00001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</t>
        </r>
      </text>
    </comment>
    <comment ref="N74" authorId="3" shapeId="0" xr:uid="{00000000-0006-0000-0800-00001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</t>
        </r>
      </text>
    </comment>
    <comment ref="Q74" authorId="3" shapeId="0" xr:uid="{00000000-0006-0000-0800-00001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N-VAGT</t>
        </r>
      </text>
    </comment>
    <comment ref="R74" authorId="3" shapeId="0" xr:uid="{00000000-0006-0000-0800-00001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N-VAGT</t>
        </r>
      </text>
    </comment>
    <comment ref="S74" authorId="3" shapeId="0" xr:uid="{00000000-0006-0000-0800-00001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+ remisevej 11-1330</t>
        </r>
      </text>
    </comment>
    <comment ref="T74" authorId="3" shapeId="0" xr:uid="{00000000-0006-0000-0800-00001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N-VAGT</t>
        </r>
      </text>
    </comment>
    <comment ref="U74" authorId="3" shapeId="0" xr:uid="{00000000-0006-0000-0800-00001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N-VAGT</t>
        </r>
      </text>
    </comment>
    <comment ref="AB74" authorId="1" shapeId="0" xr:uid="{00000000-0006-0000-0800-00001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AE74" authorId="3" shapeId="0" xr:uid="{00000000-0006-0000-0800-00001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1 vagt</t>
        </r>
      </text>
    </comment>
    <comment ref="AF74" authorId="3" shapeId="0" xr:uid="{00000000-0006-0000-0800-00002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 + Matthæusgade fra 13:30</t>
        </r>
      </text>
    </comment>
    <comment ref="C75" authorId="3" shapeId="0" xr:uid="{00000000-0006-0000-0800-00002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P-VAGT</t>
        </r>
      </text>
    </comment>
    <comment ref="D75" authorId="3" shapeId="0" xr:uid="{00000000-0006-0000-0800-00002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P-VAGT</t>
        </r>
      </text>
    </comment>
    <comment ref="E75" authorId="3" shapeId="0" xr:uid="{00000000-0006-0000-0800-00002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P-VAGT</t>
        </r>
      </text>
    </comment>
    <comment ref="F75" authorId="3" shapeId="0" xr:uid="{00000000-0006-0000-0800-00002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P-VAGT</t>
        </r>
      </text>
    </comment>
    <comment ref="G75" authorId="3" shapeId="0" xr:uid="{00000000-0006-0000-0800-00002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P-VAGT</t>
        </r>
      </text>
    </comment>
    <comment ref="J75" authorId="3" shapeId="0" xr:uid="{00000000-0006-0000-0800-00002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N-VAGT</t>
        </r>
      </text>
    </comment>
    <comment ref="K75" authorId="3" shapeId="0" xr:uid="{00000000-0006-0000-0800-00002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N-VAGT</t>
        </r>
      </text>
    </comment>
    <comment ref="L75" authorId="3" shapeId="0" xr:uid="{00000000-0006-0000-0800-00002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N-VAGT</t>
        </r>
      </text>
    </comment>
    <comment ref="M75" authorId="3" shapeId="0" xr:uid="{00000000-0006-0000-0800-00002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N-VAGT</t>
        </r>
      </text>
    </comment>
    <comment ref="N75" authorId="3" shapeId="0" xr:uid="{00000000-0006-0000-0800-00002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N-VAGT</t>
        </r>
      </text>
    </comment>
    <comment ref="Q75" authorId="3" shapeId="0" xr:uid="{00000000-0006-0000-0800-00002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R75" authorId="3" shapeId="0" xr:uid="{00000000-0006-0000-0800-00002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S75" authorId="3" shapeId="0" xr:uid="{00000000-0006-0000-0800-00002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T75" authorId="1" shapeId="0" xr:uid="{00000000-0006-0000-0800-00002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Svanevej</t>
        </r>
      </text>
    </comment>
    <comment ref="U75" authorId="3" shapeId="0" xr:uid="{00000000-0006-0000-0800-00002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X75" authorId="3" shapeId="0" xr:uid="{00000000-0006-0000-0800-00003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N-VAGT</t>
        </r>
      </text>
    </comment>
    <comment ref="Y75" authorId="3" shapeId="0" xr:uid="{00000000-0006-0000-0800-00003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75" authorId="3" shapeId="0" xr:uid="{00000000-0006-0000-0800-00003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75" authorId="3" shapeId="0" xr:uid="{00000000-0006-0000-0800-00003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N-VAGT</t>
        </r>
      </text>
    </comment>
    <comment ref="AB75" authorId="3" shapeId="0" xr:uid="{00000000-0006-0000-0800-00003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N-VAGT</t>
        </r>
      </text>
    </comment>
    <comment ref="AE75" authorId="3" shapeId="0" xr:uid="{00000000-0006-0000-0800-000035000000}">
      <text>
        <r>
          <rPr>
            <b/>
            <sz val="9"/>
            <color indexed="81"/>
            <rFont val="Tahoma"/>
            <family val="2"/>
          </rPr>
          <t>sthert:
Gl.Køge landevej + 11 vagt OA</t>
        </r>
      </text>
    </comment>
    <comment ref="AF75" authorId="3" shapeId="0" xr:uid="{00000000-0006-0000-0800-00003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 + Matthæusgade fra 13:30</t>
        </r>
      </text>
    </comment>
    <comment ref="Q76" authorId="3" shapeId="0" xr:uid="{00000000-0006-0000-0800-00003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P-VAGT</t>
        </r>
      </text>
    </comment>
    <comment ref="R76" authorId="3" shapeId="0" xr:uid="{00000000-0006-0000-0800-00003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P-VAGT</t>
        </r>
      </text>
    </comment>
    <comment ref="S76" authorId="3" shapeId="0" xr:uid="{00000000-0006-0000-0800-00003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P-VAGT</t>
        </r>
      </text>
    </comment>
    <comment ref="F86" authorId="0" shapeId="0" xr:uid="{00000000-0006-0000-0800-00003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Simon møder kl. ca. 18.30 og 19.</t>
        </r>
      </text>
    </comment>
    <comment ref="J86" authorId="3" shapeId="0" xr:uid="{00000000-0006-0000-0800-00003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G-VAGT</t>
        </r>
      </text>
    </comment>
    <comment ref="L86" authorId="3" shapeId="0" xr:uid="{00000000-0006-0000-0800-00003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M86" authorId="3" shapeId="0" xr:uid="{00000000-0006-0000-0800-00003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N86" authorId="3" shapeId="0" xr:uid="{00000000-0006-0000-0800-00003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Q86" authorId="3" shapeId="0" xr:uid="{00000000-0006-0000-0800-00003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R86" authorId="3" shapeId="0" xr:uid="{00000000-0006-0000-0800-00004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S86" authorId="0" shapeId="0" xr:uid="{00000000-0006-0000-0800-000041000000}">
      <text>
        <r>
          <rPr>
            <b/>
            <sz val="9"/>
            <color indexed="81"/>
            <rFont val="Tahoma"/>
            <family val="2"/>
          </rPr>
          <t>flniel:
G-VAGT</t>
        </r>
      </text>
    </comment>
    <comment ref="T86" authorId="0" shapeId="0" xr:uid="{00000000-0006-0000-0800-000042000000}">
      <text>
        <r>
          <rPr>
            <b/>
            <sz val="9"/>
            <color indexed="81"/>
            <rFont val="Tahoma"/>
            <family val="2"/>
          </rPr>
          <t>flniel:
G-VAGT</t>
        </r>
      </text>
    </comment>
    <comment ref="U86" authorId="0" shapeId="0" xr:uid="{00000000-0006-0000-0800-00004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G-VAGT</t>
        </r>
      </text>
    </comment>
    <comment ref="AE86" authorId="3" shapeId="0" xr:uid="{00000000-0006-0000-0800-00004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Brønshøjvej</t>
        </r>
      </text>
    </comment>
    <comment ref="AF86" authorId="1" shapeId="0" xr:uid="{00000000-0006-0000-0800-00004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1 vagt</t>
        </r>
      </text>
    </comment>
    <comment ref="C87" authorId="3" shapeId="0" xr:uid="{00000000-0006-0000-0800-00004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GL. Køge landevej 3
0815-1315</t>
        </r>
      </text>
    </comment>
    <comment ref="D87" authorId="3" shapeId="0" xr:uid="{00000000-0006-0000-0800-00004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GL. Køge landevej 3
0815-1315</t>
        </r>
      </text>
    </comment>
    <comment ref="E87" authorId="3" shapeId="0" xr:uid="{00000000-0006-0000-0800-00004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GL. Køge landevej 3
0815-1315</t>
        </r>
      </text>
    </comment>
    <comment ref="F87" authorId="3" shapeId="0" xr:uid="{00000000-0006-0000-0800-00004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GL. Køge landevej 3
0815-1315</t>
        </r>
      </text>
    </comment>
    <comment ref="G87" authorId="3" shapeId="0" xr:uid="{00000000-0006-0000-0800-00004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GL. Køge landevej 3
0815-1315</t>
        </r>
      </text>
    </comment>
    <comment ref="J87" authorId="0" shapeId="0" xr:uid="{00000000-0006-0000-0800-00004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P-VAGT</t>
        </r>
      </text>
    </comment>
    <comment ref="K87" authorId="0" shapeId="0" xr:uid="{00000000-0006-0000-0800-00004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P-VAGT</t>
        </r>
      </text>
    </comment>
    <comment ref="L87" authorId="0" shapeId="0" xr:uid="{00000000-0006-0000-0800-00004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P-VAGT</t>
        </r>
      </text>
    </comment>
    <comment ref="M87" authorId="0" shapeId="0" xr:uid="{00000000-0006-0000-0800-00004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P-VAGT</t>
        </r>
      </text>
    </comment>
    <comment ref="N87" authorId="0" shapeId="0" xr:uid="{00000000-0006-0000-0800-00004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P-VAGT</t>
        </r>
      </text>
    </comment>
    <comment ref="Q87" authorId="3" shapeId="0" xr:uid="{00000000-0006-0000-0800-00005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P-VAGT fra kl. 14</t>
        </r>
      </text>
    </comment>
    <comment ref="T87" authorId="3" shapeId="0" xr:uid="{00000000-0006-0000-0800-00005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Gl.Køge landevej fra kl15.15</t>
        </r>
      </text>
    </comment>
    <comment ref="X87" authorId="3" shapeId="0" xr:uid="{00000000-0006-0000-0800-00005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Gl. Køge landevej</t>
        </r>
      </text>
    </comment>
    <comment ref="Y87" authorId="3" shapeId="0" xr:uid="{00000000-0006-0000-0800-00005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Svanevej
K5 OA</t>
        </r>
      </text>
    </comment>
    <comment ref="Z87" authorId="3" shapeId="0" xr:uid="{00000000-0006-0000-0800-00005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Svanevej
K5 OA</t>
        </r>
      </text>
    </comment>
    <comment ref="AA87" authorId="3" shapeId="0" xr:uid="{00000000-0006-0000-0800-00005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Går kl. 15:40</t>
        </r>
      </text>
    </comment>
    <comment ref="AB87" authorId="3" shapeId="0" xr:uid="{00000000-0006-0000-0800-00005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 + K2 på OA.</t>
        </r>
      </text>
    </comment>
    <comment ref="AE87" authorId="0" shapeId="0" xr:uid="{00000000-0006-0000-0800-00005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13 -15
Hovedkassen</t>
        </r>
      </text>
    </comment>
    <comment ref="C88" authorId="4" shapeId="0" xr:uid="{00000000-0006-0000-0800-000058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L-Vagt</t>
        </r>
      </text>
    </comment>
    <comment ref="D88" authorId="4" shapeId="0" xr:uid="{00000000-0006-0000-0800-000059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L-Vagt</t>
        </r>
      </text>
    </comment>
    <comment ref="F88" authorId="4" shapeId="0" xr:uid="{00000000-0006-0000-0800-00005A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L-Vagt</t>
        </r>
      </text>
    </comment>
    <comment ref="G88" authorId="4" shapeId="0" xr:uid="{00000000-0006-0000-0800-00005B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L-Vagt</t>
        </r>
      </text>
    </comment>
    <comment ref="Q88" authorId="3" shapeId="0" xr:uid="{00000000-0006-0000-0800-00005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Gl.Køge landevej til kl. 11. derefter 4-vagt</t>
        </r>
      </text>
    </comment>
    <comment ref="T88" authorId="3" shapeId="0" xr:uid="{00000000-0006-0000-0800-00005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GL. Køge landevej
går kl. 15.15</t>
        </r>
      </text>
    </comment>
    <comment ref="U88" authorId="3" shapeId="0" xr:uid="{00000000-0006-0000-0800-00005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GL. Køge landevej</t>
        </r>
      </text>
    </comment>
    <comment ref="X88" authorId="3" shapeId="0" xr:uid="{00000000-0006-0000-0800-00005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Y88" authorId="3" shapeId="0" xr:uid="{00000000-0006-0000-0800-00006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Z88" authorId="3" shapeId="0" xr:uid="{00000000-0006-0000-0800-00006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AA88" authorId="3" shapeId="0" xr:uid="{00000000-0006-0000-0800-00006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AB88" authorId="3" shapeId="0" xr:uid="{00000000-0006-0000-0800-00006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T99" authorId="5" shapeId="0" xr:uid="{00000000-0006-0000-0800-000064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Marianne gå kl 12</t>
        </r>
      </text>
    </comment>
    <comment ref="AE101" authorId="0" shapeId="0" xr:uid="{00000000-0006-0000-0800-00006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13 -15
Hovedkassen</t>
        </r>
      </text>
    </comment>
    <comment ref="AF126" authorId="3" shapeId="0" xr:uid="{00000000-0006-0000-0800-00006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Går kl. 13.30</t>
        </r>
      </text>
    </comment>
    <comment ref="AB127" authorId="3" shapeId="0" xr:uid="{00000000-0006-0000-0800-00006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Q129" authorId="3" shapeId="0" xr:uid="{00000000-0006-0000-0800-00006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læge til kl.1100</t>
        </r>
      </text>
    </comment>
    <comment ref="X129" authorId="3" shapeId="0" xr:uid="{00000000-0006-0000-0800-00006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Genoptræning til kl.10.30</t>
        </r>
      </text>
    </comment>
    <comment ref="AE129" authorId="3" shapeId="0" xr:uid="{00000000-0006-0000-0800-00006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Hvidovre til kl.1130</t>
        </r>
      </text>
    </comment>
    <comment ref="J166" authorId="3" shapeId="0" xr:uid="{00000000-0006-0000-0800-00006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TR-MØDE</t>
        </r>
      </text>
    </comment>
    <comment ref="AF167" authorId="3" shapeId="0" xr:uid="{00000000-0006-0000-0800-00006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 Møder kl 23 som 11 vagt</t>
        </r>
      </text>
    </comment>
    <comment ref="H168" authorId="0" shapeId="0" xr:uid="{00000000-0006-0000-0800-00006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Kørsel for Kultborgmester</t>
        </r>
      </text>
    </comment>
    <comment ref="AE168" authorId="0" shapeId="0" xr:uid="{00000000-0006-0000-0800-00006E000000}">
      <text>
        <r>
          <rPr>
            <b/>
            <sz val="9"/>
            <color indexed="81"/>
            <rFont val="Tahoma"/>
            <family val="2"/>
          </rPr>
          <t xml:space="preserve">flniel:
Møder </t>
        </r>
        <r>
          <rPr>
            <sz val="9"/>
            <color indexed="81"/>
            <rFont val="Tahoma"/>
            <family val="2"/>
          </rPr>
          <t xml:space="preserve">
Bæredygtigservice 13 -15
Hovedkassen</t>
        </r>
      </text>
    </comment>
    <comment ref="AF168" authorId="0" shapeId="0" xr:uid="{00000000-0006-0000-0800-00006F000000}">
      <text>
        <r>
          <rPr>
            <b/>
            <sz val="9"/>
            <color indexed="81"/>
            <rFont val="Tahoma"/>
            <family val="2"/>
          </rPr>
          <t>flniel:
Møder Kl. 07</t>
        </r>
      </text>
    </comment>
    <comment ref="N169" authorId="6" shapeId="0" xr:uid="{00000000-0006-0000-0800-000070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PL</t>
        </r>
      </text>
    </comment>
    <comment ref="AE169" authorId="0" shapeId="0" xr:uid="{00000000-0006-0000-0800-00007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3-vagt fra kl. 13</t>
        </r>
      </text>
    </comment>
    <comment ref="X170" authorId="0" shapeId="0" xr:uid="{00000000-0006-0000-0800-00007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Afløse på Griffen 13.30 15.30
K5 på OA</t>
        </r>
      </text>
    </comment>
    <comment ref="Z170" authorId="0" shapeId="0" xr:uid="{00000000-0006-0000-0800-00007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X171" authorId="0" shapeId="0" xr:uid="{00000000-0006-0000-0800-00007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som 1-vagt</t>
        </r>
      </text>
    </comment>
    <comment ref="Y171" authorId="0" shapeId="0" xr:uid="{00000000-0006-0000-0800-00007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som 1-vagt</t>
        </r>
      </text>
    </comment>
    <comment ref="Z171" authorId="0" shapeId="0" xr:uid="{00000000-0006-0000-0800-00007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Mikael og Dorte</t>
        </r>
      </text>
    </comment>
    <comment ref="AB171" authorId="0" shapeId="0" xr:uid="{00000000-0006-0000-0800-00007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Mikael og Dorte</t>
        </r>
      </text>
    </comment>
    <comment ref="J172" authorId="0" shapeId="0" xr:uid="{00000000-0006-0000-0800-00007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M-vagt på OA</t>
        </r>
      </text>
    </comment>
    <comment ref="AE172" authorId="0" shapeId="0" xr:uid="{00000000-0006-0000-0800-00007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13 -15
Hovedkassen</t>
        </r>
        <r>
          <rPr>
            <sz val="11"/>
            <color indexed="81"/>
            <rFont val="Tahoma"/>
            <family val="2"/>
          </rPr>
          <t>. Møder først kl.13</t>
        </r>
      </text>
    </comment>
    <comment ref="C180" authorId="0" shapeId="0" xr:uid="{00000000-0006-0000-0800-00007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</t>
        </r>
      </text>
    </comment>
    <comment ref="E180" authorId="7" shapeId="0" xr:uid="{00000000-0006-0000-0800-00007B000000}">
      <text>
        <r>
          <rPr>
            <sz val="10"/>
            <color indexed="81"/>
            <rFont val="Tahoma"/>
            <family val="2"/>
          </rPr>
          <t>4 vagt på OA.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0" authorId="7" shapeId="0" xr:uid="{00000000-0006-0000-0800-00007C000000}">
      <text>
        <r>
          <rPr>
            <sz val="10"/>
            <color indexed="81"/>
            <rFont val="Tahoma"/>
            <family val="2"/>
          </rPr>
          <t>4 vagt på OA.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181" authorId="0" shapeId="0" xr:uid="{00000000-0006-0000-0800-00007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4-VAGT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erskyg</author>
    <author>bovolf</author>
    <author>jesimo</author>
    <author>sthert</author>
    <author>benvil</author>
    <author>marasm</author>
  </authors>
  <commentList>
    <comment ref="J13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flniel:
08:10 – 11:35</t>
        </r>
        <r>
          <rPr>
            <sz val="9"/>
            <color indexed="81"/>
            <rFont val="Tahoma"/>
            <family val="2"/>
          </rPr>
          <t xml:space="preserve">
Kundetræning Klareboderne 1, 1115 København K..</t>
        </r>
      </text>
    </comment>
    <comment ref="K13" authorId="1" shapeId="0" xr:uid="{00000000-0006-0000-0900-000002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Hospital, lommer måske for sent</t>
        </r>
      </text>
    </comment>
    <comment ref="Z38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H3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13 -15
Hovedkassen</t>
        </r>
      </text>
    </comment>
    <comment ref="H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13 -15
Hovedkassen</t>
        </r>
      </text>
    </comment>
    <comment ref="S40" authorId="2" shapeId="0" xr:uid="{00000000-0006-0000-0900-000006000000}">
      <text>
        <r>
          <rPr>
            <sz val="10"/>
            <color indexed="81"/>
            <rFont val="Tahoma"/>
            <family val="2"/>
          </rPr>
          <t>Ole tager 23-07 for Gorm. OA.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13 -15
Hovedkassen</t>
        </r>
      </text>
    </comment>
    <comment ref="H44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13 -15
Hovedkassen</t>
        </r>
      </text>
    </comment>
    <comment ref="H4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13 -15
Hovedkassen</t>
        </r>
      </text>
    </comment>
    <comment ref="G46" authorId="3" shapeId="0" xr:uid="{00000000-0006-0000-0900-00000A000000}">
      <text>
        <r>
          <rPr>
            <b/>
            <sz val="8"/>
            <color indexed="81"/>
            <rFont val="Tahoma"/>
            <family val="2"/>
          </rPr>
          <t>Tjenestefri</t>
        </r>
      </text>
    </comment>
    <comment ref="H46" authorId="3" shapeId="0" xr:uid="{00000000-0006-0000-0900-00000B000000}">
      <text>
        <r>
          <rPr>
            <b/>
            <sz val="8"/>
            <color indexed="81"/>
            <rFont val="Tahoma"/>
            <family val="2"/>
          </rPr>
          <t>Vagthavende</t>
        </r>
      </text>
    </comment>
    <comment ref="I46" authorId="3" shapeId="0" xr:uid="{00000000-0006-0000-0900-00000C000000}">
      <text>
        <r>
          <rPr>
            <b/>
            <sz val="8"/>
            <color indexed="81"/>
            <rFont val="Tahoma"/>
            <family val="2"/>
          </rPr>
          <t>Vagthavende</t>
        </r>
      </text>
    </comment>
    <comment ref="J46" authorId="3" shapeId="0" xr:uid="{00000000-0006-0000-0900-00000D000000}">
      <text>
        <r>
          <rPr>
            <b/>
            <sz val="8"/>
            <color indexed="81"/>
            <rFont val="Tahoma"/>
            <family val="2"/>
          </rPr>
          <t>Vagthavende</t>
        </r>
      </text>
    </comment>
    <comment ref="K46" authorId="3" shapeId="0" xr:uid="{00000000-0006-0000-0900-00000E000000}">
      <text>
        <r>
          <rPr>
            <b/>
            <sz val="8"/>
            <color indexed="81"/>
            <rFont val="Tahoma"/>
            <family val="2"/>
          </rPr>
          <t>Vagthavende</t>
        </r>
      </text>
    </comment>
    <comment ref="L46" authorId="3" shapeId="0" xr:uid="{00000000-0006-0000-0900-00000F000000}">
      <text>
        <r>
          <rPr>
            <b/>
            <sz val="8"/>
            <color indexed="81"/>
            <rFont val="Tahoma"/>
            <family val="2"/>
          </rPr>
          <t>Vagthavende</t>
        </r>
      </text>
    </comment>
    <comment ref="O46" authorId="4" shapeId="0" xr:uid="{00000000-0006-0000-0900-00001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TJ</t>
        </r>
      </text>
    </comment>
    <comment ref="P46" authorId="4" shapeId="0" xr:uid="{00000000-0006-0000-0900-00001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TJ</t>
        </r>
      </text>
    </comment>
    <comment ref="Q46" authorId="4" shapeId="0" xr:uid="{00000000-0006-0000-0900-00001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TJ</t>
        </r>
      </text>
    </comment>
    <comment ref="R46" authorId="4" shapeId="0" xr:uid="{00000000-0006-0000-0900-00001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Brønshøjvej</t>
        </r>
      </text>
    </comment>
    <comment ref="S46" authorId="4" shapeId="0" xr:uid="{00000000-0006-0000-0900-00001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Brønshøjvej</t>
        </r>
      </text>
    </comment>
    <comment ref="P47" authorId="0" shapeId="0" xr:uid="{00000000-0006-0000-0900-00001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Q47" authorId="0" shapeId="0" xr:uid="{00000000-0006-0000-0900-00001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R47" authorId="0" shapeId="0" xr:uid="{00000000-0006-0000-0900-00001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S47" authorId="0" shapeId="0" xr:uid="{00000000-0006-0000-0900-00001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H49" authorId="0" shapeId="0" xr:uid="{00000000-0006-0000-0900-00001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13 -15
Hovedkassen</t>
        </r>
      </text>
    </comment>
    <comment ref="H50" authorId="0" shapeId="0" xr:uid="{00000000-0006-0000-0900-00001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13 -15
Hovedkassen </t>
        </r>
      </text>
    </comment>
    <comment ref="H51" authorId="0" shapeId="0" xr:uid="{00000000-0006-0000-0900-00001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13 -15
Hovedkassen</t>
        </r>
      </text>
    </comment>
    <comment ref="H61" authorId="0" shapeId="0" xr:uid="{00000000-0006-0000-0900-00001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13 -15
Hovedkassen</t>
        </r>
      </text>
    </comment>
    <comment ref="Y61" authorId="4" shapeId="0" xr:uid="{00000000-0006-0000-0900-00001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Træning i konflikthåndtering</t>
        </r>
      </text>
    </comment>
    <comment ref="Y62" authorId="4" shapeId="0" xr:uid="{00000000-0006-0000-0900-00001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Træning i konflikthåndtering</t>
        </r>
      </text>
    </comment>
    <comment ref="C74" authorId="4" shapeId="0" xr:uid="{00000000-0006-0000-0900-00001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Svendborggade</t>
        </r>
      </text>
    </comment>
    <comment ref="D74" authorId="4" shapeId="0" xr:uid="{00000000-0006-0000-0900-00002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Svendborggade+ kursus 8.30 - 1100</t>
        </r>
      </text>
    </comment>
    <comment ref="E74" authorId="4" shapeId="0" xr:uid="{00000000-0006-0000-0900-00002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H74" authorId="4" shapeId="0" xr:uid="{00000000-0006-0000-0900-00002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MUS + matthæusgade 10-1130</t>
        </r>
      </text>
    </comment>
    <comment ref="I74" authorId="4" shapeId="0" xr:uid="{00000000-0006-0000-0900-00002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J74" authorId="4" shapeId="0" xr:uid="{00000000-0006-0000-0900-00002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K74" authorId="4" shapeId="0" xr:uid="{00000000-0006-0000-0900-00002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L74" authorId="4" shapeId="0" xr:uid="{00000000-0006-0000-0900-00002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Q74" authorId="4" shapeId="0" xr:uid="{00000000-0006-0000-0900-00002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R74" authorId="4" shapeId="0" xr:uid="{00000000-0006-0000-0900-00002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S74" authorId="4" shapeId="0" xr:uid="{00000000-0006-0000-0900-00002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V74" authorId="4" shapeId="0" xr:uid="{00000000-0006-0000-0900-00002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W74" authorId="4" shapeId="0" xr:uid="{00000000-0006-0000-0900-00002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X74" authorId="4" shapeId="0" xr:uid="{00000000-0006-0000-0900-00002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Y74" authorId="4" shapeId="0" xr:uid="{00000000-0006-0000-0900-00002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Z74" authorId="4" shapeId="0" xr:uid="{00000000-0006-0000-0900-00002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AC74" authorId="4" shapeId="0" xr:uid="{00000000-0006-0000-0900-00002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AD74" authorId="4" shapeId="0" xr:uid="{00000000-0006-0000-0900-00003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AE74" authorId="4" shapeId="0" xr:uid="{00000000-0006-0000-0900-00003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</t>
        </r>
      </text>
    </comment>
    <comment ref="AF74" authorId="4" shapeId="0" xr:uid="{00000000-0006-0000-0900-00003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AG74" authorId="4" shapeId="0" xr:uid="{00000000-0006-0000-0900-00003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C75" authorId="4" shapeId="0" xr:uid="{00000000-0006-0000-0900-00003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Svendborggade</t>
        </r>
      </text>
    </comment>
    <comment ref="D75" authorId="0" shapeId="0" xr:uid="{00000000-0006-0000-0900-00003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
Hovedkassen 08.30 11 + Svendborggade</t>
        </r>
      </text>
    </comment>
    <comment ref="E75" authorId="4" shapeId="0" xr:uid="{00000000-0006-0000-0900-00003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I75" authorId="2" shapeId="0" xr:uid="{00000000-0006-0000-0900-000037000000}">
      <text>
        <r>
          <rPr>
            <sz val="10"/>
            <color indexed="81"/>
            <rFont val="Tahoma"/>
            <family val="2"/>
          </rPr>
          <t>Spaniensgade OA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75" authorId="2" shapeId="0" xr:uid="{00000000-0006-0000-0900-000038000000}">
      <text>
        <r>
          <rPr>
            <sz val="10"/>
            <color indexed="81"/>
            <rFont val="Tahoma"/>
            <family val="2"/>
          </rPr>
          <t>Spaniensgade OA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75" authorId="2" shapeId="0" xr:uid="{00000000-0006-0000-0900-000039000000}">
      <text>
        <r>
          <rPr>
            <sz val="10"/>
            <color indexed="81"/>
            <rFont val="Tahoma"/>
            <family val="2"/>
          </rPr>
          <t>Spaniensgade OA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75" authorId="4" shapeId="0" xr:uid="{00000000-0006-0000-0900-00003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P75" authorId="4" shapeId="0" xr:uid="{00000000-0006-0000-0900-00003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Q75" authorId="4" shapeId="0" xr:uid="{00000000-0006-0000-0900-00003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R75" authorId="4" shapeId="0" xr:uid="{00000000-0006-0000-0900-00003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S75" authorId="4" shapeId="0" xr:uid="{00000000-0006-0000-0900-00003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V75" authorId="4" shapeId="0" xr:uid="{00000000-0006-0000-0900-00003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W75" authorId="4" shapeId="0" xr:uid="{00000000-0006-0000-0900-00004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X75" authorId="4" shapeId="0" xr:uid="{00000000-0006-0000-0900-00004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Y75" authorId="4" shapeId="0" xr:uid="{00000000-0006-0000-0900-00004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Z75" authorId="4" shapeId="0" xr:uid="{00000000-0006-0000-0900-00004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AC75" authorId="4" shapeId="0" xr:uid="{00000000-0006-0000-0900-00004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 vagt Spaniensgade</t>
        </r>
      </text>
    </comment>
    <comment ref="AD75" authorId="4" shapeId="0" xr:uid="{00000000-0006-0000-0900-00004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 vagt Spaniensgade</t>
        </r>
      </text>
    </comment>
    <comment ref="AE75" authorId="4" shapeId="0" xr:uid="{00000000-0006-0000-0900-00004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 vagt Spaniensgade</t>
        </r>
      </text>
    </comment>
    <comment ref="AF75" authorId="4" shapeId="0" xr:uid="{00000000-0006-0000-0900-00004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 vagt Spaniensgade</t>
        </r>
      </text>
    </comment>
    <comment ref="AG75" authorId="4" shapeId="0" xr:uid="{00000000-0006-0000-0900-00004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 vagt Spaniensgade</t>
        </r>
      </text>
    </comment>
    <comment ref="H76" authorId="0" shapeId="0" xr:uid="{00000000-0006-0000-0900-00004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13 -15
Hovedkassen</t>
        </r>
      </text>
    </comment>
    <comment ref="I76" authorId="4" shapeId="0" xr:uid="{00000000-0006-0000-0900-00004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Svendborggade</t>
        </r>
      </text>
    </comment>
    <comment ref="K76" authorId="4" shapeId="0" xr:uid="{00000000-0006-0000-0900-00004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remisevej</t>
        </r>
      </text>
    </comment>
    <comment ref="X76" authorId="4" shapeId="0" xr:uid="{00000000-0006-0000-0900-00004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Grus 16-20</t>
        </r>
      </text>
    </comment>
    <comment ref="Y76" authorId="4" shapeId="0" xr:uid="{00000000-0006-0000-0900-00004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Træning i konflikthåndtering</t>
        </r>
      </text>
    </comment>
    <comment ref="Z76" authorId="5" shapeId="0" xr:uid="{00000000-0006-0000-0900-00004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O-vagt Oa</t>
        </r>
      </text>
    </comment>
    <comment ref="AD76" authorId="5" shapeId="0" xr:uid="{00000000-0006-0000-0900-00004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</t>
        </r>
      </text>
    </comment>
    <comment ref="AG76" authorId="5" shapeId="0" xr:uid="{00000000-0006-0000-0900-00005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Griffen 8:15 - 13:15</t>
        </r>
      </text>
    </comment>
    <comment ref="C86" authorId="5" shapeId="0" xr:uid="{00000000-0006-0000-0900-00005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1 vagt</t>
        </r>
      </text>
    </comment>
    <comment ref="D86" authorId="0" shapeId="0" xr:uid="{00000000-0006-0000-0900-00005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Bæredygtigservice 
Hovedkassen 08.30 11 + 1 vagt</t>
        </r>
      </text>
    </comment>
    <comment ref="E86" authorId="5" shapeId="0" xr:uid="{00000000-0006-0000-0900-00005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1 vagt</t>
        </r>
        <r>
          <rPr>
            <sz val="12"/>
            <color indexed="81"/>
            <rFont val="Tahoma"/>
            <family val="2"/>
          </rPr>
          <t xml:space="preserve"> + K2 på OA</t>
        </r>
      </text>
    </comment>
    <comment ref="H86" authorId="4" shapeId="0" xr:uid="{00000000-0006-0000-0900-00005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Gl Køgelandevej</t>
        </r>
      </text>
    </comment>
    <comment ref="I86" authorId="4" shapeId="0" xr:uid="{00000000-0006-0000-0900-00005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Gl. Køgelandevej</t>
        </r>
      </text>
    </comment>
    <comment ref="J86" authorId="4" shapeId="0" xr:uid="{00000000-0006-0000-0900-00005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Gl. Køgelandevej</t>
        </r>
      </text>
    </comment>
    <comment ref="V86" authorId="4" shapeId="0" xr:uid="{00000000-0006-0000-0900-00005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4-VAGT</t>
        </r>
      </text>
    </comment>
    <comment ref="W86" authorId="4" shapeId="0" xr:uid="{00000000-0006-0000-0900-00005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1-VAGT Matthæusgade fra kl. 08:30</t>
        </r>
      </text>
    </comment>
    <comment ref="X86" authorId="4" shapeId="0" xr:uid="{00000000-0006-0000-0900-00005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1-VAGT til kl.16.Grus 16-20</t>
        </r>
      </text>
    </comment>
    <comment ref="Y86" authorId="4" shapeId="0" xr:uid="{00000000-0006-0000-0900-00005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Træning i konflikthåndtering + 1-vagt</t>
        </r>
      </text>
    </comment>
    <comment ref="Z86" authorId="4" shapeId="0" xr:uid="{00000000-0006-0000-0900-00005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 + D-vagt</t>
        </r>
      </text>
    </comment>
    <comment ref="AE86" authorId="5" shapeId="0" xr:uid="{00000000-0006-0000-0900-00005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D-vagt</t>
        </r>
      </text>
    </comment>
    <comment ref="C87" authorId="4" shapeId="0" xr:uid="{00000000-0006-0000-0900-00005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Spaniensgade</t>
        </r>
      </text>
    </comment>
    <comment ref="D87" authorId="4" shapeId="0" xr:uid="{00000000-0006-0000-0900-00005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Spaniensgade</t>
        </r>
      </text>
    </comment>
    <comment ref="E87" authorId="4" shapeId="0" xr:uid="{00000000-0006-0000-0900-00005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Spaniensgade</t>
        </r>
      </text>
    </comment>
    <comment ref="L87" authorId="0" shapeId="0" xr:uid="{00000000-0006-0000-0900-00006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23.45-07.00</t>
        </r>
      </text>
    </comment>
    <comment ref="V87" authorId="4" shapeId="0" xr:uid="{00000000-0006-0000-0900-00006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1-vagt</t>
        </r>
      </text>
    </comment>
    <comment ref="W87" authorId="4" shapeId="0" xr:uid="{00000000-0006-0000-0900-00006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4-vagt</t>
        </r>
      </text>
    </comment>
    <comment ref="X87" authorId="4" shapeId="0" xr:uid="{00000000-0006-0000-0900-00006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Grus 16-20 + 4 vagt</t>
        </r>
      </text>
    </comment>
    <comment ref="Y87" authorId="4" shapeId="0" xr:uid="{00000000-0006-0000-0900-00006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Hospitalet</t>
        </r>
      </text>
    </comment>
    <comment ref="Z87" authorId="4" shapeId="0" xr:uid="{00000000-0006-0000-0900-00006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4-vagt</t>
        </r>
      </text>
    </comment>
    <comment ref="O88" authorId="4" shapeId="0" xr:uid="{00000000-0006-0000-0900-00006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1-vagt</t>
        </r>
      </text>
    </comment>
    <comment ref="P88" authorId="4" shapeId="0" xr:uid="{00000000-0006-0000-0900-00006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1-vagt</t>
        </r>
      </text>
    </comment>
    <comment ref="Q88" authorId="4" shapeId="0" xr:uid="{00000000-0006-0000-0900-00006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1-vagt</t>
        </r>
      </text>
    </comment>
    <comment ref="R88" authorId="4" shapeId="0" xr:uid="{00000000-0006-0000-0900-00006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1-vagt</t>
        </r>
      </text>
    </comment>
    <comment ref="S88" authorId="4" shapeId="0" xr:uid="{00000000-0006-0000-0900-00006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1-vagt</t>
        </r>
      </text>
    </comment>
    <comment ref="Y88" authorId="4" shapeId="0" xr:uid="{00000000-0006-0000-0900-00006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Træning i konflikthåndtering kl.0800-1200</t>
        </r>
      </text>
    </comment>
    <comment ref="D100" authorId="0" shapeId="0" xr:uid="{00000000-0006-0000-0900-00006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
Hovedkassen 08.30 11</t>
        </r>
      </text>
    </comment>
    <comment ref="H119" authorId="5" shapeId="0" xr:uid="{00000000-0006-0000-0900-00006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Bæredygtigservice 
Hovedkassen 13-15</t>
        </r>
      </text>
    </comment>
    <comment ref="X119" authorId="4" shapeId="0" xr:uid="{00000000-0006-0000-0900-00006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GRUS 1600-2000</t>
        </r>
      </text>
    </comment>
    <comment ref="D120" authorId="0" shapeId="0" xr:uid="{00000000-0006-0000-0900-00006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
Hovedkassen 08.30 11</t>
        </r>
      </text>
    </comment>
    <comment ref="X120" authorId="4" shapeId="0" xr:uid="{00000000-0006-0000-0900-00007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GRUS 1600-2000</t>
        </r>
      </text>
    </comment>
    <comment ref="D121" authorId="0" shapeId="0" xr:uid="{00000000-0006-0000-0900-00007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
Hovedkassen 08.30 11</t>
        </r>
      </text>
    </comment>
    <comment ref="X121" authorId="4" shapeId="0" xr:uid="{00000000-0006-0000-0900-00007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GRUS 1600-2000</t>
        </r>
      </text>
    </comment>
    <comment ref="D122" authorId="0" shapeId="0" xr:uid="{00000000-0006-0000-0900-00007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
Hovedkassen 08.30 11</t>
        </r>
      </text>
    </comment>
    <comment ref="X122" authorId="4" shapeId="0" xr:uid="{00000000-0006-0000-0900-00007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GRUS 1600-2000</t>
        </r>
      </text>
    </comment>
    <comment ref="D123" authorId="0" shapeId="0" xr:uid="{00000000-0006-0000-0900-00007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
Hovedkassen 08.30 11</t>
        </r>
      </text>
    </comment>
    <comment ref="X123" authorId="4" shapeId="0" xr:uid="{00000000-0006-0000-0900-00007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GRUS 1600-2000</t>
        </r>
      </text>
    </comment>
    <comment ref="AD123" authorId="5" shapeId="0" xr:uid="{00000000-0006-0000-0900-00007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Læge. Møder først kl. 1030</t>
        </r>
      </text>
    </comment>
    <comment ref="D124" authorId="0" shapeId="0" xr:uid="{00000000-0006-0000-0900-00007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
Hovedkassen 08.30 11</t>
        </r>
      </text>
    </comment>
    <comment ref="X124" authorId="4" shapeId="0" xr:uid="{00000000-0006-0000-0900-00007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GRUS 1600-2000</t>
        </r>
      </text>
    </comment>
    <comment ref="D125" authorId="0" shapeId="0" xr:uid="{00000000-0006-0000-0900-00007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
Hovedkassen 08.30 11</t>
        </r>
      </text>
    </comment>
    <comment ref="X125" authorId="4" shapeId="0" xr:uid="{00000000-0006-0000-0900-00007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GRUS 1600-2000</t>
        </r>
      </text>
    </comment>
    <comment ref="D126" authorId="0" shapeId="0" xr:uid="{00000000-0006-0000-0900-00007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
Hovedkassen 08.30 11</t>
        </r>
      </text>
    </comment>
    <comment ref="Q126" authorId="4" shapeId="0" xr:uid="{00000000-0006-0000-0900-00007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Går kl. 13:15</t>
        </r>
      </text>
    </comment>
    <comment ref="X126" authorId="4" shapeId="0" xr:uid="{00000000-0006-0000-0900-00007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GRUS 1600-2000</t>
        </r>
      </text>
    </comment>
    <comment ref="D127" authorId="0" shapeId="0" xr:uid="{00000000-0006-0000-0900-00007F000000}">
      <text>
        <r>
          <rPr>
            <b/>
            <sz val="9"/>
            <color indexed="81"/>
            <rFont val="Tahoma"/>
            <family val="2"/>
          </rPr>
          <t xml:space="preserve">flniel:
</t>
        </r>
        <r>
          <rPr>
            <sz val="9"/>
            <color indexed="81"/>
            <rFont val="Tahoma"/>
            <family val="2"/>
          </rPr>
          <t>Møde Nemid kursus borgerservice</t>
        </r>
      </text>
    </comment>
    <comment ref="X127" authorId="4" shapeId="0" xr:uid="{00000000-0006-0000-0900-00008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GRUS 1600-2000</t>
        </r>
      </text>
    </comment>
    <comment ref="D128" authorId="0" shapeId="0" xr:uid="{00000000-0006-0000-0900-00008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
Hovedkassen 08.30 11</t>
        </r>
      </text>
    </comment>
    <comment ref="X128" authorId="4" shapeId="0" xr:uid="{00000000-0006-0000-0900-00008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GRUS 1600-2000</t>
        </r>
      </text>
    </comment>
    <comment ref="D129" authorId="0" shapeId="0" xr:uid="{00000000-0006-0000-0900-00008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 Nemid kursus borgerservice</t>
        </r>
      </text>
    </comment>
    <comment ref="H129" authorId="4" shapeId="0" xr:uid="{00000000-0006-0000-0900-00008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Genoptræning til kl.1100</t>
        </r>
      </text>
    </comment>
    <comment ref="I129" authorId="4" shapeId="0" xr:uid="{00000000-0006-0000-0900-00008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Går kl. 13</t>
        </r>
      </text>
    </comment>
    <comment ref="X129" authorId="4" shapeId="0" xr:uid="{00000000-0006-0000-0900-00008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GRUS 1600-2000</t>
        </r>
      </text>
    </comment>
    <comment ref="Z129" authorId="4" shapeId="0" xr:uid="{00000000-0006-0000-0900-00008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TJ</t>
        </r>
      </text>
    </comment>
    <comment ref="D130" authorId="0" shapeId="0" xr:uid="{00000000-0006-0000-0900-00008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
Hovedkassen 08.30 11</t>
        </r>
      </text>
    </comment>
    <comment ref="X130" authorId="4" shapeId="0" xr:uid="{00000000-0006-0000-0900-00008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GRUS 1600-2000</t>
        </r>
      </text>
    </comment>
    <comment ref="H167" authorId="0" shapeId="0" xr:uid="{00000000-0006-0000-0900-00008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13 -15
Hovedkassen</t>
        </r>
      </text>
    </comment>
    <comment ref="J167" authorId="0" shapeId="0" xr:uid="{00000000-0006-0000-0900-00008B000000}">
      <text>
        <r>
          <rPr>
            <b/>
            <sz val="9"/>
            <color indexed="81"/>
            <rFont val="Tahoma"/>
            <family val="2"/>
          </rPr>
          <t>flniel:
08:10 – 11:35</t>
        </r>
        <r>
          <rPr>
            <sz val="9"/>
            <color indexed="81"/>
            <rFont val="Tahoma"/>
            <family val="2"/>
          </rPr>
          <t xml:space="preserve">
Kundetræning Klareboderne 1, 1115 København K..</t>
        </r>
      </text>
    </comment>
    <comment ref="D169" authorId="0" shapeId="0" xr:uid="{00000000-0006-0000-0900-00008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
Hovedkassen 08.30 11
</t>
        </r>
        <r>
          <rPr>
            <sz val="10"/>
            <color indexed="81"/>
            <rFont val="Tahoma"/>
            <family val="2"/>
          </rPr>
          <t>K2 på OA</t>
        </r>
      </text>
    </comment>
    <comment ref="V169" authorId="4" shapeId="0" xr:uid="{00000000-0006-0000-0900-00008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W169" authorId="4" shapeId="0" xr:uid="{00000000-0006-0000-0900-00008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X169" authorId="4" shapeId="0" xr:uid="{00000000-0006-0000-0900-00008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Y169" authorId="4" shapeId="0" xr:uid="{00000000-0006-0000-0900-00009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Patruljeleder + 4-vagt Oa
</t>
        </r>
      </text>
    </comment>
    <comment ref="D170" authorId="0" shapeId="0" xr:uid="{00000000-0006-0000-0900-00009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 K5 på OA</t>
        </r>
      </text>
    </comment>
    <comment ref="H170" authorId="1" shapeId="0" xr:uid="{00000000-0006-0000-0900-000092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Bæredygtig service
Hovedkassen 13-15</t>
        </r>
      </text>
    </comment>
    <comment ref="I170" authorId="0" shapeId="0" xr:uid="{00000000-0006-0000-0900-00009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Remisevej 09.30-11.30</t>
        </r>
      </text>
    </comment>
    <comment ref="P170" authorId="0" shapeId="0" xr:uid="{00000000-0006-0000-0900-00009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Ørnevej 55</t>
        </r>
      </text>
    </comment>
    <comment ref="Q170" authorId="4" shapeId="0" xr:uid="{00000000-0006-0000-0900-00009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 </t>
        </r>
      </text>
    </comment>
    <comment ref="X170" authorId="5" shapeId="0" xr:uid="{00000000-0006-0000-0900-00009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M-vagt Oa</t>
        </r>
      </text>
    </comment>
    <comment ref="Y170" authorId="4" shapeId="0" xr:uid="{00000000-0006-0000-0900-00009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Træning i konflikthåndtering + M-vagt Oa</t>
        </r>
      </text>
    </comment>
    <comment ref="Z170" authorId="0" shapeId="0" xr:uid="{00000000-0006-0000-0900-00009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3-vagt kl. 0730</t>
        </r>
      </text>
    </comment>
    <comment ref="H171" authorId="0" shapeId="0" xr:uid="{00000000-0006-0000-0900-00009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Bæredygtigservice 13 -15
Hovedkassen</t>
        </r>
      </text>
    </comment>
    <comment ref="X172" authorId="4" shapeId="0" xr:uid="{00000000-0006-0000-0900-00009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Grus 16-20</t>
        </r>
      </text>
    </comment>
    <comment ref="Y172" authorId="4" shapeId="0" xr:uid="{00000000-0006-0000-0900-00009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Træning i konflikthåndtering</t>
        </r>
      </text>
    </comment>
    <comment ref="AE172" authorId="5" shapeId="0" xr:uid="{00000000-0006-0000-0900-00009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Til læge</t>
        </r>
      </text>
    </comment>
    <comment ref="W180" authorId="0" shapeId="0" xr:uid="{00000000-0006-0000-0900-00009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11-vagt</t>
        </r>
      </text>
    </comment>
    <comment ref="AC180" authorId="5" shapeId="0" xr:uid="{00000000-0006-0000-0900-00009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 hvis Sonny stadig er syg</t>
        </r>
      </text>
    </comment>
    <comment ref="Q181" authorId="5" shapeId="0" xr:uid="{00000000-0006-0000-0900-00009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K5 på overarbejde</t>
        </r>
      </text>
    </comment>
    <comment ref="V181" authorId="0" shapeId="0" xr:uid="{00000000-0006-0000-0900-0000A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11-vagt</t>
        </r>
      </text>
    </comment>
    <comment ref="X181" authorId="0" shapeId="0" xr:uid="{00000000-0006-0000-0900-0000A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nattevagt</t>
        </r>
      </text>
    </comment>
    <comment ref="Y181" authorId="0" shapeId="0" xr:uid="{00000000-0006-0000-0900-0000A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OA fra kl. 12</t>
        </r>
      </text>
    </comment>
    <comment ref="L182" authorId="0" shapeId="0" xr:uid="{00000000-0006-0000-0900-0000A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 kl. 16 Kulturnat</t>
        </r>
      </text>
    </comment>
    <comment ref="V184" authorId="0" shapeId="0" xr:uid="{00000000-0006-0000-0900-0000A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Mikael og Dorte</t>
        </r>
      </text>
    </comment>
    <comment ref="W184" authorId="0" shapeId="0" xr:uid="{00000000-0006-0000-0900-0000A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Mikael og Dorte</t>
        </r>
      </text>
    </comment>
    <comment ref="X184" authorId="0" shapeId="0" xr:uid="{00000000-0006-0000-0900-0000A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Mikael og Dorte</t>
        </r>
      </text>
    </comment>
    <comment ref="Y184" authorId="0" shapeId="0" xr:uid="{00000000-0006-0000-0900-0000A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Mikael og Dorte</t>
        </r>
      </text>
    </comment>
    <comment ref="Z184" authorId="0" shapeId="0" xr:uid="{00000000-0006-0000-0900-0000A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Mikael og Dorte</t>
        </r>
      </text>
    </comment>
    <comment ref="J209" authorId="0" shapeId="0" xr:uid="{00000000-0006-0000-0900-0000A9000000}">
      <text>
        <r>
          <rPr>
            <b/>
            <sz val="9"/>
            <color indexed="81"/>
            <rFont val="Tahoma"/>
            <family val="2"/>
          </rPr>
          <t>flniel:
08:10 – 11:35</t>
        </r>
        <r>
          <rPr>
            <sz val="9"/>
            <color indexed="81"/>
            <rFont val="Tahoma"/>
            <family val="2"/>
          </rPr>
          <t xml:space="preserve">
Kundetræning Klareboderne 1, 1115 København K..</t>
        </r>
      </text>
    </comment>
    <comment ref="J246" authorId="0" shapeId="0" xr:uid="{00000000-0006-0000-0900-0000AA000000}">
      <text>
        <r>
          <rPr>
            <b/>
            <sz val="9"/>
            <color indexed="81"/>
            <rFont val="Tahoma"/>
            <family val="2"/>
          </rPr>
          <t>flniel:
08:10 – 11:35</t>
        </r>
        <r>
          <rPr>
            <sz val="9"/>
            <color indexed="81"/>
            <rFont val="Tahoma"/>
            <family val="2"/>
          </rPr>
          <t xml:space="preserve">
Kundetræning Klareboderne 1, 1115 København K..</t>
        </r>
      </text>
    </comment>
    <comment ref="J247" authorId="0" shapeId="0" xr:uid="{00000000-0006-0000-0900-0000AB000000}">
      <text>
        <r>
          <rPr>
            <b/>
            <sz val="9"/>
            <color indexed="81"/>
            <rFont val="Tahoma"/>
            <family val="2"/>
          </rPr>
          <t>flniel:
08:10 – 11:35</t>
        </r>
        <r>
          <rPr>
            <sz val="9"/>
            <color indexed="81"/>
            <rFont val="Tahoma"/>
            <family val="2"/>
          </rPr>
          <t xml:space="preserve">
Kundetræning Klareboderne 1, 1115 København K..</t>
        </r>
      </text>
    </comment>
    <comment ref="Y274" authorId="6" shapeId="0" xr:uid="{00000000-0006-0000-0900-0000AC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Kun trækes 2 timer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benvil</author>
    <author>flniel</author>
    <author>sthert</author>
    <author>bovolf</author>
    <author>jilars</author>
  </authors>
  <commentList>
    <comment ref="O13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08:10 - 11:35</t>
        </r>
      </text>
    </comment>
    <comment ref="G14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12:05 - 15:30</t>
        </r>
      </text>
    </comment>
    <comment ref="H16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12:05 - 15:30</t>
        </r>
      </text>
    </comment>
    <comment ref="O18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12:05 - 15:30</t>
        </r>
      </text>
    </comment>
    <comment ref="G20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12:05 - 15:30</t>
        </r>
      </text>
    </comment>
    <comment ref="G2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8:10 - 11.35</t>
        </r>
      </text>
    </comment>
    <comment ref="G37" authorId="0" shapeId="0" xr:uid="{00000000-0006-0000-0A00-00000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kl.12.05 - 15.30</t>
        </r>
      </text>
    </comment>
    <comment ref="G38" authorId="0" shapeId="0" xr:uid="{00000000-0006-0000-0A00-00000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12:05 - 15:30</t>
        </r>
      </text>
    </comment>
    <comment ref="G39" authorId="0" shapeId="0" xr:uid="{00000000-0006-0000-0A00-00000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8:10 - 11.35</t>
        </r>
      </text>
    </comment>
    <comment ref="O40" authorId="0" shapeId="0" xr:uid="{00000000-0006-0000-0A00-00000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12:05 - 15:30</t>
        </r>
      </text>
    </comment>
    <comment ref="O41" authorId="0" shapeId="0" xr:uid="{00000000-0006-0000-0A00-00000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0810 - 1135</t>
        </r>
      </text>
    </comment>
    <comment ref="AD41" authorId="1" shapeId="0" xr:uid="{00000000-0006-0000-0A00-00000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senere ca. 10.30</t>
        </r>
      </text>
    </comment>
    <comment ref="O42" authorId="0" shapeId="0" xr:uid="{00000000-0006-0000-0A00-00000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12:05 - 15:30</t>
        </r>
      </text>
    </comment>
    <comment ref="O44" authorId="0" shapeId="0" xr:uid="{00000000-0006-0000-0A00-00000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12:05 - 15:30</t>
        </r>
      </text>
    </comment>
    <comment ref="O45" authorId="0" shapeId="0" xr:uid="{00000000-0006-0000-0A00-00000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12:05 - 15:30</t>
        </r>
      </text>
    </comment>
    <comment ref="G46" authorId="0" shapeId="0" xr:uid="{00000000-0006-0000-0A00-00001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12:05 - 15:30</t>
        </r>
      </text>
    </comment>
    <comment ref="M46" authorId="2" shapeId="0" xr:uid="{00000000-0006-0000-0A00-00001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Vagthavende 1430-2230</t>
        </r>
      </text>
    </comment>
    <comment ref="Z46" authorId="0" shapeId="0" xr:uid="{00000000-0006-0000-0A00-00001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Vagthavende nat hele ugen</t>
        </r>
      </text>
    </comment>
    <comment ref="G47" authorId="0" shapeId="0" xr:uid="{00000000-0006-0000-0A00-00001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12:05 - 15:30</t>
        </r>
      </text>
    </comment>
    <comment ref="G48" authorId="0" shapeId="0" xr:uid="{00000000-0006-0000-0A00-00001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12:05 - 15:30</t>
        </r>
      </text>
    </comment>
    <comment ref="T48" authorId="1" shapeId="0" xr:uid="{00000000-0006-0000-0A00-00001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kl. 06. og fejer</t>
        </r>
      </text>
    </comment>
    <comment ref="U48" authorId="1" shapeId="0" xr:uid="{00000000-0006-0000-0A00-00001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kl. 06. og fejer</t>
        </r>
      </text>
    </comment>
    <comment ref="V48" authorId="1" shapeId="0" xr:uid="{00000000-0006-0000-0A00-00001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kl. 06. og fejer</t>
        </r>
      </text>
    </comment>
    <comment ref="W48" authorId="1" shapeId="0" xr:uid="{00000000-0006-0000-0A00-00001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Fejemand møder kl. 6</t>
        </r>
      </text>
    </comment>
    <comment ref="Z48" authorId="1" shapeId="0" xr:uid="{00000000-0006-0000-0A00-00001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A48" authorId="1" shapeId="0" xr:uid="{00000000-0006-0000-0A00-00001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Fejemand efter nattevagt</t>
        </r>
      </text>
    </comment>
    <comment ref="AB48" authorId="1" shapeId="0" xr:uid="{00000000-0006-0000-0A00-00001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C48" authorId="1" shapeId="0" xr:uid="{00000000-0006-0000-0A00-00001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D48" authorId="1" shapeId="0" xr:uid="{00000000-0006-0000-0A00-00001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G49" authorId="0" shapeId="0" xr:uid="{00000000-0006-0000-0A00-00001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12:05 - 15:30</t>
        </r>
      </text>
    </comment>
    <comment ref="G50" authorId="0" shapeId="0" xr:uid="{00000000-0006-0000-0A00-00001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12:05 - 15:30</t>
        </r>
      </text>
    </comment>
    <comment ref="O51" authorId="0" shapeId="0" xr:uid="{00000000-0006-0000-0A00-00002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0810 - 1135</t>
        </r>
      </text>
    </comment>
    <comment ref="G61" authorId="0" shapeId="0" xr:uid="{00000000-0006-0000-0A00-00002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8:10 - 11.35</t>
        </r>
      </text>
    </comment>
    <comment ref="L61" authorId="1" shapeId="0" xr:uid="{00000000-0006-0000-0A00-000022000000}">
      <text>
        <r>
          <rPr>
            <b/>
            <sz val="9"/>
            <color indexed="81"/>
            <rFont val="Tahoma"/>
            <family val="2"/>
          </rPr>
          <t>Flemming Nielsen møder ind kl. 0630</t>
        </r>
      </text>
    </comment>
    <comment ref="M61" authorId="1" shapeId="0" xr:uid="{00000000-0006-0000-0A00-00002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som Vagthavende 
06.30</t>
        </r>
      </text>
    </comment>
    <comment ref="N61" authorId="1" shapeId="0" xr:uid="{00000000-0006-0000-0A00-00002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som Vagthavende 
06.30</t>
        </r>
      </text>
    </comment>
    <comment ref="O61" authorId="1" shapeId="0" xr:uid="{00000000-0006-0000-0A00-00002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som Vagthavende 
06.30</t>
        </r>
      </text>
    </comment>
    <comment ref="P61" authorId="1" shapeId="0" xr:uid="{00000000-0006-0000-0A00-00002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som Vagthavende 
06.30</t>
        </r>
      </text>
    </comment>
    <comment ref="V61" authorId="1" shapeId="0" xr:uid="{00000000-0006-0000-0A00-00002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Møder 06.30</t>
        </r>
      </text>
    </comment>
    <comment ref="C74" authorId="2" shapeId="0" xr:uid="{00000000-0006-0000-0A00-00002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 og Vaglplabner.</t>
        </r>
      </text>
    </comment>
    <comment ref="E74" authorId="2" shapeId="0" xr:uid="{00000000-0006-0000-0A00-00002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F74" authorId="2" shapeId="0" xr:uid="{00000000-0006-0000-0A00-00002A000000}">
      <text>
        <r>
          <rPr>
            <b/>
            <sz val="9"/>
            <color indexed="81"/>
            <rFont val="Tahoma"/>
            <family val="2"/>
          </rPr>
          <t>sthert:
Ørnevej</t>
        </r>
      </text>
    </comment>
    <comment ref="G74" authorId="2" shapeId="0" xr:uid="{00000000-0006-0000-0A00-00002B000000}">
      <text>
        <r>
          <rPr>
            <b/>
            <sz val="9"/>
            <color indexed="81"/>
            <rFont val="Tahoma"/>
            <family val="2"/>
          </rPr>
          <t>sthert:
Ørnevej</t>
        </r>
      </text>
    </comment>
    <comment ref="H74" authorId="2" shapeId="0" xr:uid="{00000000-0006-0000-0A00-00002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 + brønshøjvej</t>
        </r>
      </text>
    </comment>
    <comment ref="I74" authorId="2" shapeId="0" xr:uid="{00000000-0006-0000-0A00-00002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L74" authorId="0" shapeId="0" xr:uid="{00000000-0006-0000-0A00-00002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M74" authorId="0" shapeId="0" xr:uid="{00000000-0006-0000-0A00-00002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N74" authorId="1" shapeId="0" xr:uid="{00000000-0006-0000-0A00-00003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OPgave</t>
        </r>
      </text>
    </comment>
    <comment ref="O74" authorId="0" shapeId="0" xr:uid="{00000000-0006-0000-0A00-00003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8:10 - 11.35
Spaniensgade</t>
        </r>
      </text>
    </comment>
    <comment ref="P74" authorId="0" shapeId="0" xr:uid="{00000000-0006-0000-0A00-00003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S74" authorId="0" shapeId="0" xr:uid="{00000000-0006-0000-0A00-00003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T74" authorId="0" shapeId="0" xr:uid="{00000000-0006-0000-0A00-00003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U74" authorId="0" shapeId="0" xr:uid="{00000000-0006-0000-0A00-00003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V74" authorId="0" shapeId="0" xr:uid="{00000000-0006-0000-0A00-00003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W74" authorId="0" shapeId="0" xr:uid="{00000000-0006-0000-0A00-000037000000}">
      <text>
        <r>
          <rPr>
            <b/>
            <sz val="9"/>
            <color indexed="81"/>
            <rFont val="Tahoma"/>
            <family val="2"/>
          </rPr>
          <t xml:space="preserve">benvil:
</t>
        </r>
        <r>
          <rPr>
            <b/>
            <sz val="11"/>
            <color indexed="81"/>
            <rFont val="Tahoma"/>
            <family val="2"/>
          </rPr>
          <t>Matthæusgade kl.11</t>
        </r>
      </text>
    </comment>
    <comment ref="Y74" authorId="2" shapeId="0" xr:uid="{00000000-0006-0000-0A00-00003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0900-1930 Projekt</t>
        </r>
      </text>
    </comment>
    <comment ref="AD74" authorId="0" shapeId="0" xr:uid="{00000000-0006-0000-0A00-00003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Ørnevej</t>
        </r>
      </text>
    </comment>
    <comment ref="F75" authorId="0" shapeId="0" xr:uid="{00000000-0006-0000-0A00-00003A000000}">
      <text>
        <r>
          <rPr>
            <b/>
            <sz val="9"/>
            <color indexed="81"/>
            <rFont val="Tahoma"/>
            <family val="2"/>
          </rPr>
          <t>benvil:
Spaniensgade</t>
        </r>
      </text>
    </comment>
    <comment ref="G75" authorId="2" shapeId="0" xr:uid="{00000000-0006-0000-0A00-00003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H75" authorId="0" shapeId="0" xr:uid="{00000000-0006-0000-0A00-00003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8:10 - 11.35</t>
        </r>
      </text>
    </comment>
    <comment ref="I75" authorId="2" shapeId="0" xr:uid="{00000000-0006-0000-0A00-00003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 kl.11</t>
        </r>
      </text>
    </comment>
    <comment ref="L75" authorId="0" shapeId="0" xr:uid="{00000000-0006-0000-0A00-00003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M75" authorId="0" shapeId="0" xr:uid="{00000000-0006-0000-0A00-00003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N75" authorId="0" shapeId="0" xr:uid="{00000000-0006-0000-0A00-00004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O75" authorId="0" shapeId="0" xr:uid="{00000000-0006-0000-0A00-00004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P75" authorId="0" shapeId="0" xr:uid="{00000000-0006-0000-0A00-00004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Q75" authorId="1" shapeId="0" xr:uid="{00000000-0006-0000-0A00-00004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Opgave</t>
        </r>
      </text>
    </comment>
    <comment ref="Z75" authorId="2" shapeId="0" xr:uid="{00000000-0006-0000-0A00-00004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MUS 12-14</t>
        </r>
      </text>
    </comment>
    <comment ref="AA75" authorId="2" shapeId="0" xr:uid="{00000000-0006-0000-0A00-00004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AB75" authorId="0" shapeId="0" xr:uid="{00000000-0006-0000-0A00-00004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Griffen</t>
        </r>
      </text>
    </comment>
    <comment ref="AD75" authorId="2" shapeId="0" xr:uid="{00000000-0006-0000-0A00-00004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Til lægen</t>
        </r>
      </text>
    </comment>
    <comment ref="H76" authorId="0" shapeId="0" xr:uid="{00000000-0006-0000-0A00-00004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12:05 - 15:30</t>
        </r>
      </text>
    </comment>
    <comment ref="L76" authorId="2" shapeId="0" xr:uid="{00000000-0006-0000-0A00-00004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Gl Køge landevej 0900-1500</t>
        </r>
      </text>
    </comment>
    <comment ref="S76" authorId="3" shapeId="0" xr:uid="{00000000-0006-0000-0A00-00004A000000}">
      <text>
        <r>
          <rPr>
            <sz val="10"/>
            <color indexed="81"/>
            <rFont val="Tahoma"/>
            <family val="2"/>
          </rPr>
          <t>G vagt for Wojciech.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76" authorId="3" shapeId="0" xr:uid="{00000000-0006-0000-0A00-00004B000000}">
      <text>
        <r>
          <rPr>
            <sz val="10"/>
            <color indexed="81"/>
            <rFont val="Tahoma"/>
            <family val="2"/>
          </rPr>
          <t>3 - vagt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76" authorId="1" shapeId="0" xr:uid="{00000000-0006-0000-0A00-00004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AB76" authorId="1" shapeId="0" xr:uid="{00000000-0006-0000-0A00-00004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MUS 16-1730</t>
        </r>
      </text>
    </comment>
    <comment ref="I86" authorId="2" shapeId="0" xr:uid="{00000000-0006-0000-0A00-00004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+ Ørnevej</t>
        </r>
      </text>
    </comment>
    <comment ref="L86" authorId="0" shapeId="0" xr:uid="{00000000-0006-0000-0A00-00004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5-vagt</t>
        </r>
      </text>
    </comment>
    <comment ref="M86" authorId="0" shapeId="0" xr:uid="{00000000-0006-0000-0A00-00005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5-vagt</t>
        </r>
      </text>
    </comment>
    <comment ref="N86" authorId="0" shapeId="0" xr:uid="{00000000-0006-0000-0A00-00005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5-vagt</t>
        </r>
      </text>
    </comment>
    <comment ref="O86" authorId="0" shapeId="0" xr:uid="{00000000-0006-0000-0A00-00005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Kundetræning kl. 12:05 - 15:30 + 5-vagt</t>
        </r>
      </text>
    </comment>
    <comment ref="P86" authorId="0" shapeId="0" xr:uid="{00000000-0006-0000-0A00-00005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5-vagt + Patruljeleder.</t>
        </r>
      </text>
    </comment>
    <comment ref="S86" authorId="0" shapeId="0" xr:uid="{00000000-0006-0000-0A00-00005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4-vagt</t>
        </r>
      </text>
    </comment>
    <comment ref="T86" authorId="0" shapeId="0" xr:uid="{00000000-0006-0000-0A00-00005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4-vagt</t>
        </r>
      </text>
    </comment>
    <comment ref="U86" authorId="0" shapeId="0" xr:uid="{00000000-0006-0000-0A00-00005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4-vagt</t>
        </r>
      </text>
    </comment>
    <comment ref="V86" authorId="0" shapeId="0" xr:uid="{00000000-0006-0000-0A00-00005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4-vagt</t>
        </r>
      </text>
    </comment>
    <comment ref="W86" authorId="0" shapeId="0" xr:uid="{00000000-0006-0000-0A00-00005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4-vagt</t>
        </r>
      </text>
    </comment>
    <comment ref="E87" authorId="2" shapeId="0" xr:uid="{00000000-0006-0000-0A00-00005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 + Grif</t>
        </r>
      </text>
    </comment>
    <comment ref="F87" authorId="0" shapeId="0" xr:uid="{00000000-0006-0000-0A00-00005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K5 + GL. KØGE</t>
        </r>
      </text>
    </comment>
    <comment ref="G87" authorId="0" shapeId="0" xr:uid="{00000000-0006-0000-0A00-00005B000000}">
      <text>
        <r>
          <rPr>
            <b/>
            <sz val="9"/>
            <color indexed="81"/>
            <rFont val="Tahoma"/>
            <family val="2"/>
          </rPr>
          <t>benvil:
Matthæusgade</t>
        </r>
      </text>
    </comment>
    <comment ref="H87" authorId="2" shapeId="0" xr:uid="{00000000-0006-0000-0A00-00005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Ørnevej kl. 0900-1830</t>
        </r>
      </text>
    </comment>
    <comment ref="I87" authorId="2" shapeId="0" xr:uid="{00000000-0006-0000-0A00-00005D000000}">
      <text>
        <r>
          <rPr>
            <b/>
            <sz val="9"/>
            <color indexed="81"/>
            <rFont val="Tahoma"/>
            <family val="2"/>
          </rPr>
          <t>sthert:
Matthæusgade</t>
        </r>
      </text>
    </comment>
    <comment ref="L87" authorId="1" shapeId="0" xr:uid="{00000000-0006-0000-0A00-00005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Patruleleder</t>
        </r>
      </text>
    </comment>
    <comment ref="M87" authorId="1" shapeId="0" xr:uid="{00000000-0006-0000-0A00-00005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Patruleleder</t>
        </r>
      </text>
    </comment>
    <comment ref="O87" authorId="0" shapeId="0" xr:uid="{00000000-0006-0000-0A00-00006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8:10 - 11.35</t>
        </r>
      </text>
    </comment>
    <comment ref="AA87" authorId="1" shapeId="0" xr:uid="{00000000-0006-0000-0A00-00006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L88" authorId="4" shapeId="0" xr:uid="{00000000-0006-0000-0A00-000062000000}">
      <text>
        <r>
          <rPr>
            <b/>
            <sz val="10"/>
            <color indexed="81"/>
            <rFont val="Tahoma"/>
            <family val="2"/>
          </rPr>
          <t>11-vagt på OA</t>
        </r>
      </text>
    </comment>
    <comment ref="M88" authorId="4" shapeId="0" xr:uid="{00000000-0006-0000-0A00-000063000000}">
      <text>
        <r>
          <rPr>
            <b/>
            <sz val="10"/>
            <color indexed="81"/>
            <rFont val="Tahoma"/>
            <family val="2"/>
          </rPr>
          <t>11-vagt på OA</t>
        </r>
      </text>
    </comment>
    <comment ref="O88" authorId="2" shapeId="0" xr:uid="{00000000-0006-0000-0A00-00006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Kundetræning kl. 12:05 - 15:30</t>
        </r>
      </text>
    </comment>
    <comment ref="W88" authorId="2" shapeId="0" xr:uid="{00000000-0006-0000-0A00-00006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Brønshøjvej</t>
        </r>
      </text>
    </comment>
    <comment ref="O99" authorId="0" shapeId="0" xr:uid="{00000000-0006-0000-0A00-00006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12:05 - 15:30</t>
        </r>
      </text>
    </comment>
    <comment ref="O100" authorId="0" shapeId="0" xr:uid="{00000000-0006-0000-0A00-00006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12:05 - 15:30</t>
        </r>
      </text>
    </comment>
    <comment ref="P100" authorId="1" shapeId="0" xr:uid="{00000000-0006-0000-0A00-00006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Opgave</t>
        </r>
      </text>
    </comment>
    <comment ref="H101" authorId="0" shapeId="0" xr:uid="{00000000-0006-0000-0A00-00006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12:05 - 15:30</t>
        </r>
      </text>
    </comment>
    <comment ref="H119" authorId="0" shapeId="0" xr:uid="{00000000-0006-0000-0A00-00006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8:10 - 11.35</t>
        </r>
      </text>
    </comment>
    <comment ref="N119" authorId="2" shapeId="0" xr:uid="{00000000-0006-0000-0A00-00006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Hospitalet</t>
        </r>
      </text>
    </comment>
    <comment ref="O120" authorId="0" shapeId="0" xr:uid="{00000000-0006-0000-0A00-00006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8:10 - 11.35</t>
        </r>
      </text>
    </comment>
    <comment ref="S120" authorId="1" shapeId="0" xr:uid="{00000000-0006-0000-0A00-00006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GL.Køgevej 4 kl. 12.00</t>
        </r>
      </text>
    </comment>
    <comment ref="O121" authorId="0" shapeId="0" xr:uid="{00000000-0006-0000-0A00-00006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8:10 - 11.35</t>
        </r>
      </text>
    </comment>
    <comment ref="H122" authorId="0" shapeId="0" xr:uid="{00000000-0006-0000-0A00-00006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8:10 - 11.35</t>
        </r>
      </text>
    </comment>
    <comment ref="H123" authorId="0" shapeId="0" xr:uid="{00000000-0006-0000-0A00-00007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8:10 - 11.35</t>
        </r>
      </text>
    </comment>
    <comment ref="H124" authorId="0" shapeId="0" xr:uid="{00000000-0006-0000-0A00-00007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8:10 - 11.35</t>
        </r>
      </text>
    </comment>
    <comment ref="AA124" authorId="2" shapeId="0" xr:uid="{00000000-0006-0000-0A00-00007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Hospital hele dagen</t>
        </r>
      </text>
    </comment>
    <comment ref="H125" authorId="0" shapeId="0" xr:uid="{00000000-0006-0000-0A00-00007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8:10 - 11.35</t>
        </r>
      </text>
    </comment>
    <comment ref="O126" authorId="0" shapeId="0" xr:uid="{00000000-0006-0000-0A00-00007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8:10 - 11.35</t>
        </r>
      </text>
    </comment>
    <comment ref="H127" authorId="0" shapeId="0" xr:uid="{00000000-0006-0000-0A00-00007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8:10 - 11.35</t>
        </r>
      </text>
    </comment>
    <comment ref="I127" authorId="2" shapeId="0" xr:uid="{00000000-0006-0000-0A00-00007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Går kl.11</t>
        </r>
      </text>
    </comment>
    <comment ref="W127" authorId="2" shapeId="0" xr:uid="{00000000-0006-0000-0A00-00007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Går kl. 1130</t>
        </r>
      </text>
    </comment>
    <comment ref="O128" authorId="0" shapeId="0" xr:uid="{00000000-0006-0000-0A00-00007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8:10 - 11.35</t>
        </r>
      </text>
    </comment>
    <comment ref="L129" authorId="2" shapeId="0" xr:uid="{00000000-0006-0000-0A00-00007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O129" authorId="0" shapeId="0" xr:uid="{00000000-0006-0000-0A00-00007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8:10 - 11.35</t>
        </r>
      </text>
    </comment>
    <comment ref="S129" authorId="2" shapeId="0" xr:uid="{00000000-0006-0000-0A00-00007B000000}">
      <text>
        <r>
          <rPr>
            <b/>
            <sz val="9"/>
            <color indexed="81"/>
            <rFont val="Tahoma"/>
            <family val="2"/>
          </rPr>
          <t>sthert:
Til læge kl.12</t>
        </r>
      </text>
    </comment>
    <comment ref="O130" authorId="0" shapeId="0" xr:uid="{00000000-0006-0000-0A00-00007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8:10 - 11.35</t>
        </r>
      </text>
    </comment>
    <comment ref="G168" authorId="0" shapeId="0" xr:uid="{00000000-0006-0000-0A00-00007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12:05 - 15:30</t>
        </r>
      </text>
    </comment>
    <comment ref="G169" authorId="0" shapeId="0" xr:uid="{00000000-0006-0000-0A00-00007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12:05 - 15:30</t>
        </r>
      </text>
    </comment>
    <comment ref="P169" authorId="1" shapeId="0" xr:uid="{00000000-0006-0000-0A00-00007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Omviser
kl. 09.30</t>
        </r>
      </text>
    </comment>
    <comment ref="F170" authorId="2" shapeId="0" xr:uid="{00000000-0006-0000-0A00-00008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+ Matthæusgade</t>
        </r>
      </text>
    </comment>
    <comment ref="I170" authorId="3" shapeId="0" xr:uid="{00000000-0006-0000-0A00-000081000000}">
      <text>
        <r>
          <rPr>
            <sz val="10"/>
            <color indexed="81"/>
            <rFont val="Tahoma"/>
            <family val="2"/>
          </rPr>
          <t>E vagt for Lars Lionet OA.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70" authorId="1" shapeId="0" xr:uid="{00000000-0006-0000-0A00-00008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6-VAGT OA</t>
        </r>
      </text>
    </comment>
    <comment ref="M170" authorId="1" shapeId="0" xr:uid="{00000000-0006-0000-0A00-00008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6-VAGT OA</t>
        </r>
      </text>
    </comment>
    <comment ref="O170" authorId="0" shapeId="0" xr:uid="{00000000-0006-0000-0A00-00008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0810 - 1133 + Matthæusgade</t>
        </r>
      </text>
    </comment>
    <comment ref="S170" authorId="3" shapeId="0" xr:uid="{00000000-0006-0000-0A00-000085000000}">
      <text>
        <r>
          <rPr>
            <sz val="10"/>
            <color indexed="81"/>
            <rFont val="Tahoma"/>
            <family val="2"/>
          </rPr>
          <t>L vagt for Helle
Og 5 vagt på OA.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70" authorId="1" shapeId="0" xr:uid="{00000000-0006-0000-0A00-00008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M-vagt</t>
        </r>
      </text>
    </comment>
    <comment ref="O172" authorId="0" shapeId="0" xr:uid="{00000000-0006-0000-0A00-00008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12:05 - 15:30</t>
        </r>
      </text>
    </comment>
    <comment ref="O179" authorId="0" shapeId="0" xr:uid="{00000000-0006-0000-0A00-00008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12:05 - 15:30</t>
        </r>
      </text>
    </comment>
    <comment ref="G180" authorId="0" shapeId="0" xr:uid="{00000000-0006-0000-0A00-00008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12:05 - 15:30</t>
        </r>
      </text>
    </comment>
    <comment ref="H180" authorId="2" shapeId="0" xr:uid="{00000000-0006-0000-0A00-00008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Ikke aften</t>
        </r>
      </text>
    </comment>
    <comment ref="L180" authorId="1" shapeId="0" xr:uid="{00000000-0006-0000-0A00-00008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OA nat</t>
        </r>
      </text>
    </comment>
    <comment ref="N180" authorId="1" shapeId="0" xr:uid="{00000000-0006-0000-0A00-00008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OA nat</t>
        </r>
      </text>
    </comment>
    <comment ref="AE180" authorId="1" shapeId="0" xr:uid="{00000000-0006-0000-0A00-00008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senere ca. 19.30</t>
        </r>
      </text>
    </comment>
    <comment ref="G199" authorId="0" shapeId="0" xr:uid="{00000000-0006-0000-0A00-00008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Kundetræning kl. 8:10 - 11:35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mipede</author>
    <author>bovolf</author>
    <author>sthert</author>
    <author>benvil</author>
  </authors>
  <commentList>
    <comment ref="Q17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Musvågevej</t>
        </r>
      </text>
    </comment>
    <comment ref="R17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Musvågevej</t>
        </r>
      </text>
    </comment>
    <comment ref="S17" authorId="0" shapeId="0" xr:uid="{00000000-0006-0000-0B00-00000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Musvågevej</t>
        </r>
      </text>
    </comment>
    <comment ref="T17" authorId="0" shapeId="0" xr:uid="{00000000-0006-0000-0B00-00000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Musvågevej</t>
        </r>
      </text>
    </comment>
    <comment ref="U17" authorId="0" shapeId="0" xr:uid="{00000000-0006-0000-0B00-00000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Musvågevej</t>
        </r>
      </text>
    </comment>
    <comment ref="J38" authorId="1" shapeId="0" xr:uid="{00000000-0006-0000-0B00-000006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1 vagt hele ugen
</t>
        </r>
      </text>
    </comment>
    <comment ref="K38" authorId="1" shapeId="0" xr:uid="{00000000-0006-0000-0B00-000007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1 vagt hele ugen</t>
        </r>
      </text>
    </comment>
    <comment ref="L38" authorId="1" shapeId="0" xr:uid="{00000000-0006-0000-0B00-000008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1 vagt hele ugen ekstra vagt svanevej</t>
        </r>
      </text>
    </comment>
    <comment ref="M38" authorId="1" shapeId="0" xr:uid="{00000000-0006-0000-0B00-000009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1 vagt hele ugenekstravagt svanevej</t>
        </r>
      </text>
    </comment>
    <comment ref="N38" authorId="1" shapeId="0" xr:uid="{00000000-0006-0000-0B00-00000A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1 vagt hele ugenekstravagt svanevej</t>
        </r>
      </text>
    </comment>
    <comment ref="J39" authorId="1" shapeId="0" xr:uid="{00000000-0006-0000-0B00-00000B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3 vagt hele ugen</t>
        </r>
      </text>
    </comment>
    <comment ref="K39" authorId="1" shapeId="0" xr:uid="{00000000-0006-0000-0B00-00000C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3 vagt hele ugen</t>
        </r>
      </text>
    </comment>
    <comment ref="L39" authorId="1" shapeId="0" xr:uid="{00000000-0006-0000-0B00-00000D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3 vagt hele ugen</t>
        </r>
      </text>
    </comment>
    <comment ref="M39" authorId="1" shapeId="0" xr:uid="{00000000-0006-0000-0B00-00000E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3 vagt hele ugen</t>
        </r>
      </text>
    </comment>
    <comment ref="N39" authorId="1" shapeId="0" xr:uid="{00000000-0006-0000-0B00-00000F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3 vagt hele ugen</t>
        </r>
      </text>
    </comment>
    <comment ref="AG40" authorId="2" shapeId="0" xr:uid="{00000000-0006-0000-0B00-000010000000}">
      <text>
        <r>
          <rPr>
            <sz val="10"/>
            <color indexed="81"/>
            <rFont val="Tahoma"/>
            <family val="2"/>
          </rPr>
          <t>Møder 15-30 min.
Senere.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45" authorId="0" shapeId="0" xr:uid="{00000000-0006-0000-0B00-00001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8.05</t>
        </r>
      </text>
    </comment>
    <comment ref="Q45" authorId="0" shapeId="0" xr:uid="{00000000-0006-0000-0B00-00001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Brønshøjvej</t>
        </r>
      </text>
    </comment>
    <comment ref="R45" authorId="0" shapeId="0" xr:uid="{00000000-0006-0000-0B00-00001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Brønshøjvej</t>
        </r>
      </text>
    </comment>
    <comment ref="T45" authorId="0" shapeId="0" xr:uid="{00000000-0006-0000-0B00-00001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Brønshøjvej</t>
        </r>
      </text>
    </comment>
    <comment ref="U45" authorId="0" shapeId="0" xr:uid="{00000000-0006-0000-0B00-00001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Brønshøjvej</t>
        </r>
      </text>
    </comment>
    <comment ref="S46" authorId="0" shapeId="0" xr:uid="{00000000-0006-0000-0B00-00001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Førstehjælp</t>
        </r>
      </text>
    </comment>
    <comment ref="S49" authorId="0" shapeId="0" xr:uid="{00000000-0006-0000-0B00-00001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Førstehjælp</t>
        </r>
      </text>
    </comment>
    <comment ref="J74" authorId="3" shapeId="0" xr:uid="{00000000-0006-0000-0B00-00001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K74" authorId="3" shapeId="0" xr:uid="{00000000-0006-0000-0B00-00001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L74" authorId="3" shapeId="0" xr:uid="{00000000-0006-0000-0B00-00001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M74" authorId="3" shapeId="0" xr:uid="{00000000-0006-0000-0B00-00001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K2 -VAGT + K1</t>
        </r>
      </text>
    </comment>
    <comment ref="N74" authorId="3" shapeId="0" xr:uid="{00000000-0006-0000-0B00-00001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P74" authorId="3" shapeId="0" xr:uid="{00000000-0006-0000-0B00-00001D000000}">
      <text>
        <r>
          <rPr>
            <sz val="11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Projekt</t>
        </r>
      </text>
    </comment>
    <comment ref="Q74" authorId="0" shapeId="0" xr:uid="{00000000-0006-0000-0B00-00001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R74" authorId="4" shapeId="0" xr:uid="{00000000-0006-0000-0B00-00001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COK</t>
        </r>
      </text>
    </comment>
    <comment ref="X74" authorId="0" shapeId="0" xr:uid="{00000000-0006-0000-0B00-00002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N-VAGT</t>
        </r>
      </text>
    </comment>
    <comment ref="Y74" authorId="0" shapeId="0" xr:uid="{00000000-0006-0000-0B00-00002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N-VAGT</t>
        </r>
      </text>
    </comment>
    <comment ref="AE74" authorId="3" shapeId="0" xr:uid="{00000000-0006-0000-0B00-00002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Døgnvagten</t>
        </r>
      </text>
    </comment>
    <comment ref="AF74" authorId="3" shapeId="0" xr:uid="{00000000-0006-0000-0B00-00002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Døgnvagten</t>
        </r>
      </text>
    </comment>
    <comment ref="AG74" authorId="3" shapeId="0" xr:uid="{00000000-0006-0000-0B00-00002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Døgnvagten</t>
        </r>
      </text>
    </comment>
    <comment ref="C75" authorId="4" shapeId="0" xr:uid="{00000000-0006-0000-0B00-00002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Griffen</t>
        </r>
      </text>
    </comment>
    <comment ref="D75" authorId="4" shapeId="0" xr:uid="{00000000-0006-0000-0B00-00002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E75" authorId="4" shapeId="0" xr:uid="{00000000-0006-0000-0B00-00002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F75" authorId="4" shapeId="0" xr:uid="{00000000-0006-0000-0B00-00002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G75" authorId="4" shapeId="0" xr:uid="{00000000-0006-0000-0B00-00002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Q75" authorId="4" shapeId="0" xr:uid="{00000000-0006-0000-0B00-00002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COK</t>
        </r>
      </text>
    </comment>
    <comment ref="R75" authorId="4" shapeId="0" xr:uid="{00000000-0006-0000-0B00-00002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COK</t>
        </r>
      </text>
    </comment>
    <comment ref="S75" authorId="3" shapeId="0" xr:uid="{00000000-0006-0000-0B00-00002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X75" authorId="4" shapeId="0" xr:uid="{00000000-0006-0000-0B00-00002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E-vagt</t>
        </r>
      </text>
    </comment>
    <comment ref="Y75" authorId="4" shapeId="0" xr:uid="{00000000-0006-0000-0B00-00002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 vagt</t>
        </r>
      </text>
    </comment>
    <comment ref="AE76" authorId="4" shapeId="0" xr:uid="{00000000-0006-0000-0B00-00002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Ringer til vagthavende</t>
        </r>
      </text>
    </comment>
    <comment ref="AF76" authorId="4" shapeId="0" xr:uid="{00000000-0006-0000-0B00-00003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Ringer til vagthavende</t>
        </r>
      </text>
    </comment>
    <comment ref="D86" authorId="0" shapeId="0" xr:uid="{00000000-0006-0000-0B00-00003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kl. 06.00 som Fejemand</t>
        </r>
      </text>
    </comment>
    <comment ref="E86" authorId="0" shapeId="0" xr:uid="{00000000-0006-0000-0B00-00003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4- vagt</t>
        </r>
      </text>
    </comment>
    <comment ref="F86" authorId="0" shapeId="0" xr:uid="{00000000-0006-0000-0B00-00003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Fri kl. 16</t>
        </r>
      </text>
    </comment>
    <comment ref="G86" authorId="0" shapeId="0" xr:uid="{00000000-0006-0000-0B00-00003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J86" authorId="0" shapeId="0" xr:uid="{00000000-0006-0000-0B00-00003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L86" authorId="2" shapeId="0" xr:uid="{00000000-0006-0000-0B00-000036000000}">
      <text>
        <r>
          <rPr>
            <sz val="8"/>
            <color indexed="81"/>
            <rFont val="Tahoma"/>
            <family val="2"/>
          </rPr>
          <t xml:space="preserve">Brønshøjvej
BV.
</t>
        </r>
      </text>
    </comment>
    <comment ref="Q86" authorId="0" shapeId="0" xr:uid="{00000000-0006-0000-0B00-00003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hos Dote og Mikael 06.00 OA</t>
        </r>
      </text>
    </comment>
    <comment ref="R86" authorId="0" shapeId="0" xr:uid="{00000000-0006-0000-0B00-00003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hos Dote og Mikael 06.00 OA</t>
        </r>
      </text>
    </comment>
    <comment ref="S86" authorId="0" shapeId="0" xr:uid="{00000000-0006-0000-0B00-00003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hos Dote og Mikael 06.00 OA</t>
        </r>
      </text>
    </comment>
    <comment ref="F87" authorId="0" shapeId="0" xr:uid="{00000000-0006-0000-0B00-00003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K2-vagt</t>
        </r>
      </text>
    </comment>
    <comment ref="S87" authorId="0" shapeId="0" xr:uid="{00000000-0006-0000-0B00-00003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Gl. Køge landevej</t>
        </r>
      </text>
    </comment>
    <comment ref="X87" authorId="0" shapeId="0" xr:uid="{00000000-0006-0000-0B00-00003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M-VAGT</t>
        </r>
      </text>
    </comment>
    <comment ref="Y87" authorId="0" shapeId="0" xr:uid="{00000000-0006-0000-0B00-00003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E-VAGT</t>
        </r>
      </text>
    </comment>
    <comment ref="K88" authorId="0" shapeId="0" xr:uid="{00000000-0006-0000-0B00-00003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Brønshøjvej</t>
        </r>
      </text>
    </comment>
    <comment ref="L88" authorId="0" shapeId="0" xr:uid="{00000000-0006-0000-0B00-00003F000000}">
      <text>
        <r>
          <rPr>
            <b/>
            <sz val="9"/>
            <color indexed="81"/>
            <rFont val="Tahoma"/>
            <family val="2"/>
          </rPr>
          <t>K.5 for Ali
BV.</t>
        </r>
      </text>
    </comment>
    <comment ref="M88" authorId="0" shapeId="0" xr:uid="{00000000-0006-0000-0B00-00004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Lægen hele dagen</t>
        </r>
      </text>
    </comment>
    <comment ref="N88" authorId="0" shapeId="0" xr:uid="{00000000-0006-0000-0B00-00004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Brønshøjvej</t>
        </r>
      </text>
    </comment>
    <comment ref="Q88" authorId="4" shapeId="0" xr:uid="{00000000-0006-0000-0B00-00004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8 vagt</t>
        </r>
      </text>
    </comment>
    <comment ref="R88" authorId="4" shapeId="0" xr:uid="{00000000-0006-0000-0B00-00004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8 vagt</t>
        </r>
      </text>
    </comment>
    <comment ref="S88" authorId="0" shapeId="0" xr:uid="{00000000-0006-0000-0B00-00004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Førstehjælp</t>
        </r>
      </text>
    </comment>
    <comment ref="T88" authorId="0" shapeId="0" xr:uid="{00000000-0006-0000-0B00-00004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U88" authorId="0" shapeId="0" xr:uid="{00000000-0006-0000-0B00-00004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M99" authorId="0" shapeId="0" xr:uid="{00000000-0006-0000-0B00-00004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08.05</t>
        </r>
      </text>
    </comment>
    <comment ref="M100" authorId="0" shapeId="0" xr:uid="{00000000-0006-0000-0B00-00004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Kundetræning 12.05</t>
        </r>
      </text>
    </comment>
    <comment ref="C119" authorId="3" shapeId="0" xr:uid="{00000000-0006-0000-0B00-00004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Interen flexfri</t>
        </r>
      </text>
    </comment>
    <comment ref="D119" authorId="3" shapeId="0" xr:uid="{00000000-0006-0000-0B00-00004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Interen flexfri</t>
        </r>
      </text>
    </comment>
    <comment ref="E119" authorId="3" shapeId="0" xr:uid="{00000000-0006-0000-0B00-00004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Interen flexfri</t>
        </r>
      </text>
    </comment>
    <comment ref="AE119" authorId="3" shapeId="0" xr:uid="{00000000-0006-0000-0B00-00004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Intern flexfirdag</t>
        </r>
      </text>
    </comment>
    <comment ref="Q122" authorId="3" shapeId="0" xr:uid="{00000000-0006-0000-0B00-00004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Ekstravagt Svanevej</t>
        </r>
      </text>
    </comment>
    <comment ref="R122" authorId="3" shapeId="0" xr:uid="{00000000-0006-0000-0B00-00004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Ekstravagt Svanevej</t>
        </r>
      </text>
    </comment>
    <comment ref="S122" authorId="3" shapeId="0" xr:uid="{00000000-0006-0000-0B00-00004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Ekstravagt Svanevej</t>
        </r>
      </text>
    </comment>
    <comment ref="T122" authorId="3" shapeId="0" xr:uid="{00000000-0006-0000-0B00-00005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Ekstravagt Svanevej</t>
        </r>
      </text>
    </comment>
    <comment ref="U122" authorId="3" shapeId="0" xr:uid="{00000000-0006-0000-0B00-00005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Ekstravagt Svanevej</t>
        </r>
      </text>
    </comment>
    <comment ref="S124" authorId="0" shapeId="0" xr:uid="{00000000-0006-0000-0B00-00005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Førstehjælp</t>
        </r>
      </text>
    </comment>
    <comment ref="S143" authorId="0" shapeId="0" xr:uid="{00000000-0006-0000-0B00-00005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Førstehjælp</t>
        </r>
      </text>
    </comment>
    <comment ref="S144" authorId="0" shapeId="0" xr:uid="{00000000-0006-0000-0B00-00005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Førstehjælp</t>
        </r>
      </text>
    </comment>
    <comment ref="J171" authorId="0" shapeId="0" xr:uid="{00000000-0006-0000-0B00-00005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Mikael og Dorte</t>
        </r>
      </text>
    </comment>
    <comment ref="K171" authorId="0" shapeId="0" xr:uid="{00000000-0006-0000-0B00-00005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Mikael og Dorte</t>
        </r>
      </text>
    </comment>
    <comment ref="L171" authorId="0" shapeId="0" xr:uid="{00000000-0006-0000-0B00-00005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Mikael og Dorte</t>
        </r>
      </text>
    </comment>
    <comment ref="M171" authorId="0" shapeId="0" xr:uid="{00000000-0006-0000-0B00-00005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Mikael og Dorte</t>
        </r>
      </text>
    </comment>
    <comment ref="N171" authorId="0" shapeId="0" xr:uid="{00000000-0006-0000-0B00-00005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Mikael og Dorte</t>
        </r>
      </text>
    </comment>
    <comment ref="S213" authorId="0" shapeId="0" xr:uid="{00000000-0006-0000-0B00-00005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Førstehjælp</t>
        </r>
      </text>
    </comment>
    <comment ref="S214" authorId="0" shapeId="0" xr:uid="{00000000-0006-0000-0B00-00005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Førstehjælp</t>
        </r>
      </text>
    </comment>
    <comment ref="M268" authorId="0" shapeId="0" xr:uid="{00000000-0006-0000-0B00-00005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ferie 3 timer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sthert</author>
    <author>benvil</author>
    <author>bovolf</author>
    <author>mipede</author>
  </authors>
  <commentList>
    <comment ref="D16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5- vagtens bygninger</t>
        </r>
      </text>
    </comment>
    <comment ref="K17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Nattevagt for Dennis</t>
        </r>
      </text>
    </comment>
    <comment ref="Y17" authorId="1" shapeId="0" xr:uid="{00000000-0006-0000-0C00-00000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Brønshøjvej</t>
        </r>
      </text>
    </comment>
    <comment ref="AC20" authorId="0" shapeId="0" xr:uid="{00000000-0006-0000-0C00-00000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Undersøgelse</t>
        </r>
      </text>
    </comment>
    <comment ref="G21" authorId="0" shapeId="0" xr:uid="{00000000-0006-0000-0C00-00000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Tastning af regninger</t>
        </r>
      </text>
    </comment>
    <comment ref="H21" authorId="0" shapeId="0" xr:uid="{00000000-0006-0000-0C00-00000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Tastning af regninger</t>
        </r>
      </text>
    </comment>
    <comment ref="I21" authorId="0" shapeId="0" xr:uid="{00000000-0006-0000-0C00-00000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Tastning af regninger</t>
        </r>
      </text>
    </comment>
    <comment ref="J21" authorId="0" shapeId="0" xr:uid="{00000000-0006-0000-0C00-00000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Tastning af regninger</t>
        </r>
      </text>
    </comment>
    <comment ref="K21" authorId="0" shapeId="0" xr:uid="{00000000-0006-0000-0C00-00000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Tastning af regninger</t>
        </r>
      </text>
    </comment>
    <comment ref="P21" authorId="0" shapeId="0" xr:uid="{00000000-0006-0000-0C00-00000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Tastning af regninger</t>
        </r>
      </text>
    </comment>
    <comment ref="Q21" authorId="0" shapeId="0" xr:uid="{00000000-0006-0000-0C00-00000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Tastning af regninger</t>
        </r>
      </text>
    </comment>
    <comment ref="R21" authorId="0" shapeId="0" xr:uid="{00000000-0006-0000-0C00-00000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Tastning af regninger</t>
        </r>
      </text>
    </comment>
    <comment ref="AB21" authorId="2" shapeId="0" xr:uid="{00000000-0006-0000-0C00-00000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Fashionweek</t>
        </r>
      </text>
    </comment>
    <comment ref="AC21" authorId="2" shapeId="0" xr:uid="{00000000-0006-0000-0C00-00000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Fashionweek</t>
        </r>
      </text>
    </comment>
    <comment ref="AD21" authorId="2" shapeId="0" xr:uid="{00000000-0006-0000-0C00-00000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Fashionweek</t>
        </r>
      </text>
    </comment>
    <comment ref="AE21" authorId="2" shapeId="0" xr:uid="{00000000-0006-0000-0C00-00001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Fashionweek</t>
        </r>
      </text>
    </comment>
    <comment ref="AF21" authorId="2" shapeId="0" xr:uid="{00000000-0006-0000-0C00-00001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Fashionweek</t>
        </r>
      </text>
    </comment>
    <comment ref="AF37" authorId="0" shapeId="0" xr:uid="{00000000-0006-0000-0C00-00001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Remisevej</t>
        </r>
      </text>
    </comment>
    <comment ref="R38" authorId="1" shapeId="0" xr:uid="{00000000-0006-0000-0C00-00001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Svanevej 0815 -1315</t>
        </r>
      </text>
    </comment>
    <comment ref="C40" authorId="3" shapeId="0" xr:uid="{00000000-0006-0000-0C00-000014000000}">
      <text>
        <r>
          <rPr>
            <sz val="10"/>
            <color indexed="81"/>
            <rFont val="Tahoma"/>
            <family val="2"/>
          </rPr>
          <t>Møder 15-30 min.
Senere.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1" authorId="0" shapeId="0" xr:uid="{00000000-0006-0000-0C00-00001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på Fuglebakken kl. 09.00</t>
        </r>
      </text>
    </comment>
    <comment ref="U45" authorId="4" shapeId="0" xr:uid="{00000000-0006-0000-0C00-000016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10 vagt på OA
</t>
        </r>
      </text>
    </comment>
    <comment ref="V46" authorId="0" shapeId="0" xr:uid="{00000000-0006-0000-0C00-00001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W46" authorId="0" shapeId="0" xr:uid="{00000000-0006-0000-0C00-00001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AB48" authorId="0" shapeId="0" xr:uid="{00000000-0006-0000-0C00-00001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8 -vagt</t>
        </r>
      </text>
    </comment>
    <comment ref="AC48" authorId="0" shapeId="0" xr:uid="{00000000-0006-0000-0C00-00001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D48" authorId="0" shapeId="0" xr:uid="{00000000-0006-0000-0C00-00001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8 -vagt</t>
        </r>
      </text>
    </comment>
    <comment ref="U61" authorId="0" shapeId="0" xr:uid="{00000000-0006-0000-0C00-00001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Går kl. 10</t>
        </r>
      </text>
    </comment>
    <comment ref="D74" authorId="1" shapeId="0" xr:uid="{00000000-0006-0000-0C00-00001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O74" authorId="0" shapeId="0" xr:uid="{00000000-0006-0000-0C00-00001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R74" authorId="1" shapeId="0" xr:uid="{00000000-0006-0000-0C00-00001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U74" authorId="1" shapeId="0" xr:uid="{00000000-0006-0000-0C00-00002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V74" authorId="1" shapeId="0" xr:uid="{00000000-0006-0000-0C00-00002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W74" authorId="1" shapeId="0" xr:uid="{00000000-0006-0000-0C00-00002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 Griffen 08.30 for Flemming</t>
        </r>
      </text>
    </comment>
    <comment ref="X74" authorId="1" shapeId="0" xr:uid="{00000000-0006-0000-0C00-00002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Y74" authorId="1" shapeId="0" xr:uid="{00000000-0006-0000-0C00-00002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AC74" authorId="1" shapeId="0" xr:uid="{00000000-0006-0000-0C00-00002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Remisevej</t>
        </r>
      </text>
    </comment>
    <comment ref="D75" authorId="2" shapeId="0" xr:uid="{00000000-0006-0000-0C00-00002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M- vagt</t>
        </r>
      </text>
    </comment>
    <comment ref="G75" authorId="1" shapeId="0" xr:uid="{00000000-0006-0000-0C00-00002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H-VAGT</t>
        </r>
      </text>
    </comment>
    <comment ref="H75" authorId="1" shapeId="0" xr:uid="{00000000-0006-0000-0C00-00002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GL.KØGE</t>
        </r>
      </text>
    </comment>
    <comment ref="I75" authorId="1" shapeId="0" xr:uid="{00000000-0006-0000-0C00-00002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H-VAGT</t>
        </r>
      </text>
    </comment>
    <comment ref="J75" authorId="1" shapeId="0" xr:uid="{00000000-0006-0000-0C00-00002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N</t>
        </r>
        <r>
          <rPr>
            <sz val="11"/>
            <color indexed="81"/>
            <rFont val="Tahoma"/>
            <family val="2"/>
          </rPr>
          <t>-VAGT</t>
        </r>
      </text>
    </comment>
    <comment ref="K75" authorId="1" shapeId="0" xr:uid="{00000000-0006-0000-0C00-00002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H-VAGT</t>
        </r>
      </text>
    </comment>
    <comment ref="N75" authorId="1" shapeId="0" xr:uid="{00000000-0006-0000-0C00-00002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</t>
        </r>
      </text>
    </comment>
    <comment ref="R75" authorId="0" shapeId="0" xr:uid="{00000000-0006-0000-0C00-00002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HNG</t>
        </r>
      </text>
    </comment>
    <comment ref="W75" authorId="1" shapeId="0" xr:uid="{00000000-0006-0000-0C00-00002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X75" authorId="1" shapeId="0" xr:uid="{00000000-0006-0000-0C00-00002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Y75" authorId="1" shapeId="0" xr:uid="{00000000-0006-0000-0C00-00003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K5</t>
        </r>
      </text>
    </comment>
    <comment ref="AD75" authorId="2" shapeId="0" xr:uid="{00000000-0006-0000-0C00-00003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Fashionweek</t>
        </r>
      </text>
    </comment>
    <comment ref="AE75" authorId="2" shapeId="0" xr:uid="{00000000-0006-0000-0C00-00003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Fashionweek</t>
        </r>
      </text>
    </comment>
    <comment ref="AF75" authorId="2" shapeId="0" xr:uid="{00000000-0006-0000-0C00-00003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Fashionweek</t>
        </r>
      </text>
    </comment>
    <comment ref="D76" authorId="1" shapeId="0" xr:uid="{00000000-0006-0000-0C00-00003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E-VAGT</t>
        </r>
      </text>
    </comment>
    <comment ref="G76" authorId="1" shapeId="0" xr:uid="{00000000-0006-0000-0C00-00003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HNG</t>
        </r>
      </text>
    </comment>
    <comment ref="H76" authorId="1" shapeId="0" xr:uid="{00000000-0006-0000-0C00-00003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HNG</t>
        </r>
      </text>
    </comment>
    <comment ref="U76" authorId="0" shapeId="0" xr:uid="{00000000-0006-0000-0C00-00003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HNG 08.00 - 10.00</t>
        </r>
      </text>
    </comment>
    <comment ref="V76" authorId="0" shapeId="0" xr:uid="{00000000-0006-0000-0C00-00003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HNG 08.00 - 10.00</t>
        </r>
      </text>
    </comment>
    <comment ref="W76" authorId="0" shapeId="0" xr:uid="{00000000-0006-0000-0C00-00003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HNG 08.00 - 10.00</t>
        </r>
      </text>
    </comment>
    <comment ref="X76" authorId="0" shapeId="0" xr:uid="{00000000-0006-0000-0C00-00003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HNG 08.00 - 10.00</t>
        </r>
      </text>
    </comment>
    <comment ref="Y76" authorId="0" shapeId="0" xr:uid="{00000000-0006-0000-0C00-00003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HNG 08.00 - 10.00</t>
        </r>
      </text>
    </comment>
    <comment ref="C86" authorId="1" shapeId="0" xr:uid="{00000000-0006-0000-0C00-00003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OA</t>
        </r>
      </text>
    </comment>
    <comment ref="D86" authorId="1" shapeId="0" xr:uid="{00000000-0006-0000-0C00-00003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K5-vagt</t>
        </r>
      </text>
    </comment>
    <comment ref="G87" authorId="1" shapeId="0" xr:uid="{00000000-0006-0000-0C00-00003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K-VAGT</t>
        </r>
      </text>
    </comment>
    <comment ref="H87" authorId="1" shapeId="0" xr:uid="{00000000-0006-0000-0C00-00003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I87" authorId="1" shapeId="0" xr:uid="{00000000-0006-0000-0C00-00004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somk K5</t>
        </r>
      </text>
    </comment>
    <comment ref="J87" authorId="1" shapeId="0" xr:uid="{00000000-0006-0000-0C00-00004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K87" authorId="1" shapeId="0" xr:uid="{00000000-0006-0000-0C00-00004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</t>
        </r>
      </text>
    </comment>
    <comment ref="AB87" authorId="1" shapeId="0" xr:uid="{00000000-0006-0000-0C00-00004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P-VAGT</t>
        </r>
      </text>
    </comment>
    <comment ref="AC87" authorId="1" shapeId="0" xr:uid="{00000000-0006-0000-0C00-00004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P-VAGT</t>
        </r>
      </text>
    </comment>
    <comment ref="AD87" authorId="1" shapeId="0" xr:uid="{00000000-0006-0000-0C00-00004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P-VAGT</t>
        </r>
      </text>
    </comment>
    <comment ref="AE87" authorId="1" shapeId="0" xr:uid="{00000000-0006-0000-0C00-00004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P-VAGT</t>
        </r>
      </text>
    </comment>
    <comment ref="AF87" authorId="1" shapeId="0" xr:uid="{00000000-0006-0000-0C00-00004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P-VAGT</t>
        </r>
      </text>
    </comment>
    <comment ref="U88" authorId="1" shapeId="0" xr:uid="{00000000-0006-0000-0C00-00004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C-VAGT</t>
        </r>
      </text>
    </comment>
    <comment ref="V88" authorId="1" shapeId="0" xr:uid="{00000000-0006-0000-0C00-00004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C-VAGT</t>
        </r>
      </text>
    </comment>
    <comment ref="AB88" authorId="0" shapeId="0" xr:uid="{00000000-0006-0000-0C00-00004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8 -vagt</t>
        </r>
      </text>
    </comment>
    <comment ref="AC88" authorId="1" shapeId="0" xr:uid="{00000000-0006-0000-0C00-00004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1-vagt</t>
        </r>
      </text>
    </comment>
    <comment ref="AD88" authorId="1" shapeId="0" xr:uid="{00000000-0006-0000-0C00-00004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1-vagt</t>
        </r>
      </text>
    </comment>
    <comment ref="AE88" authorId="1" shapeId="0" xr:uid="{00000000-0006-0000-0C00-00004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1-vagt</t>
        </r>
      </text>
    </comment>
    <comment ref="AF88" authorId="1" shapeId="0" xr:uid="{00000000-0006-0000-0C00-00004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1-vagt</t>
        </r>
      </text>
    </comment>
    <comment ref="AB119" authorId="1" shapeId="0" xr:uid="{00000000-0006-0000-0C00-00004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AC119" authorId="1" shapeId="0" xr:uid="{00000000-0006-0000-0C00-00005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AC123" authorId="1" shapeId="0" xr:uid="{00000000-0006-0000-0C00-00005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først kl. 1045</t>
        </r>
      </text>
    </comment>
    <comment ref="G125" authorId="0" shapeId="0" xr:uid="{00000000-0006-0000-0C00-00005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Er tastet</t>
        </r>
      </text>
    </comment>
    <comment ref="J128" authorId="1" shapeId="0" xr:uid="{00000000-0006-0000-0C00-00005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Fri</t>
        </r>
      </text>
    </comment>
    <comment ref="G129" authorId="0" shapeId="0" xr:uid="{00000000-0006-0000-0C00-00005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Er tastet</t>
        </r>
      </text>
    </comment>
    <comment ref="I171" authorId="0" shapeId="0" xr:uid="{00000000-0006-0000-0C00-00005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HNG</t>
        </r>
      </text>
    </comment>
    <comment ref="J171" authorId="0" shapeId="0" xr:uid="{00000000-0006-0000-0C00-00005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HNG</t>
        </r>
      </text>
    </comment>
    <comment ref="K171" authorId="0" shapeId="0" xr:uid="{00000000-0006-0000-0C00-00005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HNG</t>
        </r>
      </text>
    </comment>
    <comment ref="N171" authorId="0" shapeId="0" xr:uid="{00000000-0006-0000-0C00-00005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HNG</t>
        </r>
      </text>
    </comment>
    <comment ref="O171" authorId="0" shapeId="0" xr:uid="{00000000-0006-0000-0C00-00005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HNG</t>
        </r>
      </text>
    </comment>
    <comment ref="P171" authorId="0" shapeId="0" xr:uid="{00000000-0006-0000-0C00-00005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HNG</t>
        </r>
      </text>
    </comment>
    <comment ref="Q171" authorId="0" shapeId="0" xr:uid="{00000000-0006-0000-0C00-00005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HNG</t>
        </r>
      </text>
    </comment>
    <comment ref="U171" authorId="0" shapeId="0" xr:uid="{00000000-0006-0000-0C00-00005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V171" authorId="0" shapeId="0" xr:uid="{00000000-0006-0000-0C00-00005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W171" authorId="0" shapeId="0" xr:uid="{00000000-0006-0000-0C00-00005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X171" authorId="0" shapeId="0" xr:uid="{00000000-0006-0000-0C00-00005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Y171" authorId="0" shapeId="0" xr:uid="{00000000-0006-0000-0C00-00006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G172" authorId="0" shapeId="0" xr:uid="{00000000-0006-0000-0C00-00006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Mikael og Dorte</t>
        </r>
      </text>
    </comment>
    <comment ref="H172" authorId="0" shapeId="0" xr:uid="{00000000-0006-0000-0C00-00006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Mikael og Dorte</t>
        </r>
      </text>
    </comment>
    <comment ref="I172" authorId="0" shapeId="0" xr:uid="{00000000-0006-0000-0C00-00006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Mikael og Dorte</t>
        </r>
      </text>
    </comment>
    <comment ref="J172" authorId="0" shapeId="0" xr:uid="{00000000-0006-0000-0C00-00006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Mikael og Dorte</t>
        </r>
      </text>
    </comment>
    <comment ref="K172" authorId="0" shapeId="0" xr:uid="{00000000-0006-0000-0C00-00006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Mikael og Dorte</t>
        </r>
      </text>
    </comment>
    <comment ref="N172" authorId="0" shapeId="0" xr:uid="{00000000-0006-0000-0C00-00006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Mikael og Dorte</t>
        </r>
      </text>
    </comment>
    <comment ref="O172" authorId="0" shapeId="0" xr:uid="{00000000-0006-0000-0C00-00006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Mikael og Dorte</t>
        </r>
      </text>
    </comment>
    <comment ref="P172" authorId="0" shapeId="0" xr:uid="{00000000-0006-0000-0C00-00006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Mikael og Dorte</t>
        </r>
      </text>
    </comment>
    <comment ref="Q172" authorId="0" shapeId="0" xr:uid="{00000000-0006-0000-0C00-00006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Mikael og Dorte</t>
        </r>
      </text>
    </comment>
    <comment ref="R172" authorId="0" shapeId="0" xr:uid="{00000000-0006-0000-0C00-00006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Mikael og Dorte</t>
        </r>
      </text>
    </comment>
    <comment ref="D180" authorId="0" shapeId="0" xr:uid="{00000000-0006-0000-0C00-00006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H183" authorId="3" shapeId="0" xr:uid="{00000000-0006-0000-0C00-00006C000000}">
      <text>
        <r>
          <rPr>
            <sz val="10"/>
            <color indexed="81"/>
            <rFont val="Tahoma"/>
            <family val="2"/>
          </rPr>
          <t>AFSPD. pga
sølvbryllup.
BV.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bovolf</author>
    <author>sthert</author>
    <author>erskyg</author>
    <author>benvil</author>
  </authors>
  <commentList>
    <comment ref="R16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Mindehøjtidelighed</t>
        </r>
      </text>
    </comment>
    <comment ref="Z16" authorId="0" shapeId="0" xr:uid="{00000000-0006-0000-0D00-00000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07.30 – 16.00</t>
        </r>
      </text>
    </comment>
    <comment ref="AB16" authorId="0" shapeId="0" xr:uid="{00000000-0006-0000-0D00-00000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07.30 – 16.00</t>
        </r>
      </text>
    </comment>
    <comment ref="Y17" authorId="0" shapeId="0" xr:uid="{00000000-0006-0000-0D00-00000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Svane 1</t>
        </r>
      </text>
    </comment>
    <comment ref="Z20" authorId="0" shapeId="0" xr:uid="{00000000-0006-0000-0D00-00000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Vagthavende efter Thomas</t>
        </r>
      </text>
    </comment>
    <comment ref="D21" authorId="0" shapeId="0" xr:uid="{00000000-0006-0000-0D00-00000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Betjentvagt</t>
        </r>
      </text>
    </comment>
    <comment ref="L21" authorId="1" shapeId="0" xr:uid="{00000000-0006-0000-0D00-000007000000}">
      <text>
        <r>
          <rPr>
            <sz val="10"/>
            <color indexed="81"/>
            <rFont val="Tahoma"/>
            <family val="2"/>
          </rPr>
          <t>Betjentvagt.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1" authorId="0" shapeId="0" xr:uid="{00000000-0006-0000-0D00-00000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Også ekstravagt</t>
        </r>
      </text>
    </comment>
    <comment ref="F37" authorId="2" shapeId="0" xr:uid="{00000000-0006-0000-0D00-00000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H37" authorId="0" shapeId="0" xr:uid="{00000000-0006-0000-0D00-00000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Gl.Køgevej 4</t>
        </r>
      </text>
    </comment>
    <comment ref="M37" authorId="3" shapeId="0" xr:uid="{00000000-0006-0000-0D00-00000B000000}">
      <text>
        <r>
          <rPr>
            <b/>
            <sz val="9"/>
            <color indexed="81"/>
            <rFont val="Tahoma"/>
            <family val="2"/>
          </rPr>
          <t>erskyg: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 på OA
Spaniensgade</t>
        </r>
      </text>
    </comment>
    <comment ref="S38" authorId="0" shapeId="0" xr:uid="{00000000-0006-0000-0D00-00000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private årsager</t>
        </r>
      </text>
    </comment>
    <comment ref="U38" authorId="0" shapeId="0" xr:uid="{00000000-0006-0000-0D00-00000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V38" authorId="0" shapeId="0" xr:uid="{00000000-0006-0000-0D00-00000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M41" authorId="0" shapeId="0" xr:uid="{00000000-0006-0000-0D00-00000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 kursus</t>
        </r>
      </text>
    </comment>
    <comment ref="R41" authorId="0" shapeId="0" xr:uid="{00000000-0006-0000-0D00-00001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Hovedbibl.</t>
        </r>
      </text>
    </comment>
    <comment ref="K42" authorId="3" shapeId="0" xr:uid="{00000000-0006-0000-0D00-000011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7-vagt på OA</t>
        </r>
      </text>
    </comment>
    <comment ref="Z42" authorId="0" shapeId="0" xr:uid="{00000000-0006-0000-0D00-00001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0900- 16.00
Spaniensgade
</t>
        </r>
      </text>
    </comment>
    <comment ref="AA42" authorId="0" shapeId="0" xr:uid="{00000000-0006-0000-0D00-00001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0900- 16.00
Spaniensgade
</t>
        </r>
      </text>
    </comment>
    <comment ref="AB42" authorId="0" shapeId="0" xr:uid="{00000000-0006-0000-0D00-00001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0900- 16.00
Spaniensgade
</t>
        </r>
      </text>
    </comment>
    <comment ref="Q44" authorId="0" shapeId="0" xr:uid="{00000000-0006-0000-0D00-00001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Lægen</t>
        </r>
      </text>
    </comment>
    <comment ref="G45" authorId="0" shapeId="0" xr:uid="{00000000-0006-0000-0D00-00001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6-vagt</t>
        </r>
      </text>
    </comment>
    <comment ref="H45" authorId="0" shapeId="0" xr:uid="{00000000-0006-0000-0D00-00001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6-vagt</t>
        </r>
      </text>
    </comment>
    <comment ref="H48" authorId="0" shapeId="0" xr:uid="{00000000-0006-0000-0D00-00001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Fejemand et par timer</t>
        </r>
      </text>
    </comment>
    <comment ref="Y48" authorId="0" shapeId="0" xr:uid="{00000000-0006-0000-0D00-00001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09--17.30</t>
        </r>
      </text>
    </comment>
    <comment ref="AA48" authorId="0" shapeId="0" xr:uid="{00000000-0006-0000-0D00-00001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09--17.30</t>
        </r>
      </text>
    </comment>
    <comment ref="AB48" authorId="0" shapeId="0" xr:uid="{00000000-0006-0000-0D00-00001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09--17.30</t>
        </r>
      </text>
    </comment>
    <comment ref="AC48" authorId="0" shapeId="0" xr:uid="{00000000-0006-0000-0D00-00001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09--17.30</t>
        </r>
      </text>
    </comment>
    <comment ref="K74" authorId="2" shapeId="0" xr:uid="{00000000-0006-0000-0D00-00001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L74" authorId="2" shapeId="0" xr:uid="{00000000-0006-0000-0D00-00001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M74" authorId="4" shapeId="0" xr:uid="{00000000-0006-0000-0D00-00001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Brønshøjvej</t>
        </r>
      </text>
    </comment>
    <comment ref="N74" authorId="2" shapeId="0" xr:uid="{00000000-0006-0000-0D00-00002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 + Brønshøjvej</t>
        </r>
      </text>
    </comment>
    <comment ref="O74" authorId="2" shapeId="0" xr:uid="{00000000-0006-0000-0D00-00002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 + Brønshøjvej</t>
        </r>
      </text>
    </comment>
    <comment ref="R74" authorId="2" shapeId="0" xr:uid="{00000000-0006-0000-0D00-00002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Kursus Vordingborggade</t>
        </r>
      </text>
    </comment>
    <comment ref="U74" authorId="2" shapeId="0" xr:uid="{00000000-0006-0000-0D00-00002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Div Møder</t>
        </r>
      </text>
    </comment>
    <comment ref="V74" authorId="0" shapeId="0" xr:uid="{00000000-0006-0000-0D00-00002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5-vagt</t>
        </r>
      </text>
    </comment>
    <comment ref="Y74" authorId="2" shapeId="0" xr:uid="{00000000-0006-0000-0D00-00002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Vordingborggade</t>
        </r>
      </text>
    </comment>
    <comment ref="Z74" authorId="2" shapeId="0" xr:uid="{00000000-0006-0000-0D00-00002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i Byen</t>
        </r>
      </text>
    </comment>
    <comment ref="AA74" authorId="2" shapeId="0" xr:uid="{00000000-0006-0000-0D00-00002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AC74" authorId="2" shapeId="0" xr:uid="{00000000-0006-0000-0D00-00002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D75" authorId="2" shapeId="0" xr:uid="{00000000-0006-0000-0D00-00002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 O-vagt</t>
        </r>
      </text>
    </comment>
    <comment ref="E75" authorId="2" shapeId="0" xr:uid="{00000000-0006-0000-0D00-00002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F75" authorId="2" shapeId="0" xr:uid="{00000000-0006-0000-0D00-00002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G75" authorId="2" shapeId="0" xr:uid="{00000000-0006-0000-0D00-00002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H75" authorId="2" shapeId="0" xr:uid="{00000000-0006-0000-0D00-00002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K75" authorId="1" shapeId="0" xr:uid="{00000000-0006-0000-0D00-00002E000000}">
      <text>
        <r>
          <rPr>
            <sz val="10"/>
            <color indexed="81"/>
            <rFont val="Tahoma"/>
            <family val="2"/>
          </rPr>
          <t>K5 OA. ( For Ali )</t>
        </r>
        <r>
          <rPr>
            <sz val="8"/>
            <color indexed="81"/>
            <rFont val="Tahoma"/>
            <family val="2"/>
          </rPr>
          <t xml:space="preserve">
BV.</t>
        </r>
      </text>
    </comment>
    <comment ref="M75" authorId="4" shapeId="0" xr:uid="{00000000-0006-0000-0D00-00002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+ K2</t>
        </r>
      </text>
    </comment>
    <comment ref="R75" authorId="2" shapeId="0" xr:uid="{00000000-0006-0000-0D00-00003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Kursus Vordingborggade + K2</t>
        </r>
      </text>
    </comment>
    <comment ref="S75" authorId="2" shapeId="0" xr:uid="{00000000-0006-0000-0D00-00003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T75" authorId="4" shapeId="0" xr:uid="{00000000-0006-0000-0D00-00003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Sof</t>
        </r>
      </text>
    </comment>
    <comment ref="U75" authorId="4" shapeId="0" xr:uid="{00000000-0006-0000-0D00-00003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5-vagt</t>
        </r>
      </text>
    </comment>
    <comment ref="V75" authorId="2" shapeId="0" xr:uid="{00000000-0006-0000-0D00-00003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Y75" authorId="2" shapeId="0" xr:uid="{00000000-0006-0000-0D00-00003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Vordingborggade</t>
        </r>
      </text>
    </comment>
    <comment ref="Z75" authorId="4" shapeId="0" xr:uid="{00000000-0006-0000-0D00-00003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AA75" authorId="4" shapeId="0" xr:uid="{00000000-0006-0000-0D00-00003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3-VAGT til kl. 12</t>
        </r>
      </text>
    </comment>
    <comment ref="AB75" authorId="4" shapeId="0" xr:uid="{00000000-0006-0000-0D00-00003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AC75" authorId="2" shapeId="0" xr:uid="{00000000-0006-0000-0D00-000039000000}">
      <text>
        <r>
          <rPr>
            <b/>
            <sz val="9"/>
            <color indexed="81"/>
            <rFont val="Tahoma"/>
            <family val="2"/>
          </rPr>
          <t>sthert:
Spaniensgade</t>
        </r>
      </text>
    </comment>
    <comment ref="K76" authorId="1" shapeId="0" xr:uid="{00000000-0006-0000-0D00-00003A000000}">
      <text>
        <r>
          <rPr>
            <sz val="10"/>
            <color indexed="81"/>
            <rFont val="Tahoma"/>
            <family val="2"/>
          </rPr>
          <t>P. vagt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76" authorId="4" shapeId="0" xr:uid="{00000000-0006-0000-0D00-00003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P-vagt</t>
        </r>
      </text>
    </comment>
    <comment ref="M76" authorId="2" shapeId="0" xr:uid="{00000000-0006-0000-0D00-00003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</t>
        </r>
        <r>
          <rPr>
            <sz val="11"/>
            <color indexed="81"/>
            <rFont val="Tahoma"/>
            <family val="2"/>
          </rPr>
          <t>-VAGT</t>
        </r>
      </text>
    </comment>
    <comment ref="N76" authorId="2" shapeId="0" xr:uid="{00000000-0006-0000-0D00-00003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</t>
        </r>
        <r>
          <rPr>
            <sz val="11"/>
            <color indexed="81"/>
            <rFont val="Tahoma"/>
            <family val="2"/>
          </rPr>
          <t>-VAGT</t>
        </r>
      </text>
    </comment>
    <comment ref="K86" authorId="2" shapeId="0" xr:uid="{00000000-0006-0000-0D00-00003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GL.KØGELANDEVEJ</t>
        </r>
      </text>
    </comment>
    <comment ref="L86" authorId="4" shapeId="0" xr:uid="{00000000-0006-0000-0D00-00003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O-vagt</t>
        </r>
      </text>
    </comment>
    <comment ref="Y86" authorId="2" shapeId="0" xr:uid="{00000000-0006-0000-0D00-00004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07.30 - 16.30 som ekstravagt i hp og bagport og 5-vagt</t>
        </r>
      </text>
    </comment>
    <comment ref="Z86" authorId="2" shapeId="0" xr:uid="{00000000-0006-0000-0D00-00004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5-vagt</t>
        </r>
      </text>
    </comment>
    <comment ref="AA86" authorId="2" shapeId="0" xr:uid="{00000000-0006-0000-0D00-00004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07.30 - 16.30 som ekstravagt i hp og bagport og 5-vagt</t>
        </r>
      </text>
    </comment>
    <comment ref="AB86" authorId="2" shapeId="0" xr:uid="{00000000-0006-0000-0D00-00004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5-vagt</t>
        </r>
      </text>
    </comment>
    <comment ref="AC86" authorId="2" shapeId="0" xr:uid="{00000000-0006-0000-0D00-00004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07.30 - 16 som ekstravagt i hp og bagport</t>
        </r>
      </text>
    </comment>
    <comment ref="G87" authorId="2" shapeId="0" xr:uid="{00000000-0006-0000-0D00-00004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Spaniensgade</t>
        </r>
      </text>
    </comment>
    <comment ref="H87" authorId="2" shapeId="0" xr:uid="{00000000-0006-0000-0D00-00004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Spaniensgade</t>
        </r>
      </text>
    </comment>
    <comment ref="R87" authorId="2" shapeId="0" xr:uid="{00000000-0006-0000-0D00-00004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O- vagt</t>
        </r>
      </text>
    </comment>
    <comment ref="Y87" authorId="2" shapeId="0" xr:uid="{00000000-0006-0000-0D00-00004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K2</t>
        </r>
      </text>
    </comment>
    <comment ref="Z87" authorId="2" shapeId="0" xr:uid="{00000000-0006-0000-0D00-00004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AA87" authorId="2" shapeId="0" xr:uid="{00000000-0006-0000-0D00-00004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AB87" authorId="2" shapeId="0" xr:uid="{00000000-0006-0000-0D00-00004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AC87" authorId="2" shapeId="0" xr:uid="{00000000-0006-0000-0D00-00004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4-vagt og bagefter 5-vagt</t>
        </r>
      </text>
    </comment>
    <comment ref="K88" authorId="0" shapeId="0" xr:uid="{00000000-0006-0000-0D00-00004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L88" authorId="0" shapeId="0" xr:uid="{00000000-0006-0000-0D00-00004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M88" authorId="0" shapeId="0" xr:uid="{00000000-0006-0000-0D00-00004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Hospitalet</t>
        </r>
      </text>
    </comment>
    <comment ref="N88" authorId="0" shapeId="0" xr:uid="{00000000-0006-0000-0D00-00005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O88" authorId="0" shapeId="0" xr:uid="{00000000-0006-0000-0D00-00005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R88" authorId="0" shapeId="0" xr:uid="{00000000-0006-0000-0D00-00005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T88" authorId="2" shapeId="0" xr:uid="{00000000-0006-0000-0D00-00005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U88" authorId="2" shapeId="0" xr:uid="{00000000-0006-0000-0D00-00005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R100" authorId="0" shapeId="0" xr:uid="{00000000-0006-0000-0D00-00005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Mindehøjtidelighed</t>
        </r>
      </text>
    </comment>
    <comment ref="AD101" authorId="0" shapeId="0" xr:uid="{00000000-0006-0000-0D00-00005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Kjeld møder for John</t>
        </r>
      </text>
    </comment>
    <comment ref="Y120" authorId="4" shapeId="0" xr:uid="{00000000-0006-0000-0D00-00005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26 + 27 ferie rykket til 19 + 20</t>
        </r>
      </text>
    </comment>
    <comment ref="R122" authorId="2" shapeId="0" xr:uid="{00000000-0006-0000-0D00-00005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Vordingborggade 8:30 - 15:30</t>
        </r>
      </text>
    </comment>
    <comment ref="Y123" authorId="2" shapeId="0" xr:uid="{00000000-0006-0000-0D00-00005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Vordingborggade</t>
        </r>
      </text>
    </comment>
    <comment ref="R129" authorId="2" shapeId="0" xr:uid="{00000000-0006-0000-0D00-00005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Vordingborggade 8:30 - 15:30</t>
        </r>
      </text>
    </comment>
    <comment ref="W168" authorId="0" shapeId="0" xr:uid="{00000000-0006-0000-0D00-00005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i Hovedporten
09.00-13.30</t>
        </r>
      </text>
    </comment>
    <comment ref="K170" authorId="3" shapeId="0" xr:uid="{00000000-0006-0000-0D00-00005C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9-vagt på OA</t>
        </r>
      </text>
    </comment>
    <comment ref="R170" authorId="0" shapeId="0" xr:uid="{00000000-0006-0000-0D00-00005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Mindehøjtidelighed</t>
        </r>
      </text>
    </comment>
    <comment ref="R172" authorId="2" shapeId="0" xr:uid="{00000000-0006-0000-0D00-00005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</t>
        </r>
        <r>
          <rPr>
            <sz val="10"/>
            <color indexed="81"/>
            <rFont val="Tahoma"/>
            <family val="2"/>
          </rPr>
          <t>vagt</t>
        </r>
      </text>
    </comment>
    <comment ref="Y172" authorId="2" shapeId="0" xr:uid="{00000000-0006-0000-0D00-00005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Remisevej på OA</t>
        </r>
      </text>
    </comment>
    <comment ref="H215" authorId="0" shapeId="0" xr:uid="{00000000-0006-0000-0D00-00006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Undersøgelse</t>
        </r>
      </text>
    </comment>
    <comment ref="AD215" authorId="0" shapeId="0" xr:uid="{00000000-0006-0000-0D00-00006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Rundviser</t>
        </r>
      </text>
    </comment>
    <comment ref="R266" authorId="0" shapeId="0" xr:uid="{00000000-0006-0000-0D00-00006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Er tastet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derise</author>
    <author>benvil</author>
    <author>sthert</author>
    <author>mipede</author>
    <author>bovolf</author>
    <author>zn95</author>
  </authors>
  <commentList>
    <comment ref="O14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kl. 14 som ekstravagt.</t>
        </r>
      </text>
    </comment>
    <comment ref="O16" authorId="1" shapeId="0" xr:uid="{00000000-0006-0000-0E00-000002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Ekstravagt 730-1530
</t>
        </r>
      </text>
    </comment>
    <comment ref="S16" authorId="0" shapeId="0" xr:uid="{00000000-0006-0000-0E00-00000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09- 17</t>
        </r>
      </text>
    </comment>
    <comment ref="T16" authorId="0" shapeId="0" xr:uid="{00000000-0006-0000-0E00-00000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09- 17</t>
        </r>
      </text>
    </comment>
    <comment ref="Y16" authorId="0" shapeId="0" xr:uid="{00000000-0006-0000-0E00-00000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Vagthavende i stedet for Patreuljeleder</t>
        </r>
      </text>
    </comment>
    <comment ref="T17" authorId="0" shapeId="0" xr:uid="{00000000-0006-0000-0E00-00000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Borgerservice 10 - 17</t>
        </r>
      </text>
    </comment>
    <comment ref="U17" authorId="0" shapeId="0" xr:uid="{00000000-0006-0000-0E00-00000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Borgerservice 10 - 17</t>
        </r>
      </text>
    </comment>
    <comment ref="V17" authorId="0" shapeId="0" xr:uid="{00000000-0006-0000-0E00-00000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Borgerservice 10 - 17</t>
        </r>
      </text>
    </comment>
    <comment ref="Y17" authorId="0" shapeId="0" xr:uid="{00000000-0006-0000-0E00-00000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Borgerservice</t>
        </r>
      </text>
    </comment>
    <comment ref="Z17" authorId="0" shapeId="0" xr:uid="{00000000-0006-0000-0E00-00000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Borgerservice vagt</t>
        </r>
      </text>
    </comment>
    <comment ref="AA17" authorId="0" shapeId="0" xr:uid="{00000000-0006-0000-0E00-00000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07.30  16</t>
        </r>
      </text>
    </comment>
    <comment ref="AB17" authorId="0" shapeId="0" xr:uid="{00000000-0006-0000-0E00-00000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07.30  16</t>
        </r>
      </text>
    </comment>
    <comment ref="AF17" authorId="0" shapeId="0" xr:uid="{00000000-0006-0000-0E00-00000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Brønshøjvej</t>
        </r>
      </text>
    </comment>
    <comment ref="AG17" authorId="0" shapeId="0" xr:uid="{00000000-0006-0000-0E00-00000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Brønshøjvej</t>
        </r>
      </text>
    </comment>
    <comment ref="D21" authorId="0" shapeId="0" xr:uid="{00000000-0006-0000-0E00-00000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Eksta Bagport hovedport
09.00 - 17.15</t>
        </r>
      </text>
    </comment>
    <comment ref="E21" authorId="0" shapeId="0" xr:uid="{00000000-0006-0000-0E00-00001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Eksta Bagport hovedport
09.00 - 17.15</t>
        </r>
      </text>
    </comment>
    <comment ref="R37" authorId="0" shapeId="0" xr:uid="{00000000-0006-0000-0E00-00001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
0730- 16</t>
        </r>
      </text>
    </comment>
    <comment ref="S37" authorId="0" shapeId="0" xr:uid="{00000000-0006-0000-0E00-00001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
0730- 16</t>
        </r>
      </text>
    </comment>
    <comment ref="T37" authorId="0" shapeId="0" xr:uid="{00000000-0006-0000-0E00-00001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
0730- 16</t>
        </r>
      </text>
    </comment>
    <comment ref="R38" authorId="2" shapeId="0" xr:uid="{00000000-0006-0000-0E00-00001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 vagt</t>
        </r>
      </text>
    </comment>
    <comment ref="S38" authorId="2" shapeId="0" xr:uid="{00000000-0006-0000-0E00-00001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 vagt</t>
        </r>
      </text>
    </comment>
    <comment ref="T38" authorId="2" shapeId="0" xr:uid="{00000000-0006-0000-0E00-00001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 vagt</t>
        </r>
      </text>
    </comment>
    <comment ref="V38" authorId="2" shapeId="0" xr:uid="{00000000-0006-0000-0E00-00001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 vagt</t>
        </r>
      </text>
    </comment>
    <comment ref="Y38" authorId="0" shapeId="0" xr:uid="{00000000-0006-0000-0E00-00001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9-17
Patruljeleder</t>
        </r>
      </text>
    </comment>
    <comment ref="Z38" authorId="0" shapeId="0" xr:uid="{00000000-0006-0000-0E00-00001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A38" authorId="0" shapeId="0" xr:uid="{00000000-0006-0000-0E00-00001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B38" authorId="0" shapeId="0" xr:uid="{00000000-0006-0000-0E00-00001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 + Spaniensgade 13-18</t>
        </r>
      </text>
    </comment>
    <comment ref="AC38" authorId="0" shapeId="0" xr:uid="{00000000-0006-0000-0E00-00001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M39" authorId="2" shapeId="0" xr:uid="{00000000-0006-0000-0E00-00001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7:30-16 ekstravagt</t>
        </r>
      </text>
    </comment>
    <comment ref="N39" authorId="2" shapeId="0" xr:uid="{00000000-0006-0000-0E00-00001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7:30-16 ekstravagt</t>
        </r>
      </text>
    </comment>
    <comment ref="V39" authorId="0" shapeId="0" xr:uid="{00000000-0006-0000-0E00-00001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 - 9-17</t>
        </r>
      </text>
    </comment>
    <comment ref="Y39" authorId="0" shapeId="0" xr:uid="{00000000-0006-0000-0E00-00002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Skal gå 10.30</t>
        </r>
      </text>
    </comment>
    <comment ref="AC39" authorId="0" shapeId="0" xr:uid="{00000000-0006-0000-0E00-00002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14-16</t>
        </r>
      </text>
    </comment>
    <comment ref="G42" authorId="0" shapeId="0" xr:uid="{00000000-0006-0000-0E00-00002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hovedport
9-16</t>
        </r>
      </text>
    </comment>
    <comment ref="K42" authorId="0" shapeId="0" xr:uid="{00000000-0006-0000-0E00-00002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09.00 - 17.00</t>
        </r>
      </text>
    </comment>
    <comment ref="L42" authorId="0" shapeId="0" xr:uid="{00000000-0006-0000-0E00-00002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09.00 - 17.00</t>
        </r>
      </text>
    </comment>
    <comment ref="M42" authorId="0" shapeId="0" xr:uid="{00000000-0006-0000-0E00-00002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09.00 - 17.00</t>
        </r>
      </text>
    </comment>
    <comment ref="N42" authorId="0" shapeId="0" xr:uid="{00000000-0006-0000-0E00-00002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09.00 - 17.00</t>
        </r>
      </text>
    </comment>
    <comment ref="O42" authorId="0" shapeId="0" xr:uid="{00000000-0006-0000-0E00-00002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09.00 - 17.00</t>
        </r>
      </text>
    </comment>
    <comment ref="V42" authorId="0" shapeId="0" xr:uid="{00000000-0006-0000-0E00-00002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14-16</t>
        </r>
      </text>
    </comment>
    <comment ref="D48" authorId="0" shapeId="0" xr:uid="{00000000-0006-0000-0E00-00002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Fejemand fra kl. 06.00</t>
        </r>
      </text>
    </comment>
    <comment ref="E48" authorId="0" shapeId="0" xr:uid="{00000000-0006-0000-0E00-00002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Fejemand fra kl. 06.00</t>
        </r>
      </text>
    </comment>
    <comment ref="F48" authorId="0" shapeId="0" xr:uid="{00000000-0006-0000-0E00-00002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Fejemand fra kl. 06.00</t>
        </r>
      </text>
    </comment>
    <comment ref="G48" authorId="0" shapeId="0" xr:uid="{00000000-0006-0000-0E00-00002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Fejemand fra kl. 06.00</t>
        </r>
      </text>
    </comment>
    <comment ref="H48" authorId="0" shapeId="0" xr:uid="{00000000-0006-0000-0E00-00002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Fejemand fra kl. 06.00
14.00 - 16 bagport</t>
        </r>
      </text>
    </comment>
    <comment ref="U48" authorId="0" shapeId="0" xr:uid="{00000000-0006-0000-0E00-00002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
9- 17</t>
        </r>
      </text>
    </comment>
    <comment ref="Y48" authorId="0" shapeId="0" xr:uid="{00000000-0006-0000-0E00-00002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for Anders</t>
        </r>
      </text>
    </comment>
    <comment ref="Z48" authorId="0" shapeId="0" xr:uid="{00000000-0006-0000-0E00-00003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for Anders</t>
        </r>
      </text>
    </comment>
    <comment ref="AF48" authorId="0" shapeId="0" xr:uid="{00000000-0006-0000-0E00-00003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 - 9-17</t>
        </r>
      </text>
    </comment>
    <comment ref="AG48" authorId="0" shapeId="0" xr:uid="{00000000-0006-0000-0E00-00003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 - 9-17</t>
        </r>
      </text>
    </comment>
    <comment ref="D74" authorId="2" shapeId="0" xr:uid="{00000000-0006-0000-0E00-00003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Svanevaj ekstra</t>
        </r>
      </text>
    </comment>
    <comment ref="E74" authorId="2" shapeId="0" xr:uid="{00000000-0006-0000-0E00-00003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Svanevaj ekstra</t>
        </r>
      </text>
    </comment>
    <comment ref="F74" authorId="2" shapeId="0" xr:uid="{00000000-0006-0000-0E00-00003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Svanevaj ekstra</t>
        </r>
      </text>
    </comment>
    <comment ref="G74" authorId="2" shapeId="0" xr:uid="{00000000-0006-0000-0E00-00003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Svanevaj ekstra</t>
        </r>
      </text>
    </comment>
    <comment ref="H74" authorId="2" shapeId="0" xr:uid="{00000000-0006-0000-0E00-00003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Svanevaj ekstra</t>
        </r>
      </text>
    </comment>
    <comment ref="K74" authorId="0" shapeId="0" xr:uid="{00000000-0006-0000-0E00-00003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07-30 - 16</t>
        </r>
      </text>
    </comment>
    <comment ref="L74" authorId="0" shapeId="0" xr:uid="{00000000-0006-0000-0E00-00003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07-30 - 16</t>
        </r>
      </text>
    </comment>
    <comment ref="M74" authorId="3" shapeId="0" xr:uid="{00000000-0006-0000-0E00-00003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Gl.KØGE Landevej</t>
        </r>
      </text>
    </comment>
    <comment ref="O74" authorId="3" shapeId="0" xr:uid="{00000000-0006-0000-0E00-00003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i1</t>
        </r>
      </text>
    </comment>
    <comment ref="R74" authorId="2" shapeId="0" xr:uid="{00000000-0006-0000-0E00-00003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S74" authorId="2" shapeId="0" xr:uid="{00000000-0006-0000-0E00-00003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U74" authorId="2" shapeId="0" xr:uid="{00000000-0006-0000-0E00-00003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 vagt</t>
        </r>
      </text>
    </comment>
    <comment ref="V74" authorId="3" shapeId="0" xr:uid="{00000000-0006-0000-0E00-00003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Sof</t>
        </r>
      </text>
    </comment>
    <comment ref="Y74" authorId="3" shapeId="0" xr:uid="{00000000-0006-0000-0E00-00004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Z74" authorId="3" shapeId="0" xr:uid="{00000000-0006-0000-0E00-00004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 + K2</t>
        </r>
      </text>
    </comment>
    <comment ref="AA74" authorId="3" shapeId="0" xr:uid="{00000000-0006-0000-0E00-00004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AB74" authorId="2" shapeId="0" xr:uid="{00000000-0006-0000-0E00-00004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AC74" authorId="3" shapeId="0" xr:uid="{00000000-0006-0000-0E00-00004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Svanevej OA</t>
        </r>
      </text>
    </comment>
    <comment ref="AF74" authorId="3" shapeId="0" xr:uid="{00000000-0006-0000-0E00-00004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Ekstravagt 0730-1600</t>
        </r>
      </text>
    </comment>
    <comment ref="D75" authorId="3" shapeId="0" xr:uid="{00000000-0006-0000-0E00-00004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J75" authorId="4" shapeId="0" xr:uid="{00000000-0006-0000-0E00-000047000000}">
      <text>
        <r>
          <rPr>
            <b/>
            <sz val="9"/>
            <color indexed="81"/>
            <rFont val="Tahoma"/>
            <family val="2"/>
          </rPr>
          <t>mipede:</t>
        </r>
        <r>
          <rPr>
            <sz val="9"/>
            <color indexed="81"/>
            <rFont val="Tahoma"/>
            <family val="2"/>
          </rPr>
          <t xml:space="preserve">
KA på OA</t>
        </r>
      </text>
    </comment>
    <comment ref="S75" authorId="2" shapeId="0" xr:uid="{00000000-0006-0000-0E00-00004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Sof</t>
        </r>
      </text>
    </comment>
    <comment ref="T75" authorId="2" shapeId="0" xr:uid="{00000000-0006-0000-0E00-00004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U75" authorId="2" shapeId="0" xr:uid="{00000000-0006-0000-0E00-00004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 vagt</t>
        </r>
      </text>
    </comment>
    <comment ref="V75" authorId="2" shapeId="0" xr:uid="{00000000-0006-0000-0E00-00004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Sof</t>
        </r>
      </text>
    </comment>
    <comment ref="Y75" authorId="2" shapeId="0" xr:uid="{00000000-0006-0000-0E00-00004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H vagt</t>
        </r>
      </text>
    </comment>
    <comment ref="AB75" authorId="0" shapeId="0" xr:uid="{00000000-0006-0000-0E00-00004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9-17</t>
        </r>
      </text>
    </comment>
    <comment ref="AC75" authorId="0" shapeId="0" xr:uid="{00000000-0006-0000-0E00-00004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9-17</t>
        </r>
      </text>
    </comment>
    <comment ref="AF75" authorId="2" shapeId="0" xr:uid="{00000000-0006-0000-0E00-00004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G75" authorId="2" shapeId="0" xr:uid="{00000000-0006-0000-0E00-00005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D76" authorId="2" shapeId="0" xr:uid="{00000000-0006-0000-0E00-00005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P-vagt</t>
        </r>
      </text>
    </comment>
    <comment ref="E76" authorId="2" shapeId="0" xr:uid="{00000000-0006-0000-0E00-00005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P-vagt</t>
        </r>
      </text>
    </comment>
    <comment ref="F76" authorId="2" shapeId="0" xr:uid="{00000000-0006-0000-0E00-00005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P-vagt</t>
        </r>
      </text>
    </comment>
    <comment ref="G76" authorId="2" shapeId="0" xr:uid="{00000000-0006-0000-0E00-00005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P-vagt</t>
        </r>
      </text>
    </comment>
    <comment ref="H76" authorId="2" shapeId="0" xr:uid="{00000000-0006-0000-0E00-00005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P-vagt</t>
        </r>
      </text>
    </comment>
    <comment ref="Y76" authorId="2" shapeId="0" xr:uid="{00000000-0006-0000-0E00-00005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Z76" authorId="2" shapeId="0" xr:uid="{00000000-0006-0000-0E00-00005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AA76" authorId="2" shapeId="0" xr:uid="{00000000-0006-0000-0E00-00005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AB76" authorId="2" shapeId="0" xr:uid="{00000000-0006-0000-0E00-00005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AC76" authorId="2" shapeId="0" xr:uid="{00000000-0006-0000-0E00-00005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D86" authorId="2" shapeId="0" xr:uid="{00000000-0006-0000-0E00-00005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4-VAGT</t>
        </r>
      </text>
    </comment>
    <comment ref="E86" authorId="2" shapeId="0" xr:uid="{00000000-0006-0000-0E00-00005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4-VAGT</t>
        </r>
      </text>
    </comment>
    <comment ref="F86" authorId="2" shapeId="0" xr:uid="{00000000-0006-0000-0E00-00005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4-VAGT</t>
        </r>
      </text>
    </comment>
    <comment ref="G86" authorId="2" shapeId="0" xr:uid="{00000000-0006-0000-0E00-00005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K2</t>
        </r>
      </text>
    </comment>
    <comment ref="H86" authorId="2" shapeId="0" xr:uid="{00000000-0006-0000-0E00-00005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4-VAGT</t>
        </r>
      </text>
    </comment>
    <comment ref="P86" authorId="0" shapeId="0" xr:uid="{00000000-0006-0000-0E00-00006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Ali 09.15 - 13.15</t>
        </r>
      </text>
    </comment>
    <comment ref="R86" authorId="3" shapeId="0" xr:uid="{00000000-0006-0000-0E00-00006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Gl. Køgelandevej Hjælpe med flyt.</t>
        </r>
      </text>
    </comment>
    <comment ref="V86" authorId="3" shapeId="0" xr:uid="{00000000-0006-0000-0E00-00006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3 vagt</t>
        </r>
      </text>
    </comment>
    <comment ref="Y86" authorId="2" shapeId="0" xr:uid="{00000000-0006-0000-0E00-00006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Ekstravagt 7:30 - 16:00</t>
        </r>
      </text>
    </comment>
    <comment ref="Z86" authorId="2" shapeId="0" xr:uid="{00000000-0006-0000-0E00-00006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3 vagt</t>
        </r>
      </text>
    </comment>
    <comment ref="AA86" authorId="2" shapeId="0" xr:uid="{00000000-0006-0000-0E00-00006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3 vagt</t>
        </r>
      </text>
    </comment>
    <comment ref="AB86" authorId="2" shapeId="0" xr:uid="{00000000-0006-0000-0E00-00006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K5</t>
        </r>
      </text>
    </comment>
    <comment ref="AC86" authorId="2" shapeId="0" xr:uid="{00000000-0006-0000-0E00-00006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3 vagt</t>
        </r>
      </text>
    </comment>
    <comment ref="AG86" authorId="3" shapeId="0" xr:uid="{00000000-0006-0000-0E00-00006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Ekstravagt 0730-1600</t>
        </r>
      </text>
    </comment>
    <comment ref="G87" authorId="3" shapeId="0" xr:uid="{00000000-0006-0000-0E00-00006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4-vagt</t>
        </r>
      </text>
    </comment>
    <comment ref="K87" authorId="3" shapeId="0" xr:uid="{00000000-0006-0000-0E00-00006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4-VAGT</t>
        </r>
      </text>
    </comment>
    <comment ref="L87" authorId="3" shapeId="0" xr:uid="{00000000-0006-0000-0E00-00006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4-VAGT</t>
        </r>
      </text>
    </comment>
    <comment ref="M87" authorId="3" shapeId="0" xr:uid="{00000000-0006-0000-0E00-00006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4-VAGT</t>
        </r>
      </text>
    </comment>
    <comment ref="N87" authorId="3" shapeId="0" xr:uid="{00000000-0006-0000-0E00-00006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4-vagt 7-vagt bagefter</t>
        </r>
      </text>
    </comment>
    <comment ref="O87" authorId="3" shapeId="0" xr:uid="{00000000-0006-0000-0E00-00006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4-VAGT</t>
        </r>
      </text>
    </comment>
    <comment ref="R87" authorId="2" shapeId="0" xr:uid="{00000000-0006-0000-0E00-00006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4 vagt</t>
        </r>
      </text>
    </comment>
    <comment ref="S87" authorId="2" shapeId="0" xr:uid="{00000000-0006-0000-0E00-00007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4 vagt + K5</t>
        </r>
      </text>
    </comment>
    <comment ref="T87" authorId="2" shapeId="0" xr:uid="{00000000-0006-0000-0E00-00007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4 vagt</t>
        </r>
      </text>
    </comment>
    <comment ref="U87" authorId="2" shapeId="0" xr:uid="{00000000-0006-0000-0E00-00007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4 vagt</t>
        </r>
      </text>
    </comment>
    <comment ref="V87" authorId="3" shapeId="0" xr:uid="{00000000-0006-0000-0E00-00007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ikke aften</t>
        </r>
      </text>
    </comment>
    <comment ref="Z87" authorId="0" shapeId="0" xr:uid="{00000000-0006-0000-0E00-00007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9-17</t>
        </r>
      </text>
    </comment>
    <comment ref="AC87" authorId="0" shapeId="0" xr:uid="{00000000-0006-0000-0E00-00007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13.30</t>
        </r>
      </text>
    </comment>
    <comment ref="AD87" authorId="0" shapeId="0" xr:uid="{00000000-0006-0000-0E00-00007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Ali 09.15 - 13.15</t>
        </r>
      </text>
    </comment>
    <comment ref="AF87" authorId="2" shapeId="0" xr:uid="{00000000-0006-0000-0E00-00007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o-VAGT + k5</t>
        </r>
      </text>
    </comment>
    <comment ref="AG87" authorId="2" shapeId="0" xr:uid="{00000000-0006-0000-0E00-00007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o-VAGT + k5</t>
        </r>
      </text>
    </comment>
    <comment ref="D88" authorId="2" shapeId="0" xr:uid="{00000000-0006-0000-0E00-00007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K2</t>
        </r>
      </text>
    </comment>
    <comment ref="E88" authorId="2" shapeId="0" xr:uid="{00000000-0006-0000-0E00-00007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K2</t>
        </r>
      </text>
    </comment>
    <comment ref="F88" authorId="2" shapeId="0" xr:uid="{00000000-0006-0000-0E00-00007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K2</t>
        </r>
      </text>
    </comment>
    <comment ref="G88" authorId="2" shapeId="0" xr:uid="{00000000-0006-0000-0E00-00007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K5</t>
        </r>
      </text>
    </comment>
    <comment ref="H88" authorId="2" shapeId="0" xr:uid="{00000000-0006-0000-0E00-00007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K5</t>
        </r>
      </text>
    </comment>
    <comment ref="K88" authorId="0" shapeId="0" xr:uid="{00000000-0006-0000-0E00-00007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Grunlæggende Vagt</t>
        </r>
      </text>
    </comment>
    <comment ref="R88" authorId="0" shapeId="0" xr:uid="{00000000-0006-0000-0E00-00007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Grunlæggende Vagt</t>
        </r>
      </text>
    </comment>
    <comment ref="V88" authorId="3" shapeId="0" xr:uid="{00000000-0006-0000-0E00-00008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Patruljeleder</t>
        </r>
      </text>
    </comment>
    <comment ref="Y88" authorId="0" shapeId="0" xr:uid="{00000000-0006-0000-0E00-00008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Grunlæggende Vagt + K5</t>
        </r>
      </text>
    </comment>
    <comment ref="AF88" authorId="2" shapeId="0" xr:uid="{00000000-0006-0000-0E00-00008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K2</t>
        </r>
      </text>
    </comment>
    <comment ref="AG88" authorId="2" shapeId="0" xr:uid="{00000000-0006-0000-0E00-00008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K2</t>
        </r>
      </text>
    </comment>
    <comment ref="V119" authorId="0" shapeId="0" xr:uid="{00000000-0006-0000-0E00-00008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Borgerservice
12.30 - 17</t>
        </r>
      </text>
    </comment>
    <comment ref="AC120" authorId="5" shapeId="0" xr:uid="{00000000-0006-0000-0E00-000085000000}">
      <text>
        <r>
          <rPr>
            <sz val="11"/>
            <color indexed="81"/>
            <rFont val="Tahoma"/>
            <family val="2"/>
          </rPr>
          <t>Ekstra vagt
07:30-16:00
BV.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20" authorId="3" shapeId="0" xr:uid="{00000000-0006-0000-0E00-00008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 vagt Spaniensgade</t>
        </r>
      </text>
    </comment>
    <comment ref="AG124" authorId="3" shapeId="0" xr:uid="{00000000-0006-0000-0E00-00008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K127" authorId="3" shapeId="0" xr:uid="{00000000-0006-0000-0E00-00008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Ferie rykket</t>
        </r>
      </text>
    </comment>
    <comment ref="H129" authorId="3" shapeId="0" xr:uid="{00000000-0006-0000-0E00-00008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M129" authorId="3" shapeId="0" xr:uid="{00000000-0006-0000-0E00-00008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Fagforening.</t>
        </r>
      </text>
    </comment>
    <comment ref="R129" authorId="3" shapeId="0" xr:uid="{00000000-0006-0000-0E00-00008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Hospitalet. Møder senere.</t>
        </r>
      </text>
    </comment>
    <comment ref="K154" authorId="0" shapeId="0" xr:uid="{00000000-0006-0000-0E00-00008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Grunlæggende Vagt</t>
        </r>
      </text>
    </comment>
    <comment ref="R154" authorId="0" shapeId="0" xr:uid="{00000000-0006-0000-0E00-00008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Grunlæggende Vagt</t>
        </r>
      </text>
    </comment>
    <comment ref="Y154" authorId="0" shapeId="0" xr:uid="{00000000-0006-0000-0E00-00008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Grunlæggende Vagt</t>
        </r>
      </text>
    </comment>
    <comment ref="D167" authorId="0" shapeId="0" xr:uid="{00000000-0006-0000-0E00-00008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Mødetid 0730- 16
Ekstra bagport Hovedport</t>
        </r>
      </text>
    </comment>
    <comment ref="E167" authorId="0" shapeId="0" xr:uid="{00000000-0006-0000-0E00-00009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Mødetid 0730- 16
Ekstra bagport Hovedport</t>
        </r>
      </text>
    </comment>
    <comment ref="F167" authorId="0" shapeId="0" xr:uid="{00000000-0006-0000-0E00-00009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Mødetid 0730- 16
Ekstra bagport Hovedport</t>
        </r>
      </text>
    </comment>
    <comment ref="G167" authorId="0" shapeId="0" xr:uid="{00000000-0006-0000-0E00-00009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Mødetid 0730- 16
Ekstra bagport Hovedport</t>
        </r>
      </text>
    </comment>
    <comment ref="H167" authorId="0" shapeId="0" xr:uid="{00000000-0006-0000-0E00-00009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Mødetid 0730- 16
Ekstra bagport Hovedport</t>
        </r>
      </text>
    </comment>
    <comment ref="AC167" authorId="0" shapeId="0" xr:uid="{00000000-0006-0000-0E00-00009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Filmhold</t>
        </r>
      </text>
    </comment>
    <comment ref="M169" authorId="0" shapeId="0" xr:uid="{00000000-0006-0000-0E00-00009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som R2</t>
        </r>
      </text>
    </comment>
    <comment ref="U169" authorId="0" shapeId="0" xr:uid="{00000000-0006-0000-0E00-00009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
0730- 16</t>
        </r>
      </text>
    </comment>
    <comment ref="V169" authorId="0" shapeId="0" xr:uid="{00000000-0006-0000-0E00-00009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
0730- 16</t>
        </r>
      </text>
    </comment>
    <comment ref="Y169" authorId="0" shapeId="0" xr:uid="{00000000-0006-0000-0E00-00009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10.30 og afløser Carsten</t>
        </r>
      </text>
    </comment>
    <comment ref="AA169" authorId="6" shapeId="0" xr:uid="{00000000-0006-0000-0E00-000099000000}">
      <text>
        <r>
          <rPr>
            <b/>
            <sz val="9"/>
            <color indexed="81"/>
            <rFont val="Tahoma"/>
            <family val="2"/>
          </rPr>
          <t>zn95:</t>
        </r>
        <r>
          <rPr>
            <sz val="9"/>
            <color indexed="81"/>
            <rFont val="Tahoma"/>
            <family val="2"/>
          </rPr>
          <t xml:space="preserve">
ekstravagt 9-17</t>
        </r>
      </text>
    </comment>
    <comment ref="AC169" authorId="0" shapeId="0" xr:uid="{00000000-0006-0000-0E00-00009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Rundviser 9- 16.30</t>
        </r>
      </text>
    </comment>
    <comment ref="R170" authorId="0" shapeId="0" xr:uid="{00000000-0006-0000-0E00-00009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09- 16.30</t>
        </r>
      </text>
    </comment>
    <comment ref="Y170" authorId="1" shapeId="0" xr:uid="{00000000-0006-0000-0E00-00009C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10-vagt på overtid.</t>
        </r>
      </text>
    </comment>
    <comment ref="AA170" authorId="3" shapeId="0" xr:uid="{00000000-0006-0000-0E00-00009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AB170" authorId="1" shapeId="0" xr:uid="{00000000-0006-0000-0E00-00009E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I2 på overarb</t>
        </r>
      </text>
    </comment>
    <comment ref="AC170" authorId="3" shapeId="0" xr:uid="{00000000-0006-0000-0E00-00009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AG170" authorId="3" shapeId="0" xr:uid="{00000000-0006-0000-0E00-0000A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+ 8-vagt</t>
        </r>
      </text>
    </comment>
    <comment ref="O171" authorId="0" shapeId="0" xr:uid="{00000000-0006-0000-0E00-0000A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14-16</t>
        </r>
      </text>
    </comment>
    <comment ref="S171" authorId="3" shapeId="0" xr:uid="{00000000-0006-0000-0E00-0000A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Kører 5-vagt</t>
        </r>
      </text>
    </comment>
    <comment ref="AA171" authorId="5" shapeId="0" xr:uid="{00000000-0006-0000-0E00-0000A3000000}">
      <text>
        <r>
          <rPr>
            <sz val="11"/>
            <color indexed="81"/>
            <rFont val="Tahoma"/>
            <family val="2"/>
          </rPr>
          <t>OA i hovedporten fra kl.17:30.
BV.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2" authorId="0" shapeId="0" xr:uid="{00000000-0006-0000-0E00-0000A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Eksta Bagport hovedport
09.00 - 17.15</t>
        </r>
      </text>
    </comment>
    <comment ref="AF172" authorId="0" shapeId="0" xr:uid="{00000000-0006-0000-0E00-0000A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AG172" authorId="0" shapeId="0" xr:uid="{00000000-0006-0000-0E00-0000A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H173" authorId="0" shapeId="0" xr:uid="{00000000-0006-0000-0E00-0000A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
09.00 - 16.30</t>
        </r>
      </text>
    </comment>
    <comment ref="R180" authorId="0" shapeId="0" xr:uid="{00000000-0006-0000-0E00-0000A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 HNG hos Claus
0800 -  11.00
11.00 - 16 rådhuset 5-vagt</t>
        </r>
      </text>
    </comment>
    <comment ref="S180" authorId="0" shapeId="0" xr:uid="{00000000-0006-0000-0E00-0000A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 HNG hos Claus
0800 -  11.00
11.00 - 16 rådhuset</t>
        </r>
      </text>
    </comment>
    <comment ref="T180" authorId="0" shapeId="0" xr:uid="{00000000-0006-0000-0E00-0000A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 HNG hos Claus
0800 -  11.00
11.00 - 16 rådhuset</t>
        </r>
      </text>
    </comment>
    <comment ref="U180" authorId="0" shapeId="0" xr:uid="{00000000-0006-0000-0E00-0000A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 HNG hos Claus
0800 -  11.00
11.00 - 16 rådhuset</t>
        </r>
      </text>
    </comment>
    <comment ref="Z180" authorId="5" shapeId="0" xr:uid="{00000000-0006-0000-0E00-0000AC000000}">
      <text>
        <r>
          <rPr>
            <sz val="9"/>
            <color indexed="81"/>
            <rFont val="Tahoma"/>
            <family val="2"/>
          </rPr>
          <t xml:space="preserve">ekstra vagt fra 07:30 -15:00
BV.
</t>
        </r>
      </text>
    </comment>
    <comment ref="AF180" authorId="3" shapeId="0" xr:uid="{00000000-0006-0000-0E00-0000A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HNG 0800 - 1630</t>
        </r>
      </text>
    </comment>
    <comment ref="AG180" authorId="3" shapeId="0" xr:uid="{00000000-0006-0000-0E00-0000A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HNG 0830-1600</t>
        </r>
      </text>
    </comment>
    <comment ref="D181" authorId="0" shapeId="0" xr:uid="{00000000-0006-0000-0E00-0000A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E181" authorId="0" shapeId="0" xr:uid="{00000000-0006-0000-0E00-0000B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F181" authorId="0" shapeId="0" xr:uid="{00000000-0006-0000-0E00-0000B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G181" authorId="0" shapeId="0" xr:uid="{00000000-0006-0000-0E00-0000B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H181" authorId="0" shapeId="0" xr:uid="{00000000-0006-0000-0E00-0000B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AG181" authorId="3" shapeId="0" xr:uid="{00000000-0006-0000-0E00-0000B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Spaniensgade ekstra vagt</t>
        </r>
      </text>
    </comment>
    <comment ref="D182" authorId="0" shapeId="0" xr:uid="{00000000-0006-0000-0E00-0000B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E182" authorId="0" shapeId="0" xr:uid="{00000000-0006-0000-0E00-0000B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F182" authorId="0" shapeId="0" xr:uid="{00000000-0006-0000-0E00-0000B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G182" authorId="0" shapeId="0" xr:uid="{00000000-0006-0000-0E00-0000B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H182" authorId="0" shapeId="0" xr:uid="{00000000-0006-0000-0E00-0000B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K182" authorId="0" shapeId="0" xr:uid="{00000000-0006-0000-0E00-0000B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L182" authorId="0" shapeId="0" xr:uid="{00000000-0006-0000-0E00-0000B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M182" authorId="0" shapeId="0" xr:uid="{00000000-0006-0000-0E00-0000B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AA205" authorId="0" shapeId="0" xr:uid="{00000000-0006-0000-0E00-0000B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ferietimer 6 - 1015
resten ff timer</t>
        </r>
      </text>
    </comment>
    <comment ref="AF205" authorId="0" shapeId="0" xr:uid="{00000000-0006-0000-0E00-0000B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Er tastet</t>
        </r>
      </text>
    </comment>
    <comment ref="AA209" authorId="0" shapeId="0" xr:uid="{00000000-0006-0000-0E00-0000B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Ferie og afspadsering</t>
        </r>
      </text>
    </comment>
    <comment ref="AF209" authorId="0" shapeId="0" xr:uid="{00000000-0006-0000-0E00-0000C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Er tastet</t>
        </r>
      </text>
    </comment>
    <comment ref="W236" authorId="0" shapeId="0" xr:uid="{00000000-0006-0000-0E00-0000C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mARTIN 09.15 - 13.15</t>
        </r>
      </text>
    </comment>
    <comment ref="D263" authorId="0" shapeId="0" xr:uid="{00000000-0006-0000-0E00-0000C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1 time som ferie</t>
        </r>
      </text>
    </comment>
    <comment ref="AF268" authorId="0" shapeId="0" xr:uid="{00000000-0006-0000-0E00-0000C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1 ferietime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derise</author>
    <author>thomas</author>
    <author>flniel</author>
    <author>mipede</author>
    <author>erskyg</author>
    <author>sthert</author>
    <author>benvil</author>
  </authors>
  <commentList>
    <comment ref="I16" authorId="0" shapeId="0" xr:uid="{00000000-0006-0000-0F00-000001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Ekstravagt 730-1600</t>
        </r>
      </text>
    </comment>
    <comment ref="J16" authorId="0" shapeId="0" xr:uid="{00000000-0006-0000-0F00-000002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Ekstravagt 730-1600</t>
        </r>
      </text>
    </comment>
    <comment ref="K16" authorId="0" shapeId="0" xr:uid="{00000000-0006-0000-0F00-000003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Ekstravagt 730-1600</t>
        </r>
      </text>
    </comment>
    <comment ref="L16" authorId="0" shapeId="0" xr:uid="{00000000-0006-0000-0F00-000004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Ekstravagt 730-1600</t>
        </r>
      </text>
    </comment>
    <comment ref="R16" authorId="1" shapeId="0" xr:uid="{00000000-0006-0000-0F00-000005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</t>
        </r>
      </text>
    </comment>
    <comment ref="Z16" authorId="2" shapeId="0" xr:uid="{00000000-0006-0000-0F00-00000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Møder kl. 06.30</t>
        </r>
      </text>
    </comment>
    <comment ref="C17" authorId="2" shapeId="0" xr:uid="{00000000-0006-0000-0F00-00000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Brønshøjvej</t>
        </r>
      </text>
    </comment>
    <comment ref="P17" authorId="2" shapeId="0" xr:uid="{00000000-0006-0000-0F00-00000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07.30  16</t>
        </r>
      </text>
    </comment>
    <comment ref="Q17" authorId="2" shapeId="0" xr:uid="{00000000-0006-0000-0F00-00000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07.30  16</t>
        </r>
      </text>
    </comment>
    <comment ref="R17" authorId="1" shapeId="0" xr:uid="{00000000-0006-0000-0F00-00000A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08.00</t>
        </r>
      </text>
    </comment>
    <comment ref="S17" authorId="2" shapeId="0" xr:uid="{00000000-0006-0000-0F00-00000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07.30  16</t>
        </r>
      </text>
    </comment>
    <comment ref="AE18" authorId="3" shapeId="0" xr:uid="{00000000-0006-0000-0F00-00000C000000}">
      <text>
        <r>
          <rPr>
            <b/>
            <sz val="9"/>
            <color indexed="81"/>
            <rFont val="Tahoma"/>
            <family val="2"/>
          </rPr>
          <t>mipede:</t>
        </r>
        <r>
          <rPr>
            <sz val="9"/>
            <color indexed="81"/>
            <rFont val="Tahoma"/>
            <family val="2"/>
          </rPr>
          <t xml:space="preserve">
Møde med Per kl 10.00</t>
        </r>
      </text>
    </comment>
    <comment ref="R20" authorId="1" shapeId="0" xr:uid="{00000000-0006-0000-0F00-00000D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06.30</t>
        </r>
      </text>
    </comment>
    <comment ref="S20" authorId="2" shapeId="0" xr:uid="{00000000-0006-0000-0F00-00000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13.30 16.30</t>
        </r>
      </text>
    </comment>
    <comment ref="R21" authorId="1" shapeId="0" xr:uid="{00000000-0006-0000-0F00-00000F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06.30</t>
        </r>
      </text>
    </comment>
    <comment ref="V21" authorId="2" shapeId="0" xr:uid="{00000000-0006-0000-0F00-00001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1-vagt 08.45 - 16.30</t>
        </r>
      </text>
    </comment>
    <comment ref="Z21" authorId="2" shapeId="0" xr:uid="{00000000-0006-0000-0F00-00001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 - 9-17</t>
        </r>
      </text>
    </comment>
    <comment ref="R37" authorId="1" shapeId="0" xr:uid="{00000000-0006-0000-0F00-000012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07.00</t>
        </r>
      </text>
    </comment>
    <comment ref="I39" authorId="2" shapeId="0" xr:uid="{00000000-0006-0000-0F00-00001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 - 9-17</t>
        </r>
      </text>
    </comment>
    <comment ref="J39" authorId="2" shapeId="0" xr:uid="{00000000-0006-0000-0F00-00001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 - 9-17</t>
        </r>
      </text>
    </comment>
    <comment ref="K39" authorId="2" shapeId="0" xr:uid="{00000000-0006-0000-0F00-00001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 - 9-17</t>
        </r>
      </text>
    </comment>
    <comment ref="L39" authorId="2" shapeId="0" xr:uid="{00000000-0006-0000-0F00-00001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 - 9-17</t>
        </r>
      </text>
    </comment>
    <comment ref="R39" authorId="1" shapeId="0" xr:uid="{00000000-0006-0000-0F00-000017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08.00</t>
        </r>
      </text>
    </comment>
    <comment ref="V39" authorId="2" shapeId="0" xr:uid="{00000000-0006-0000-0F00-00001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 0730 - 1600</t>
        </r>
      </text>
    </comment>
    <comment ref="W39" authorId="2" shapeId="0" xr:uid="{00000000-0006-0000-0F00-00001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 0730 - 1600</t>
        </r>
      </text>
    </comment>
    <comment ref="X39" authorId="2" shapeId="0" xr:uid="{00000000-0006-0000-0F00-00001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 0730 - 1600</t>
        </r>
      </text>
    </comment>
    <comment ref="Y39" authorId="2" shapeId="0" xr:uid="{00000000-0006-0000-0F00-00001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 0730 - 1600</t>
        </r>
      </text>
    </comment>
    <comment ref="Z39" authorId="2" shapeId="0" xr:uid="{00000000-0006-0000-0F00-00001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 0730 - 1600</t>
        </r>
      </text>
    </comment>
    <comment ref="R41" authorId="1" shapeId="0" xr:uid="{00000000-0006-0000-0F00-00001D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06.30</t>
        </r>
      </text>
    </comment>
    <comment ref="O42" authorId="2" shapeId="0" xr:uid="{00000000-0006-0000-0F00-00001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 - 9-17</t>
        </r>
      </text>
    </comment>
    <comment ref="P42" authorId="2" shapeId="0" xr:uid="{00000000-0006-0000-0F00-00001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 - 9-17</t>
        </r>
      </text>
    </comment>
    <comment ref="Q42" authorId="2" shapeId="0" xr:uid="{00000000-0006-0000-0F00-00002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 - 9-17</t>
        </r>
      </text>
    </comment>
    <comment ref="R42" authorId="1" shapeId="0" xr:uid="{00000000-0006-0000-0F00-000021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06.30</t>
        </r>
      </text>
    </comment>
    <comment ref="S42" authorId="2" shapeId="0" xr:uid="{00000000-0006-0000-0F00-00002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 - 9-17</t>
        </r>
      </text>
    </comment>
    <comment ref="V42" authorId="4" shapeId="0" xr:uid="{00000000-0006-0000-0F00-000023000000}">
      <text>
        <r>
          <rPr>
            <b/>
            <sz val="9"/>
            <color indexed="81"/>
            <rFont val="Tahoma"/>
            <family val="2"/>
          </rPr>
          <t>erskyg: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4-vagt på OA</t>
        </r>
      </text>
    </comment>
    <comment ref="R43" authorId="1" shapeId="0" xr:uid="{00000000-0006-0000-0F00-000024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06.30</t>
        </r>
      </text>
    </comment>
    <comment ref="AD43" authorId="5" shapeId="0" xr:uid="{00000000-0006-0000-0F00-00002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Ekstravagt 0730 - 1600</t>
        </r>
      </text>
    </comment>
    <comment ref="AF43" authorId="5" shapeId="0" xr:uid="{00000000-0006-0000-0F00-00002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Ekstravagt 0730 - 1600</t>
        </r>
      </text>
    </comment>
    <comment ref="R44" authorId="1" shapeId="0" xr:uid="{00000000-0006-0000-0F00-000027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06.30</t>
        </r>
      </text>
    </comment>
    <comment ref="S44" authorId="5" shapeId="0" xr:uid="{00000000-0006-0000-0F00-00002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Til Læge</t>
        </r>
      </text>
    </comment>
    <comment ref="C48" authorId="2" shapeId="0" xr:uid="{00000000-0006-0000-0F00-00002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 - 9-17</t>
        </r>
      </text>
    </comment>
    <comment ref="O48" authorId="2" shapeId="0" xr:uid="{00000000-0006-0000-0F00-00002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P48" authorId="2" shapeId="0" xr:uid="{00000000-0006-0000-0F00-00002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Q48" authorId="2" shapeId="0" xr:uid="{00000000-0006-0000-0F00-00002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Kjeld + 6 vagt på OA
</t>
        </r>
      </text>
    </comment>
    <comment ref="R48" authorId="2" shapeId="0" xr:uid="{00000000-0006-0000-0F00-00002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Kjeld + Dronningens fødselsdag</t>
        </r>
      </text>
    </comment>
    <comment ref="S48" authorId="2" shapeId="0" xr:uid="{00000000-0006-0000-0F00-00002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R49" authorId="1" shapeId="0" xr:uid="{00000000-0006-0000-0F00-00002F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06.30</t>
        </r>
      </text>
    </comment>
    <comment ref="W49" authorId="2" shapeId="0" xr:uid="{00000000-0006-0000-0F00-00003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AE49" authorId="5" shapeId="0" xr:uid="{00000000-0006-0000-0F00-00003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Ekstravagt 0730 - 1600</t>
        </r>
      </text>
    </comment>
    <comment ref="R50" authorId="1" shapeId="0" xr:uid="{00000000-0006-0000-0F00-000032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06.30</t>
        </r>
      </text>
    </comment>
    <comment ref="R51" authorId="1" shapeId="0" xr:uid="{00000000-0006-0000-0F00-000033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10.00</t>
        </r>
      </text>
    </comment>
    <comment ref="R61" authorId="1" shapeId="0" xr:uid="{00000000-0006-0000-0F00-000034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</t>
        </r>
      </text>
    </comment>
    <comment ref="C74" authorId="5" shapeId="0" xr:uid="{00000000-0006-0000-0F00-00003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+ 5-vagt</t>
        </r>
      </text>
    </comment>
    <comment ref="E74" authorId="5" shapeId="0" xr:uid="{00000000-0006-0000-0F00-00003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8-vagt</t>
        </r>
      </text>
    </comment>
    <comment ref="I74" authorId="5" shapeId="0" xr:uid="{00000000-0006-0000-0F00-00003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J74" authorId="6" shapeId="0" xr:uid="{00000000-0006-0000-0F00-00003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Møde Ørnevej </t>
        </r>
      </text>
    </comment>
    <comment ref="K74" authorId="6" shapeId="0" xr:uid="{00000000-0006-0000-0F00-00003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SOF + møder i byen + Valdemarsgade 16-18</t>
        </r>
      </text>
    </comment>
    <comment ref="L74" authorId="5" shapeId="0" xr:uid="{00000000-0006-0000-0F00-00003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O74" authorId="5" shapeId="0" xr:uid="{00000000-0006-0000-0F00-00003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MUS Samtaler</t>
        </r>
      </text>
    </comment>
    <comment ref="P74" authorId="5" shapeId="0" xr:uid="{00000000-0006-0000-0F00-00003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Mus Samtaler</t>
        </r>
      </text>
    </comment>
    <comment ref="Q74" authorId="5" shapeId="0" xr:uid="{00000000-0006-0000-0F00-00003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Mussamtaler</t>
        </r>
      </text>
    </comment>
    <comment ref="R74" authorId="1" shapeId="0" xr:uid="{00000000-0006-0000-0F00-00003E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08.00</t>
        </r>
      </text>
    </comment>
    <comment ref="S74" authorId="5" shapeId="0" xr:uid="{00000000-0006-0000-0F00-00003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V74" authorId="5" shapeId="0" xr:uid="{00000000-0006-0000-0F00-00004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W74" authorId="5" shapeId="0" xr:uid="{00000000-0006-0000-0F00-00004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X74" authorId="5" shapeId="0" xr:uid="{00000000-0006-0000-0F00-00004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Y74" authorId="5" shapeId="0" xr:uid="{00000000-0006-0000-0F00-00004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Z74" authorId="5" shapeId="0" xr:uid="{00000000-0006-0000-0F00-00004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 + ekstravagt 14-16 </t>
        </r>
      </text>
    </comment>
    <comment ref="AA74" authorId="5" shapeId="0" xr:uid="{00000000-0006-0000-0F00-00004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ekstravagt 0915 - 1315</t>
        </r>
      </text>
    </comment>
    <comment ref="AC74" authorId="5" shapeId="0" xr:uid="{00000000-0006-0000-0F00-00004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 vagt</t>
        </r>
      </text>
    </comment>
    <comment ref="AD74" authorId="5" shapeId="0" xr:uid="{00000000-0006-0000-0F00-00004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 vagt</t>
        </r>
      </text>
    </comment>
    <comment ref="AE74" authorId="5" shapeId="0" xr:uid="{00000000-0006-0000-0F00-00004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 vagt</t>
        </r>
      </text>
    </comment>
    <comment ref="AF74" authorId="5" shapeId="0" xr:uid="{00000000-0006-0000-0F00-00004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 vagt</t>
        </r>
      </text>
    </comment>
    <comment ref="I75" authorId="6" shapeId="0" xr:uid="{00000000-0006-0000-0F00-00004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J75" authorId="6" shapeId="0" xr:uid="{00000000-0006-0000-0F00-00004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Møde Ørnevej </t>
        </r>
      </text>
    </comment>
    <comment ref="K75" authorId="6" shapeId="0" xr:uid="{00000000-0006-0000-0F00-00004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SOF + møder i byen + Valdemarsgade 13-16</t>
        </r>
      </text>
    </comment>
    <comment ref="L75" authorId="6" shapeId="0" xr:uid="{00000000-0006-0000-0F00-00004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Svanevej</t>
        </r>
      </text>
    </comment>
    <comment ref="O75" authorId="5" shapeId="0" xr:uid="{00000000-0006-0000-0F00-00004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P75" authorId="5" shapeId="0" xr:uid="{00000000-0006-0000-0F00-00004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Q75" authorId="5" shapeId="0" xr:uid="{00000000-0006-0000-0F00-00005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R75" authorId="1" shapeId="0" xr:uid="{00000000-0006-0000-0F00-000051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06.30</t>
        </r>
      </text>
    </comment>
    <comment ref="S75" authorId="5" shapeId="0" xr:uid="{00000000-0006-0000-0F00-00005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V75" authorId="5" shapeId="0" xr:uid="{00000000-0006-0000-0F00-00005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W75" authorId="5" shapeId="0" xr:uid="{00000000-0006-0000-0F00-00005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X75" authorId="5" shapeId="0" xr:uid="{00000000-0006-0000-0F00-00005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Y75" authorId="5" shapeId="0" xr:uid="{00000000-0006-0000-0F00-00005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Z75" authorId="5" shapeId="0" xr:uid="{00000000-0006-0000-0F00-00005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AC75" authorId="5" shapeId="0" xr:uid="{00000000-0006-0000-0F00-00005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P-VAGT</t>
        </r>
      </text>
    </comment>
    <comment ref="AD75" authorId="5" shapeId="0" xr:uid="{00000000-0006-0000-0F00-00005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AE75" authorId="5" shapeId="0" xr:uid="{00000000-0006-0000-0F00-00005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L vagt</t>
        </r>
      </text>
    </comment>
    <comment ref="AF75" authorId="5" shapeId="0" xr:uid="{00000000-0006-0000-0F00-00005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P76" authorId="5" shapeId="0" xr:uid="{00000000-0006-0000-0F00-00005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Gl.KØGE 0900-1200</t>
        </r>
      </text>
    </comment>
    <comment ref="R76" authorId="1" shapeId="0" xr:uid="{00000000-0006-0000-0F00-00005D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08.00</t>
        </r>
      </text>
    </comment>
    <comment ref="S76" authorId="5" shapeId="0" xr:uid="{00000000-0006-0000-0F00-00005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1-vagt og bliver til kl. 16</t>
        </r>
      </text>
    </comment>
    <comment ref="AF76" authorId="5" shapeId="0" xr:uid="{00000000-0006-0000-0F00-00005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Ekstravagt 0900-1700</t>
        </r>
      </text>
    </comment>
    <comment ref="I86" authorId="5" shapeId="0" xr:uid="{00000000-0006-0000-0F00-00006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 vagt</t>
        </r>
      </text>
    </comment>
    <comment ref="J86" authorId="5" shapeId="0" xr:uid="{00000000-0006-0000-0F00-00006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 vagt</t>
        </r>
      </text>
    </comment>
    <comment ref="K86" authorId="5" shapeId="0" xr:uid="{00000000-0006-0000-0F00-00006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 vagt</t>
        </r>
      </text>
    </comment>
    <comment ref="L86" authorId="5" shapeId="0" xr:uid="{00000000-0006-0000-0F00-00006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 vagt</t>
        </r>
      </text>
    </comment>
    <comment ref="M86" authorId="5" shapeId="0" xr:uid="{00000000-0006-0000-0F00-00006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Ekstravagt 0915 - 13.15</t>
        </r>
      </text>
    </comment>
    <comment ref="Q86" authorId="5" shapeId="0" xr:uid="{00000000-0006-0000-0F00-00006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Fri</t>
        </r>
      </text>
    </comment>
    <comment ref="R86" authorId="5" shapeId="0" xr:uid="{00000000-0006-0000-0F00-00006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Fri</t>
        </r>
      </text>
    </comment>
    <comment ref="S86" authorId="5" shapeId="0" xr:uid="{00000000-0006-0000-0F00-00006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Fri</t>
        </r>
      </text>
    </comment>
    <comment ref="C87" authorId="5" shapeId="0" xr:uid="{00000000-0006-0000-0F00-00006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 vagt</t>
        </r>
      </text>
    </comment>
    <comment ref="E87" authorId="1" shapeId="0" xr:uid="{00000000-0006-0000-0F00-000069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F87" authorId="2" shapeId="0" xr:uid="{00000000-0006-0000-0F00-00006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Ali 09.15 - 13.15</t>
        </r>
      </text>
    </comment>
    <comment ref="I87" authorId="5" shapeId="0" xr:uid="{00000000-0006-0000-0F00-00006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 vagt</t>
        </r>
      </text>
    </comment>
    <comment ref="J87" authorId="5" shapeId="0" xr:uid="{00000000-0006-0000-0F00-00006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 vagt</t>
        </r>
      </text>
    </comment>
    <comment ref="K87" authorId="5" shapeId="0" xr:uid="{00000000-0006-0000-0F00-00006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 vagt</t>
        </r>
      </text>
    </comment>
    <comment ref="L87" authorId="5" shapeId="0" xr:uid="{00000000-0006-0000-0F00-00006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 vagt</t>
        </r>
      </text>
    </comment>
    <comment ref="R87" authorId="1" shapeId="0" xr:uid="{00000000-0006-0000-0F00-00006F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08.15</t>
        </r>
      </text>
    </comment>
    <comment ref="T87" authorId="5" shapeId="0" xr:uid="{00000000-0006-0000-0F00-00007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ekstravagt 0915 - 1315</t>
        </r>
      </text>
    </comment>
    <comment ref="X87" authorId="2" shapeId="0" xr:uid="{00000000-0006-0000-0F00-00007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 hovedport</t>
        </r>
      </text>
    </comment>
    <comment ref="Y87" authorId="2" shapeId="0" xr:uid="{00000000-0006-0000-0F00-00007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 hovedport</t>
        </r>
      </text>
    </comment>
    <comment ref="Z87" authorId="6" shapeId="0" xr:uid="{00000000-0006-0000-0F00-00007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 vagt + 11 - vagt</t>
        </r>
      </text>
    </comment>
    <comment ref="AF87" authorId="5" shapeId="0" xr:uid="{00000000-0006-0000-0F00-00007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L vagt</t>
        </r>
      </text>
    </comment>
    <comment ref="R88" authorId="1" shapeId="0" xr:uid="{00000000-0006-0000-0F00-000075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</t>
        </r>
      </text>
    </comment>
    <comment ref="V99" authorId="2" shapeId="0" xr:uid="{00000000-0006-0000-0F00-00007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mangler 2 timer</t>
        </r>
      </text>
    </comment>
    <comment ref="R100" authorId="1" shapeId="0" xr:uid="{00000000-0006-0000-0F00-000077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06.30</t>
        </r>
      </text>
    </comment>
    <comment ref="R101" authorId="1" shapeId="0" xr:uid="{00000000-0006-0000-0F00-000078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06.30</t>
        </r>
      </text>
    </comment>
    <comment ref="C120" authorId="5" shapeId="0" xr:uid="{00000000-0006-0000-0F00-00007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P120" authorId="5" shapeId="0" xr:uid="{00000000-0006-0000-0F00-00007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Q120" authorId="5" shapeId="0" xr:uid="{00000000-0006-0000-0F00-00007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R120" authorId="1" shapeId="0" xr:uid="{00000000-0006-0000-0F00-00007C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06.30</t>
        </r>
      </text>
    </comment>
    <comment ref="S121" authorId="2" shapeId="0" xr:uid="{00000000-0006-0000-0F00-00007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32 timer</t>
        </r>
      </text>
    </comment>
    <comment ref="AC121" authorId="2" shapeId="0" xr:uid="{00000000-0006-0000-0F00-00007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Flextimer</t>
        </r>
      </text>
    </comment>
    <comment ref="AE124" authorId="5" shapeId="0" xr:uid="{00000000-0006-0000-0F00-00007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hospitalet</t>
        </r>
      </text>
    </comment>
    <comment ref="P129" authorId="5" shapeId="0" xr:uid="{00000000-0006-0000-0F00-00008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Genoptræning 0900-1200</t>
        </r>
      </text>
    </comment>
    <comment ref="R167" authorId="1" shapeId="0" xr:uid="{00000000-0006-0000-0F00-000081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06.30</t>
        </r>
      </text>
    </comment>
    <comment ref="AF167" authorId="2" shapeId="0" xr:uid="{00000000-0006-0000-0F00-00008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Filmstjerne</t>
        </r>
      </text>
    </comment>
    <comment ref="R168" authorId="1" shapeId="0" xr:uid="{00000000-0006-0000-0F00-000083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</t>
        </r>
      </text>
    </comment>
    <comment ref="C170" authorId="5" shapeId="0" xr:uid="{00000000-0006-0000-0F00-00008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+ 7-vagt på oa</t>
        </r>
      </text>
    </comment>
    <comment ref="K170" authorId="3" shapeId="0" xr:uid="{00000000-0006-0000-0F00-000085000000}">
      <text>
        <r>
          <rPr>
            <b/>
            <sz val="9"/>
            <color indexed="81"/>
            <rFont val="Tahoma"/>
            <family val="2"/>
          </rPr>
          <t>mipede:</t>
        </r>
        <r>
          <rPr>
            <sz val="9"/>
            <color indexed="81"/>
            <rFont val="Tahoma"/>
            <family val="2"/>
          </rPr>
          <t xml:space="preserve">
3-vagt på OA</t>
        </r>
      </text>
    </comment>
    <comment ref="O170" authorId="2" shapeId="0" xr:uid="{00000000-0006-0000-0F00-00008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Vagthavende og Patruljeleder til kl. 18</t>
        </r>
      </text>
    </comment>
    <comment ref="R170" authorId="1" shapeId="0" xr:uid="{00000000-0006-0000-0F00-000087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06.30</t>
        </r>
      </text>
    </comment>
    <comment ref="V170" authorId="2" shapeId="0" xr:uid="{00000000-0006-0000-0F00-00008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W170" authorId="2" shapeId="0" xr:uid="{00000000-0006-0000-0F00-00008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X170" authorId="2" shapeId="0" xr:uid="{00000000-0006-0000-0F00-00008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Y170" authorId="2" shapeId="0" xr:uid="{00000000-0006-0000-0F00-00008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Z170" authorId="5" shapeId="0" xr:uid="{00000000-0006-0000-0F00-00008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Arrangement om aften.</t>
        </r>
      </text>
    </comment>
    <comment ref="AD170" authorId="5" shapeId="0" xr:uid="{00000000-0006-0000-0F00-00008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Ørnevej OA</t>
        </r>
      </text>
    </comment>
    <comment ref="AE170" authorId="5" shapeId="0" xr:uid="{00000000-0006-0000-0F00-00008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0815 Matthæusgade OA</t>
        </r>
      </text>
    </comment>
    <comment ref="R171" authorId="1" shapeId="0" xr:uid="{00000000-0006-0000-0F00-00008F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07.00</t>
        </r>
      </text>
    </comment>
    <comment ref="C172" authorId="2" shapeId="0" xr:uid="{00000000-0006-0000-0F00-00009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I172" authorId="2" shapeId="0" xr:uid="{00000000-0006-0000-0F00-00009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J172" authorId="2" shapeId="0" xr:uid="{00000000-0006-0000-0F00-00009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K172" authorId="2" shapeId="0" xr:uid="{00000000-0006-0000-0F00-00009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L172" authorId="2" shapeId="0" xr:uid="{00000000-0006-0000-0F00-00009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L173" authorId="2" shapeId="0" xr:uid="{00000000-0006-0000-0F00-00009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Ekstravagt 13.30</t>
        </r>
      </text>
    </comment>
    <comment ref="O173" authorId="2" shapeId="0" xr:uid="{00000000-0006-0000-0F00-00009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0730 - 16 Hovedport og bagport + 6 vagt</t>
        </r>
      </text>
    </comment>
    <comment ref="P173" authorId="5" shapeId="0" xr:uid="{00000000-0006-0000-0F00-00009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OA Griffen 0815 - 1115</t>
        </r>
      </text>
    </comment>
    <comment ref="C181" authorId="5" shapeId="0" xr:uid="{00000000-0006-0000-0F00-00009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Ekstravagt  0730-1600</t>
        </r>
      </text>
    </comment>
    <comment ref="L181" authorId="3" shapeId="0" xr:uid="{00000000-0006-0000-0F00-000099000000}">
      <text>
        <r>
          <rPr>
            <b/>
            <sz val="9"/>
            <color indexed="81"/>
            <rFont val="Tahoma"/>
            <family val="2"/>
          </rPr>
          <t>mipede:</t>
        </r>
        <r>
          <rPr>
            <sz val="9"/>
            <color indexed="81"/>
            <rFont val="Tahoma"/>
            <family val="2"/>
          </rPr>
          <t xml:space="preserve">
Ekstravagt  1400-1600</t>
        </r>
      </text>
    </comment>
    <comment ref="O181" authorId="3" shapeId="0" xr:uid="{00000000-0006-0000-0F00-00009A000000}">
      <text>
        <r>
          <rPr>
            <b/>
            <sz val="9"/>
            <color indexed="81"/>
            <rFont val="Tahoma"/>
            <family val="2"/>
          </rPr>
          <t>mipede:</t>
        </r>
        <r>
          <rPr>
            <sz val="9"/>
            <color indexed="81"/>
            <rFont val="Tahoma"/>
            <family val="2"/>
          </rPr>
          <t xml:space="preserve">
11 vagt på OA</t>
        </r>
      </text>
    </comment>
    <comment ref="R181" authorId="1" shapeId="0" xr:uid="{00000000-0006-0000-0F00-00009B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06.30</t>
        </r>
      </text>
    </comment>
    <comment ref="V181" authorId="5" shapeId="0" xr:uid="{00000000-0006-0000-0F00-00009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ekstravagt 0900 - 1700</t>
        </r>
      </text>
    </comment>
    <comment ref="W181" authorId="5" shapeId="0" xr:uid="{00000000-0006-0000-0F00-00009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ekstravagt 0900 - 1700</t>
        </r>
      </text>
    </comment>
    <comment ref="AD181" authorId="5" shapeId="0" xr:uid="{00000000-0006-0000-0F00-00009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ekstravagt 0900-1700</t>
        </r>
      </text>
    </comment>
    <comment ref="AE181" authorId="5" shapeId="0" xr:uid="{00000000-0006-0000-0F00-00009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ekstravagt 0900-1700</t>
        </r>
      </text>
    </comment>
    <comment ref="R198" authorId="1" shapeId="0" xr:uid="{00000000-0006-0000-0F00-0000A0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</t>
        </r>
      </text>
    </comment>
    <comment ref="R201" authorId="1" shapeId="0" xr:uid="{00000000-0006-0000-0F00-0000A1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</t>
        </r>
      </text>
    </comment>
    <comment ref="K207" authorId="2" shapeId="0" xr:uid="{00000000-0006-0000-0F00-0000A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Afspadsering 3 timer</t>
        </r>
      </text>
    </comment>
    <comment ref="R213" authorId="1" shapeId="0" xr:uid="{00000000-0006-0000-0F00-0000A3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</t>
        </r>
      </text>
    </comment>
    <comment ref="R236" authorId="1" shapeId="0" xr:uid="{00000000-0006-0000-0F00-0000A4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Dronningens fødselsdag
06.30</t>
        </r>
      </text>
    </comment>
    <comment ref="Y265" authorId="2" shapeId="0" xr:uid="{00000000-0006-0000-0F00-0000A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4 timer</t>
        </r>
      </text>
    </comment>
    <comment ref="AE269" authorId="2" shapeId="0" xr:uid="{00000000-0006-0000-0F00-0000A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Blåtimer?</t>
        </r>
      </text>
    </comment>
  </commentList>
</comments>
</file>

<file path=xl/sharedStrings.xml><?xml version="1.0" encoding="utf-8"?>
<sst xmlns="http://schemas.openxmlformats.org/spreadsheetml/2006/main" count="35331" uniqueCount="977">
  <si>
    <t>Vagterleder</t>
  </si>
  <si>
    <t>Plankode 8502</t>
  </si>
  <si>
    <t>Mandag</t>
  </si>
  <si>
    <t>Tirsdag</t>
  </si>
  <si>
    <t>Onsdag</t>
  </si>
  <si>
    <t>Torsdag</t>
  </si>
  <si>
    <t>Fredag</t>
  </si>
  <si>
    <t>Lørdag</t>
  </si>
  <si>
    <t>Søndag</t>
  </si>
  <si>
    <t>Timer ugentligt</t>
  </si>
  <si>
    <t>Bemærkninger</t>
  </si>
  <si>
    <t>0800 - 1545</t>
  </si>
  <si>
    <t>0800 - 1400</t>
  </si>
  <si>
    <t>Jørgen Pyrmer</t>
  </si>
  <si>
    <t>Vagter for turnusformænd</t>
  </si>
  <si>
    <t>Plankode 8546</t>
  </si>
  <si>
    <t>Fri</t>
  </si>
  <si>
    <t>0815 - 1615</t>
  </si>
  <si>
    <t>2300 - 0700</t>
  </si>
  <si>
    <t>1900 - 0700</t>
  </si>
  <si>
    <t>Erik S. Andersen</t>
  </si>
  <si>
    <t>Jørgen M. Rasmussen</t>
  </si>
  <si>
    <t>0700 - 1500</t>
  </si>
  <si>
    <t>Dennis H. Rise</t>
  </si>
  <si>
    <t>1500 - 2300</t>
  </si>
  <si>
    <t>0700 - 1900</t>
  </si>
  <si>
    <t>Flemming Nielsen</t>
  </si>
  <si>
    <t>Bjarne Wagner-Larsen</t>
  </si>
  <si>
    <t xml:space="preserve"> </t>
  </si>
  <si>
    <t>Bo V. Jacobsen</t>
  </si>
  <si>
    <t>Timer i alt</t>
  </si>
  <si>
    <t>Formændsafløserne</t>
  </si>
  <si>
    <t>Plankode 8500</t>
  </si>
  <si>
    <t>0815 - 1600</t>
  </si>
  <si>
    <t>0815 - 1415</t>
  </si>
  <si>
    <t>Jesper Simonsen</t>
  </si>
  <si>
    <t>Michael B. Pedersen</t>
  </si>
  <si>
    <t>Per Larsen</t>
  </si>
  <si>
    <t xml:space="preserve">Vagter for turnus Rådhuset  </t>
  </si>
  <si>
    <t>Plankode 8516</t>
  </si>
  <si>
    <t>Hold 1</t>
  </si>
  <si>
    <t>0900 - 1715</t>
  </si>
  <si>
    <t>PA 0815 - 1615</t>
  </si>
  <si>
    <r>
      <t>1</t>
    </r>
    <r>
      <rPr>
        <sz val="10"/>
        <rFont val="Arial"/>
        <family val="2"/>
      </rPr>
      <t xml:space="preserve">                   Anders B. Hintze</t>
    </r>
  </si>
  <si>
    <t>PB 0815 - 1615</t>
  </si>
  <si>
    <t>2300 - 0600</t>
  </si>
  <si>
    <t>1900 - 0600</t>
  </si>
  <si>
    <t>PC 0900 - 1715</t>
  </si>
  <si>
    <r>
      <t xml:space="preserve">6 </t>
    </r>
    <r>
      <rPr>
        <sz val="10"/>
        <rFont val="Arial"/>
        <family val="2"/>
      </rPr>
      <t xml:space="preserve">                 Betina Knøsgaard</t>
    </r>
  </si>
  <si>
    <t>Dagvagt</t>
  </si>
  <si>
    <t>(Disp)</t>
  </si>
  <si>
    <r>
      <t>11</t>
    </r>
    <r>
      <rPr>
        <sz val="10"/>
        <rFont val="Arial"/>
        <family val="2"/>
      </rPr>
      <t xml:space="preserve">        Mariane E. Mortensen</t>
    </r>
  </si>
  <si>
    <t>Hold 2</t>
  </si>
  <si>
    <r>
      <t xml:space="preserve">2  </t>
    </r>
    <r>
      <rPr>
        <sz val="10"/>
        <rFont val="Arial"/>
        <family val="2"/>
      </rPr>
      <t xml:space="preserve">                      Henrik Dencker</t>
    </r>
  </si>
  <si>
    <r>
      <t>7</t>
    </r>
    <r>
      <rPr>
        <sz val="10"/>
        <rFont val="Arial"/>
        <family val="2"/>
      </rPr>
      <t xml:space="preserve">                              Jim Hansen</t>
    </r>
  </si>
  <si>
    <t>Aften 1600-2300 ( 0700-1900)</t>
  </si>
  <si>
    <t>Aften 1500-2300 ( 0830-1530)</t>
  </si>
  <si>
    <r>
      <t xml:space="preserve">12   </t>
    </r>
    <r>
      <rPr>
        <sz val="10"/>
        <rFont val="Arial"/>
        <family val="2"/>
      </rPr>
      <t xml:space="preserve">                Kim B.T Hansen</t>
    </r>
  </si>
  <si>
    <t>Nat 2300 - 0600 (1900 - 0600</t>
  </si>
  <si>
    <t>Hold 3</t>
  </si>
  <si>
    <t>Nat 2300 - 0700 (1900 - 0700)</t>
  </si>
  <si>
    <r>
      <t>3</t>
    </r>
    <r>
      <rPr>
        <sz val="10"/>
        <rFont val="Arial"/>
        <family val="2"/>
      </rPr>
      <t xml:space="preserve">          Mikael M. Martensen</t>
    </r>
  </si>
  <si>
    <r>
      <t xml:space="preserve">8                    </t>
    </r>
    <r>
      <rPr>
        <sz val="10"/>
        <rFont val="Arial"/>
        <family val="2"/>
      </rPr>
      <t>Steen Hertin</t>
    </r>
  </si>
  <si>
    <r>
      <t xml:space="preserve">13       </t>
    </r>
    <r>
      <rPr>
        <sz val="10"/>
        <rFont val="Arial"/>
        <family val="2"/>
      </rPr>
      <t>Anders C. Henriksen</t>
    </r>
  </si>
  <si>
    <t>Hold 4</t>
  </si>
  <si>
    <t>1600 - 2300</t>
  </si>
  <si>
    <r>
      <t xml:space="preserve">4                  </t>
    </r>
    <r>
      <rPr>
        <sz val="10"/>
        <rFont val="Arial"/>
        <family val="2"/>
      </rPr>
      <t>Kurt Foldberg</t>
    </r>
  </si>
  <si>
    <t>0830 - 1530</t>
  </si>
  <si>
    <r>
      <t>9</t>
    </r>
    <r>
      <rPr>
        <sz val="10"/>
        <rFont val="Arial"/>
        <family val="2"/>
      </rPr>
      <t xml:space="preserve">                            Per A. Olsen</t>
    </r>
  </si>
  <si>
    <r>
      <t xml:space="preserve">14 </t>
    </r>
    <r>
      <rPr>
        <sz val="10"/>
        <rFont val="Arial"/>
        <family val="2"/>
      </rPr>
      <t xml:space="preserve">               Henning Haaning</t>
    </r>
  </si>
  <si>
    <t>Hold 5</t>
  </si>
  <si>
    <r>
      <t>5</t>
    </r>
    <r>
      <rPr>
        <sz val="10"/>
        <rFont val="Arial"/>
        <family val="2"/>
      </rPr>
      <t xml:space="preserve">               Jannie M-Andersen</t>
    </r>
  </si>
  <si>
    <r>
      <t>10</t>
    </r>
    <r>
      <rPr>
        <sz val="10"/>
        <rFont val="Arial"/>
        <family val="2"/>
      </rPr>
      <t xml:space="preserve">                       Jim H. Larsen</t>
    </r>
  </si>
  <si>
    <r>
      <t xml:space="preserve">15              </t>
    </r>
    <r>
      <rPr>
        <sz val="10"/>
        <rFont val="Arial"/>
        <family val="2"/>
      </rPr>
      <t>Erik M. Nielsen</t>
    </r>
  </si>
  <si>
    <t xml:space="preserve">Vagter for Bernstoffsgade &amp; H.N.G.  </t>
  </si>
  <si>
    <t>Plankode 8511</t>
  </si>
  <si>
    <t xml:space="preserve">H  vagt </t>
  </si>
  <si>
    <t>0600 - 1300</t>
  </si>
  <si>
    <t>I   vagt</t>
  </si>
  <si>
    <t>1300 - 2000</t>
  </si>
  <si>
    <t>1300 - 1900</t>
  </si>
  <si>
    <t>K  vagt</t>
  </si>
  <si>
    <t>0850 - 1520</t>
  </si>
  <si>
    <t>0850 - 1420</t>
  </si>
  <si>
    <t>0600 - 1315</t>
  </si>
  <si>
    <t xml:space="preserve">Vagter for Njalsgade og Bryggens Gård  </t>
  </si>
  <si>
    <t>Plankode 8512</t>
  </si>
  <si>
    <t>L  vagt Bryggen</t>
  </si>
  <si>
    <t>0600 - 1430</t>
  </si>
  <si>
    <t>0600 - 1330</t>
  </si>
  <si>
    <t>Med pause</t>
  </si>
  <si>
    <t>M vagt Bryggen</t>
  </si>
  <si>
    <t>1430 - 2100</t>
  </si>
  <si>
    <t>1330 - 2030</t>
  </si>
  <si>
    <t>N vagt (Bibliotek)</t>
  </si>
  <si>
    <t>1200 - 1930</t>
  </si>
  <si>
    <t>1200 - 1630</t>
  </si>
  <si>
    <t>0830 - 1515</t>
  </si>
  <si>
    <t>0930 - 1600</t>
  </si>
  <si>
    <t>Med pause u/afløsning</t>
  </si>
  <si>
    <t>O vagt Njalsgade</t>
  </si>
  <si>
    <t>P vagt Njalsgade</t>
  </si>
  <si>
    <t>R vagt Afløse mm.</t>
  </si>
  <si>
    <t xml:space="preserve">Vagter for Ottiliahus  </t>
  </si>
  <si>
    <t>Plankode 8552</t>
  </si>
  <si>
    <t xml:space="preserve">S  vagt </t>
  </si>
  <si>
    <t>T   vagt</t>
  </si>
  <si>
    <t>1330 - 2100</t>
  </si>
  <si>
    <t>U  vagt</t>
  </si>
  <si>
    <t>0800 - 1530</t>
  </si>
  <si>
    <t>0800 - 1500</t>
  </si>
  <si>
    <t>Fast portner A</t>
  </si>
  <si>
    <t>Arne Berthold</t>
  </si>
  <si>
    <t>Fast portner B</t>
  </si>
  <si>
    <t>Plankode 8519</t>
  </si>
  <si>
    <t>0700 - 1430</t>
  </si>
  <si>
    <t>0700 - 1300</t>
  </si>
  <si>
    <t>Anders Villadsen</t>
  </si>
  <si>
    <t>Kontoret + fester</t>
  </si>
  <si>
    <t>Marianne Rasmussen</t>
  </si>
  <si>
    <t>Ulla B. Olsen</t>
  </si>
  <si>
    <t>Bent Zumbach</t>
  </si>
  <si>
    <t>Stuen</t>
  </si>
  <si>
    <t>Plankode 8515</t>
  </si>
  <si>
    <t>0600 - 1345</t>
  </si>
  <si>
    <t>0600 - 1200</t>
  </si>
  <si>
    <t>Knud O. Jørgensen</t>
  </si>
  <si>
    <t>Afløserne</t>
  </si>
  <si>
    <t>Plankode 8517</t>
  </si>
  <si>
    <t>0600 - 1400</t>
  </si>
  <si>
    <t>Kristoffer Ruth</t>
  </si>
  <si>
    <t>Ferie Afløserne</t>
  </si>
  <si>
    <t>Karl Weidich</t>
  </si>
  <si>
    <t>Dean Poulsen</t>
  </si>
  <si>
    <t>Maria Christensen</t>
  </si>
  <si>
    <t>Christian Bjørkved</t>
  </si>
  <si>
    <t>Maria S. Kjarval</t>
  </si>
  <si>
    <t>I alt</t>
  </si>
  <si>
    <t>Timer på hverdage</t>
  </si>
  <si>
    <t>Timer på helligdage</t>
  </si>
  <si>
    <t>Timer pr. år</t>
  </si>
  <si>
    <t>BR møder på et år</t>
  </si>
  <si>
    <t>Arrangementer på et år</t>
  </si>
  <si>
    <t>Ekstra p.g.a. trusler m.v. ca. 3 mand i tolv timer pr. gang.</t>
  </si>
  <si>
    <t>Grand total</t>
  </si>
  <si>
    <t>svarer til ca. 63 medarbejdere</t>
  </si>
  <si>
    <t>Plankode 8521</t>
  </si>
  <si>
    <t>0745 - 1530</t>
  </si>
  <si>
    <t>0745- 1345</t>
  </si>
  <si>
    <t>Vagtkode i lønsystem</t>
  </si>
  <si>
    <t>I27</t>
  </si>
  <si>
    <t>I26</t>
  </si>
  <si>
    <t>Ugentligt</t>
  </si>
  <si>
    <t>Månedligt</t>
  </si>
  <si>
    <t>Årligt</t>
  </si>
  <si>
    <t>Stedfortræder</t>
  </si>
  <si>
    <t>807 Flemming Nielsen</t>
  </si>
  <si>
    <t>A77</t>
  </si>
  <si>
    <t>A60</t>
  </si>
  <si>
    <r>
      <t>4:</t>
    </r>
    <r>
      <rPr>
        <sz val="9"/>
        <rFont val="Arial"/>
        <family val="2"/>
      </rPr>
      <t xml:space="preserve"> 2230- 0645</t>
    </r>
  </si>
  <si>
    <r>
      <t>B:</t>
    </r>
    <r>
      <rPr>
        <sz val="9"/>
        <rFont val="Arial"/>
        <family val="2"/>
      </rPr>
      <t xml:space="preserve"> 1830 - 0645</t>
    </r>
  </si>
  <si>
    <r>
      <t>1:</t>
    </r>
    <r>
      <rPr>
        <sz val="9"/>
        <rFont val="Arial"/>
        <family val="2"/>
      </rPr>
      <t xml:space="preserve"> Vagthavende kl. 0630 - 1445</t>
    </r>
  </si>
  <si>
    <r>
      <t xml:space="preserve">I  </t>
    </r>
    <r>
      <rPr>
        <sz val="10"/>
        <rFont val="Arial"/>
        <family val="2"/>
      </rPr>
      <t>902 Erik Andersen</t>
    </r>
  </si>
  <si>
    <r>
      <t>2:</t>
    </r>
    <r>
      <rPr>
        <sz val="9"/>
        <rFont val="Arial"/>
        <family val="2"/>
      </rPr>
      <t xml:space="preserve"> Vagthavende kl. 1430 - 2230</t>
    </r>
  </si>
  <si>
    <t>F04</t>
  </si>
  <si>
    <t>BW 1</t>
  </si>
  <si>
    <t>BW1</t>
  </si>
  <si>
    <t>FRI</t>
  </si>
  <si>
    <r>
      <t>3:</t>
    </r>
    <r>
      <rPr>
        <sz val="9"/>
        <rFont val="Arial"/>
        <family val="2"/>
      </rPr>
      <t xml:space="preserve"> Patruljeleder kl. 1630 - 2345</t>
    </r>
  </si>
  <si>
    <r>
      <t xml:space="preserve">II </t>
    </r>
    <r>
      <rPr>
        <sz val="10"/>
        <rFont val="Arial"/>
        <family val="2"/>
      </rPr>
      <t>886 Per Larsen</t>
    </r>
  </si>
  <si>
    <r>
      <t>4</t>
    </r>
    <r>
      <rPr>
        <sz val="9"/>
        <rFont val="Arial"/>
        <family val="2"/>
      </rPr>
      <t>: Vagthavende kl. 2230 - 0645</t>
    </r>
  </si>
  <si>
    <t>Tur</t>
  </si>
  <si>
    <r>
      <t>1:</t>
    </r>
    <r>
      <rPr>
        <sz val="9"/>
        <rFont val="Arial"/>
        <family val="2"/>
      </rPr>
      <t xml:space="preserve"> 0630 - 1445</t>
    </r>
  </si>
  <si>
    <r>
      <t>A</t>
    </r>
    <r>
      <rPr>
        <sz val="9"/>
        <rFont val="Arial"/>
        <family val="2"/>
      </rPr>
      <t xml:space="preserve">: Vagthavende kl. 0630 - 1845  </t>
    </r>
  </si>
  <si>
    <r>
      <t>III</t>
    </r>
    <r>
      <rPr>
        <sz val="9"/>
        <rFont val="Arial"/>
        <family val="2"/>
      </rPr>
      <t xml:space="preserve"> 654 Bo Volfing Jacobsen</t>
    </r>
  </si>
  <si>
    <t>F01</t>
  </si>
  <si>
    <r>
      <t>B:</t>
    </r>
    <r>
      <rPr>
        <sz val="9"/>
        <rFont val="Arial"/>
        <family val="2"/>
      </rPr>
      <t xml:space="preserve"> Vagthavende kl. 1830 - 0645 </t>
    </r>
  </si>
  <si>
    <r>
      <t>2:</t>
    </r>
    <r>
      <rPr>
        <sz val="9"/>
        <rFont val="Arial"/>
        <family val="2"/>
      </rPr>
      <t xml:space="preserve"> 1430 - 2230</t>
    </r>
  </si>
  <si>
    <r>
      <t>A:</t>
    </r>
    <r>
      <rPr>
        <sz val="9"/>
        <rFont val="Arial"/>
        <family val="2"/>
      </rPr>
      <t xml:space="preserve"> 0630 - 1845</t>
    </r>
  </si>
  <si>
    <r>
      <t xml:space="preserve">IV  </t>
    </r>
    <r>
      <rPr>
        <sz val="10"/>
        <rFont val="Arial"/>
        <family val="2"/>
      </rPr>
      <t>664 Dennis Rise</t>
    </r>
  </si>
  <si>
    <t>F02</t>
  </si>
  <si>
    <t>AW 1</t>
  </si>
  <si>
    <r>
      <t>V</t>
    </r>
    <r>
      <rPr>
        <sz val="10"/>
        <rFont val="Arial"/>
        <family val="2"/>
      </rPr>
      <t xml:space="preserve">  669 Jørgen Rasmussen.</t>
    </r>
  </si>
  <si>
    <r>
      <t>3:</t>
    </r>
    <r>
      <rPr>
        <sz val="9"/>
        <rFont val="Arial"/>
        <family val="2"/>
      </rPr>
      <t xml:space="preserve"> 1630-2345</t>
    </r>
  </si>
  <si>
    <r>
      <t>VI</t>
    </r>
    <r>
      <rPr>
        <sz val="10"/>
        <rFont val="Arial"/>
        <family val="2"/>
      </rPr>
      <t xml:space="preserve">  890 Michael Bo Pedersen</t>
    </r>
  </si>
  <si>
    <t>F03</t>
  </si>
  <si>
    <t>357 Jesper Simonsen</t>
  </si>
  <si>
    <t>358 Per Olsen</t>
  </si>
  <si>
    <t>383 Kjeld Julius Jespersen</t>
  </si>
  <si>
    <t xml:space="preserve">Turnusvagter Rådhuset  </t>
  </si>
  <si>
    <t>Uge      Plankode 8516</t>
  </si>
  <si>
    <r>
      <t>11</t>
    </r>
    <r>
      <rPr>
        <sz val="10"/>
        <rFont val="Arial"/>
        <family val="2"/>
      </rPr>
      <t xml:space="preserve"> 2300 - 0715</t>
    </r>
  </si>
  <si>
    <r>
      <t>B3</t>
    </r>
    <r>
      <rPr>
        <sz val="10"/>
        <color indexed="9"/>
        <rFont val="Arial"/>
        <family val="2"/>
      </rPr>
      <t xml:space="preserve"> 1900 - 0715</t>
    </r>
  </si>
  <si>
    <t>Type i vagtplanssystem</t>
  </si>
  <si>
    <t>011</t>
  </si>
  <si>
    <t>B3W</t>
  </si>
  <si>
    <r>
      <t>Uge 1</t>
    </r>
    <r>
      <rPr>
        <sz val="10"/>
        <rFont val="Arial"/>
        <family val="2"/>
      </rPr>
      <t xml:space="preserve"> </t>
    </r>
  </si>
  <si>
    <r>
      <t>9</t>
    </r>
    <r>
      <rPr>
        <sz val="9"/>
        <rFont val="Arial"/>
        <family val="2"/>
      </rPr>
      <t xml:space="preserve"> 2300 - 0600</t>
    </r>
  </si>
  <si>
    <r>
      <t>B1</t>
    </r>
    <r>
      <rPr>
        <sz val="10"/>
        <color indexed="9"/>
        <rFont val="Arial"/>
        <family val="2"/>
      </rPr>
      <t>1900 - 0600</t>
    </r>
  </si>
  <si>
    <t>009</t>
  </si>
  <si>
    <t>B1W</t>
  </si>
  <si>
    <r>
      <t xml:space="preserve">6 </t>
    </r>
    <r>
      <rPr>
        <sz val="10"/>
        <rFont val="Arial"/>
        <family val="2"/>
      </rPr>
      <t xml:space="preserve">                Betina Knøsgaard</t>
    </r>
  </si>
  <si>
    <t xml:space="preserve">Uge 6 </t>
  </si>
  <si>
    <r>
      <t>10</t>
    </r>
    <r>
      <rPr>
        <sz val="9"/>
        <rFont val="Arial"/>
        <family val="2"/>
      </rPr>
      <t xml:space="preserve"> 2300 - 0700</t>
    </r>
  </si>
  <si>
    <r>
      <t>B2</t>
    </r>
    <r>
      <rPr>
        <sz val="10"/>
        <color indexed="9"/>
        <rFont val="Arial"/>
        <family val="2"/>
      </rPr>
      <t>1900 - 0700</t>
    </r>
  </si>
  <si>
    <t>010</t>
  </si>
  <si>
    <t>B2W</t>
  </si>
  <si>
    <r>
      <t>11</t>
    </r>
    <r>
      <rPr>
        <sz val="10"/>
        <rFont val="Arial"/>
        <family val="2"/>
      </rPr>
      <t xml:space="preserve">            Mariane Hillebrand</t>
    </r>
  </si>
  <si>
    <r>
      <t>Uge 11</t>
    </r>
    <r>
      <rPr>
        <sz val="10"/>
        <rFont val="Arial"/>
        <family val="2"/>
      </rPr>
      <t xml:space="preserve">            </t>
    </r>
  </si>
  <si>
    <r>
      <t>2</t>
    </r>
    <r>
      <rPr>
        <sz val="10"/>
        <rFont val="Arial"/>
        <family val="2"/>
      </rPr>
      <t xml:space="preserve">                             Tina Hansen</t>
    </r>
  </si>
  <si>
    <r>
      <t>Uge 2</t>
    </r>
    <r>
      <rPr>
        <sz val="10"/>
        <rFont val="Arial"/>
        <family val="2"/>
      </rPr>
      <t xml:space="preserve">                             </t>
    </r>
  </si>
  <si>
    <r>
      <t xml:space="preserve">7 </t>
    </r>
    <r>
      <rPr>
        <sz val="10"/>
        <rFont val="Arial"/>
        <family val="2"/>
      </rPr>
      <t xml:space="preserve">             Kim B.T. Pedersen</t>
    </r>
  </si>
  <si>
    <t>Uge 7</t>
  </si>
  <si>
    <r>
      <t>A3</t>
    </r>
    <r>
      <rPr>
        <sz val="10"/>
        <rFont val="Arial"/>
        <family val="2"/>
      </rPr>
      <t xml:space="preserve"> 0700 - 1915</t>
    </r>
  </si>
  <si>
    <r>
      <t xml:space="preserve">A3 </t>
    </r>
    <r>
      <rPr>
        <sz val="10"/>
        <rFont val="Arial"/>
        <family val="2"/>
      </rPr>
      <t>0700 - 1915</t>
    </r>
  </si>
  <si>
    <t>A3W</t>
  </si>
  <si>
    <r>
      <t>12</t>
    </r>
    <r>
      <rPr>
        <sz val="10"/>
        <rFont val="Arial"/>
        <family val="2"/>
      </rPr>
      <t xml:space="preserve">                  Kristoffer Ruth</t>
    </r>
  </si>
  <si>
    <r>
      <t>Uge 12</t>
    </r>
    <r>
      <rPr>
        <sz val="10"/>
        <rFont val="Arial"/>
        <family val="2"/>
      </rPr>
      <t xml:space="preserve">                  </t>
    </r>
  </si>
  <si>
    <r>
      <t>8</t>
    </r>
    <r>
      <rPr>
        <sz val="10"/>
        <rFont val="Arial"/>
        <family val="2"/>
      </rPr>
      <t xml:space="preserve"> 1600 - 2300</t>
    </r>
  </si>
  <si>
    <r>
      <t>8</t>
    </r>
    <r>
      <rPr>
        <sz val="10"/>
        <rFont val="Arial"/>
        <family val="2"/>
      </rPr>
      <t xml:space="preserve"> 1600 - 2230</t>
    </r>
  </si>
  <si>
    <r>
      <t xml:space="preserve">A2 </t>
    </r>
    <r>
      <rPr>
        <sz val="10"/>
        <rFont val="Arial"/>
        <family val="2"/>
      </rPr>
      <t>0700 - 1900</t>
    </r>
  </si>
  <si>
    <t>008</t>
  </si>
  <si>
    <t>X08</t>
  </si>
  <si>
    <t>A2W</t>
  </si>
  <si>
    <r>
      <t>Uge 3</t>
    </r>
    <r>
      <rPr>
        <sz val="10"/>
        <rFont val="Arial"/>
        <family val="2"/>
      </rPr>
      <t xml:space="preserve"> </t>
    </r>
  </si>
  <si>
    <r>
      <t>6</t>
    </r>
    <r>
      <rPr>
        <sz val="10"/>
        <rFont val="Arial"/>
        <family val="2"/>
      </rPr>
      <t xml:space="preserve"> 1600 - 2300</t>
    </r>
  </si>
  <si>
    <r>
      <t>A1</t>
    </r>
    <r>
      <rPr>
        <sz val="10"/>
        <rFont val="Arial"/>
        <family val="2"/>
      </rPr>
      <t xml:space="preserve"> 0845 - 1745</t>
    </r>
  </si>
  <si>
    <t>006</t>
  </si>
  <si>
    <t>A1W</t>
  </si>
  <si>
    <r>
      <t xml:space="preserve">8                   </t>
    </r>
    <r>
      <rPr>
        <sz val="10"/>
        <rFont val="Arial"/>
        <family val="2"/>
      </rPr>
      <t>Steen Hertin</t>
    </r>
  </si>
  <si>
    <t>Uge 8</t>
  </si>
  <si>
    <r>
      <t>7</t>
    </r>
    <r>
      <rPr>
        <sz val="10"/>
        <color indexed="9"/>
        <rFont val="Arial"/>
        <family val="2"/>
      </rPr>
      <t xml:space="preserve"> 1515 - 2315</t>
    </r>
  </si>
  <si>
    <t>007</t>
  </si>
  <si>
    <r>
      <t xml:space="preserve">13 </t>
    </r>
    <r>
      <rPr>
        <sz val="10"/>
        <rFont val="Arial"/>
        <family val="2"/>
      </rPr>
      <t xml:space="preserve">      Maria Christensen</t>
    </r>
  </si>
  <si>
    <t>Uge 13</t>
  </si>
  <si>
    <r>
      <t xml:space="preserve">4                  </t>
    </r>
    <r>
      <rPr>
        <sz val="10"/>
        <rFont val="Arial"/>
        <family val="2"/>
      </rPr>
      <t>Bo Lundvall</t>
    </r>
  </si>
  <si>
    <t>Uge 4</t>
  </si>
  <si>
    <r>
      <t xml:space="preserve">9  </t>
    </r>
    <r>
      <rPr>
        <sz val="10"/>
        <rFont val="Arial"/>
        <family val="2"/>
      </rPr>
      <t xml:space="preserve">                Daniel Ben Jakler</t>
    </r>
  </si>
  <si>
    <t>Uge 9</t>
  </si>
  <si>
    <r>
      <t>4</t>
    </r>
    <r>
      <rPr>
        <sz val="9"/>
        <rFont val="Arial"/>
        <family val="2"/>
      </rPr>
      <t xml:space="preserve"> 0930 - 1730</t>
    </r>
  </si>
  <si>
    <t>004</t>
  </si>
  <si>
    <r>
      <t>14</t>
    </r>
    <r>
      <rPr>
        <sz val="10"/>
        <rFont val="Arial"/>
        <family val="2"/>
      </rPr>
      <t xml:space="preserve">               Sonny Thomsen</t>
    </r>
  </si>
  <si>
    <r>
      <t>Uge 14</t>
    </r>
    <r>
      <rPr>
        <sz val="10"/>
        <rFont val="Arial"/>
        <family val="2"/>
      </rPr>
      <t xml:space="preserve"> </t>
    </r>
  </si>
  <si>
    <r>
      <t>1</t>
    </r>
    <r>
      <rPr>
        <sz val="10"/>
        <rFont val="Arial"/>
        <family val="2"/>
      </rPr>
      <t xml:space="preserve"> 0700 - 1400</t>
    </r>
  </si>
  <si>
    <t>001</t>
  </si>
  <si>
    <r>
      <t>Uge 5</t>
    </r>
    <r>
      <rPr>
        <sz val="10"/>
        <rFont val="Arial"/>
        <family val="2"/>
      </rPr>
      <t xml:space="preserve">               </t>
    </r>
  </si>
  <si>
    <r>
      <t>5</t>
    </r>
    <r>
      <rPr>
        <sz val="10"/>
        <rFont val="Arial"/>
        <family val="2"/>
      </rPr>
      <t xml:space="preserve"> 1600 - 2330</t>
    </r>
  </si>
  <si>
    <t>005</t>
  </si>
  <si>
    <r>
      <t>Uge 10</t>
    </r>
    <r>
      <rPr>
        <sz val="10"/>
        <rFont val="Arial"/>
        <family val="2"/>
      </rPr>
      <t xml:space="preserve"> </t>
    </r>
  </si>
  <si>
    <r>
      <t>3</t>
    </r>
    <r>
      <rPr>
        <sz val="10"/>
        <rFont val="Arial"/>
        <family val="2"/>
      </rPr>
      <t xml:space="preserve"> 0730 - 1530</t>
    </r>
  </si>
  <si>
    <t>003</t>
  </si>
  <si>
    <t xml:space="preserve">Uge 15 </t>
  </si>
  <si>
    <t>Sekvens rækkefølge</t>
  </si>
  <si>
    <t>Fast I-vagt (Informationen)</t>
  </si>
  <si>
    <t>Plankode 8520</t>
  </si>
  <si>
    <r>
      <t>I1</t>
    </r>
    <r>
      <rPr>
        <sz val="10"/>
        <rFont val="Arial"/>
        <family val="2"/>
      </rPr>
      <t xml:space="preserve"> 0700-1445</t>
    </r>
  </si>
  <si>
    <r>
      <t>I1</t>
    </r>
    <r>
      <rPr>
        <sz val="10"/>
        <rFont val="Arial"/>
        <family val="2"/>
      </rPr>
      <t xml:space="preserve"> 0700-1300</t>
    </r>
  </si>
  <si>
    <t>I17</t>
  </si>
  <si>
    <t>I16</t>
  </si>
  <si>
    <r>
      <t>I2</t>
    </r>
    <r>
      <rPr>
        <sz val="10"/>
        <rFont val="Arial"/>
        <family val="2"/>
      </rPr>
      <t xml:space="preserve"> 0745-1530</t>
    </r>
  </si>
  <si>
    <r>
      <t>I2</t>
    </r>
    <r>
      <rPr>
        <sz val="10"/>
        <rFont val="Arial"/>
        <family val="2"/>
      </rPr>
      <t xml:space="preserve"> 0745-1345</t>
    </r>
  </si>
  <si>
    <t>Ulla Belsager Olsen</t>
  </si>
  <si>
    <t>Fast Buffer</t>
  </si>
  <si>
    <t>Plankode 8514</t>
  </si>
  <si>
    <t>0800 - 1600</t>
  </si>
  <si>
    <t>0800 - 1300</t>
  </si>
  <si>
    <t>TR8</t>
  </si>
  <si>
    <t>TR5</t>
  </si>
  <si>
    <t xml:space="preserve">Vagter for Bryggens Gård  </t>
  </si>
  <si>
    <t xml:space="preserve"> 0600 - 1400</t>
  </si>
  <si>
    <r>
      <t xml:space="preserve"> </t>
    </r>
    <r>
      <rPr>
        <sz val="10"/>
        <rFont val="Arial"/>
        <family val="2"/>
      </rPr>
      <t>0600 - 1300</t>
    </r>
  </si>
  <si>
    <t>L80</t>
  </si>
  <si>
    <t>L70</t>
  </si>
  <si>
    <t xml:space="preserve"> 1400 - 2030</t>
  </si>
  <si>
    <t xml:space="preserve"> 1300 - 1915</t>
  </si>
  <si>
    <t>M65</t>
  </si>
  <si>
    <t>M62</t>
  </si>
  <si>
    <t>S75</t>
  </si>
  <si>
    <t>S70</t>
  </si>
  <si>
    <t>1200 - 1900</t>
  </si>
  <si>
    <t>1200 - 1800</t>
  </si>
  <si>
    <t>T70</t>
  </si>
  <si>
    <t>T60</t>
  </si>
  <si>
    <t>Udgået</t>
  </si>
  <si>
    <t>U75</t>
  </si>
  <si>
    <t>U70</t>
  </si>
  <si>
    <t>Buffergruppen</t>
  </si>
  <si>
    <t>B77</t>
  </si>
  <si>
    <t>B60</t>
  </si>
  <si>
    <t>910 John Rasmussen</t>
  </si>
  <si>
    <t>Plankode 8505</t>
  </si>
  <si>
    <t xml:space="preserve">  </t>
  </si>
  <si>
    <t>JR 1</t>
  </si>
  <si>
    <t xml:space="preserve">JR1 </t>
  </si>
  <si>
    <t>JR 2</t>
  </si>
  <si>
    <t>0830 - 1600</t>
  </si>
  <si>
    <t>0900 - 1600</t>
  </si>
  <si>
    <t>Kreds turnus</t>
  </si>
  <si>
    <t>Uge       Plankode 8513</t>
  </si>
  <si>
    <r>
      <t>K1</t>
    </r>
    <r>
      <rPr>
        <sz val="9"/>
        <rFont val="Arial"/>
        <family val="2"/>
      </rPr>
      <t xml:space="preserve"> 0730 - 1600 </t>
    </r>
  </si>
  <si>
    <t>1    K1 vagt</t>
  </si>
  <si>
    <t>K10</t>
  </si>
  <si>
    <r>
      <t>K2</t>
    </r>
    <r>
      <rPr>
        <sz val="9"/>
        <rFont val="Arial"/>
        <family val="2"/>
      </rPr>
      <t xml:space="preserve"> 1700 - 2359</t>
    </r>
  </si>
  <si>
    <r>
      <t>KA</t>
    </r>
    <r>
      <rPr>
        <sz val="9"/>
        <rFont val="Arial"/>
        <family val="2"/>
      </rPr>
      <t xml:space="preserve"> 1100 - 2300</t>
    </r>
  </si>
  <si>
    <t>Kreds, AP m.v.</t>
  </si>
  <si>
    <t>2    K2 vagt</t>
  </si>
  <si>
    <t>Også på helligdage.</t>
  </si>
  <si>
    <t>K20</t>
  </si>
  <si>
    <t>KAW</t>
  </si>
  <si>
    <t>3    K3 vagt</t>
  </si>
  <si>
    <t>tur</t>
  </si>
  <si>
    <r>
      <t>K4</t>
    </r>
    <r>
      <rPr>
        <sz val="9"/>
        <rFont val="Arial"/>
        <family val="2"/>
      </rPr>
      <t xml:space="preserve"> 1630 - 0015 </t>
    </r>
  </si>
  <si>
    <t>4    K4 vagt</t>
  </si>
  <si>
    <t>K40</t>
  </si>
  <si>
    <t>5 Ikke iværksat</t>
  </si>
  <si>
    <t>K50</t>
  </si>
  <si>
    <t>6 Ikke iværksat</t>
  </si>
  <si>
    <t>7 Ikke iværksat</t>
  </si>
  <si>
    <t>BR møder på år</t>
  </si>
  <si>
    <t>AR på år</t>
  </si>
  <si>
    <t>svarer til ca. 49 medarbejdere</t>
  </si>
  <si>
    <t>372 Jørgen Pyrmer</t>
  </si>
  <si>
    <t>Timeopgørelse</t>
  </si>
  <si>
    <t>Timer i 2./3. skift</t>
  </si>
  <si>
    <t>Uge 1</t>
  </si>
  <si>
    <t>Uge 2</t>
  </si>
  <si>
    <t>Uge 3</t>
  </si>
  <si>
    <t>Uge 5</t>
  </si>
  <si>
    <t>Uge 6</t>
  </si>
  <si>
    <t>Total</t>
  </si>
  <si>
    <r>
      <t>3:</t>
    </r>
    <r>
      <rPr>
        <sz val="9"/>
        <rFont val="Arial"/>
        <family val="2"/>
      </rPr>
      <t xml:space="preserve"> 1630 - 2345</t>
    </r>
  </si>
  <si>
    <t>Rondering / alarmudrykning</t>
  </si>
  <si>
    <t>Normtid</t>
  </si>
  <si>
    <t>37 timer x 6 uger =</t>
  </si>
  <si>
    <t>timer</t>
  </si>
  <si>
    <r>
      <t xml:space="preserve">VI </t>
    </r>
    <r>
      <rPr>
        <sz val="10"/>
        <rFont val="Arial"/>
        <family val="2"/>
      </rPr>
      <t>890 Michael Bo Pedersen</t>
    </r>
  </si>
  <si>
    <t xml:space="preserve">2. / 3. Skifts timer =  </t>
  </si>
  <si>
    <t>:37 timer</t>
  </si>
  <si>
    <t xml:space="preserve">timer x 3 (grundet 37/3 reglen) = </t>
  </si>
  <si>
    <t>timer - godtskrivelse på</t>
  </si>
  <si>
    <t>timer =</t>
  </si>
  <si>
    <t>(Skal arbejde)</t>
  </si>
  <si>
    <t>reel tid - normtid</t>
  </si>
  <si>
    <t>Dag tjeneste</t>
  </si>
  <si>
    <t>Timer i 2./3. Skift</t>
  </si>
  <si>
    <r>
      <t xml:space="preserve">1 </t>
    </r>
    <r>
      <rPr>
        <sz val="10"/>
        <rFont val="Arial"/>
        <family val="2"/>
      </rPr>
      <t>0700 - 1400 + helligdage kl. 0700-1400</t>
    </r>
  </si>
  <si>
    <r>
      <t>2</t>
    </r>
    <r>
      <rPr>
        <sz val="10"/>
        <rFont val="Arial"/>
        <family val="2"/>
      </rPr>
      <t>udgået</t>
    </r>
  </si>
  <si>
    <r>
      <t>3</t>
    </r>
    <r>
      <rPr>
        <sz val="10"/>
        <rFont val="Arial"/>
        <family val="2"/>
      </rPr>
      <t xml:space="preserve"> 0730 - 1530 + helligdage kl. 0730-1530</t>
    </r>
  </si>
  <si>
    <r>
      <t>4</t>
    </r>
    <r>
      <rPr>
        <sz val="10"/>
        <rFont val="Arial"/>
        <family val="2"/>
      </rPr>
      <t xml:space="preserve"> 0930 - 1730</t>
    </r>
  </si>
  <si>
    <r>
      <t>A1</t>
    </r>
    <r>
      <rPr>
        <sz val="10"/>
        <rFont val="Arial"/>
        <family val="2"/>
      </rPr>
      <t xml:space="preserve"> 0845 - 1745 Lørdag (Hovedporten), Niels Hemmingsens Gade</t>
    </r>
  </si>
  <si>
    <r>
      <t>2</t>
    </r>
    <r>
      <rPr>
        <sz val="10"/>
        <rFont val="Arial"/>
        <family val="2"/>
      </rPr>
      <t xml:space="preserve">                     Jørn Rasmussen</t>
    </r>
  </si>
  <si>
    <r>
      <t>A2</t>
    </r>
    <r>
      <rPr>
        <sz val="10"/>
        <rFont val="Arial"/>
        <family val="2"/>
      </rPr>
      <t xml:space="preserve"> 0700 - 1900 Lør-, søndage</t>
    </r>
  </si>
  <si>
    <t>Uge 10</t>
  </si>
  <si>
    <r>
      <t>A3</t>
    </r>
    <r>
      <rPr>
        <sz val="10"/>
        <rFont val="Arial"/>
        <family val="2"/>
      </rPr>
      <t xml:space="preserve"> 0700 - 1915 Lør-, søndage</t>
    </r>
  </si>
  <si>
    <t>Uge 11</t>
  </si>
  <si>
    <t>Uge 12</t>
  </si>
  <si>
    <t>Aften tjeneste</t>
  </si>
  <si>
    <r>
      <t xml:space="preserve">5 </t>
    </r>
    <r>
      <rPr>
        <sz val="10"/>
        <rFont val="Arial"/>
        <family val="2"/>
      </rPr>
      <t>1600 - 2330</t>
    </r>
  </si>
  <si>
    <t>Uge 14</t>
  </si>
  <si>
    <r>
      <t>6</t>
    </r>
    <r>
      <rPr>
        <sz val="10"/>
        <rFont val="Arial"/>
        <family val="2"/>
      </rPr>
      <t xml:space="preserve"> Aften 1600-2300 </t>
    </r>
  </si>
  <si>
    <t>Uge 15</t>
  </si>
  <si>
    <r>
      <t>7</t>
    </r>
    <r>
      <rPr>
        <sz val="10"/>
        <color indexed="9"/>
        <rFont val="Arial"/>
        <family val="2"/>
      </rPr>
      <t xml:space="preserve"> Aften 1515 -2315</t>
    </r>
  </si>
  <si>
    <r>
      <t>8</t>
    </r>
    <r>
      <rPr>
        <sz val="10"/>
        <rFont val="Arial"/>
        <family val="2"/>
      </rPr>
      <t xml:space="preserve"> Aften 1600-2300 / fre. 1600 - 2230</t>
    </r>
  </si>
  <si>
    <t>37 timer x 15 uger =</t>
  </si>
  <si>
    <t>Nat tjeneste</t>
  </si>
  <si>
    <r>
      <t>9</t>
    </r>
    <r>
      <rPr>
        <sz val="10"/>
        <rFont val="Arial"/>
        <family val="2"/>
      </rPr>
      <t xml:space="preserve"> Nat 2300 - 0600 </t>
    </r>
  </si>
  <si>
    <r>
      <t>10</t>
    </r>
    <r>
      <rPr>
        <sz val="10"/>
        <rFont val="Arial"/>
        <family val="2"/>
      </rPr>
      <t xml:space="preserve"> Nat 2300 - 0700 </t>
    </r>
  </si>
  <si>
    <r>
      <t>9</t>
    </r>
    <r>
      <rPr>
        <sz val="10"/>
        <rFont val="Arial"/>
        <family val="2"/>
      </rPr>
      <t xml:space="preserve">                   Daniel Ben jakler</t>
    </r>
  </si>
  <si>
    <r>
      <t>11</t>
    </r>
    <r>
      <rPr>
        <sz val="10"/>
        <rFont val="Arial"/>
        <family val="2"/>
      </rPr>
      <t xml:space="preserve"> Nat 2300 - 0715</t>
    </r>
  </si>
  <si>
    <r>
      <t>B1</t>
    </r>
    <r>
      <rPr>
        <sz val="10"/>
        <rFont val="Arial"/>
        <family val="2"/>
      </rPr>
      <t xml:space="preserve"> Nat 1900 - 0600  Lør-, søndage</t>
    </r>
  </si>
  <si>
    <r>
      <t>B2</t>
    </r>
    <r>
      <rPr>
        <sz val="10"/>
        <rFont val="Arial"/>
        <family val="2"/>
      </rPr>
      <t xml:space="preserve"> Nat 1900 - 0700  Lør-, søndage </t>
    </r>
  </si>
  <si>
    <r>
      <t>B3</t>
    </r>
    <r>
      <rPr>
        <sz val="10"/>
        <rFont val="Arial"/>
        <family val="2"/>
      </rPr>
      <t xml:space="preserve"> Nat 1900 - 0715  Lør-, søndage</t>
    </r>
  </si>
  <si>
    <t xml:space="preserve">Turnusvagter Rådhuset i ugerækkefølge </t>
  </si>
  <si>
    <r>
      <t>2</t>
    </r>
    <r>
      <rPr>
        <sz val="10"/>
        <rFont val="Arial"/>
        <family val="2"/>
      </rPr>
      <t xml:space="preserve">                    Jørn Rasmussen</t>
    </r>
  </si>
  <si>
    <t>0700-1445</t>
  </si>
  <si>
    <t>0700-1300</t>
  </si>
  <si>
    <t>Afl. Fast A-portner, P-plads</t>
  </si>
  <si>
    <t>B &amp; U.</t>
  </si>
  <si>
    <t>0745-1530</t>
  </si>
  <si>
    <t>0745-1345</t>
  </si>
  <si>
    <t>Vagter for Bryggens Gård  (Nedlagt 31/3 - 2005)</t>
  </si>
  <si>
    <t>timer *</t>
  </si>
  <si>
    <t>uger =</t>
  </si>
  <si>
    <t>Timer</t>
  </si>
  <si>
    <t>Åbne Njalsgade kl. 600 - 630</t>
  </si>
  <si>
    <t>2. / 3. Skifts timer:</t>
  </si>
  <si>
    <t>Lukke Bryggen &amp; Njalsgade</t>
  </si>
  <si>
    <t>: 37 =</t>
  </si>
  <si>
    <t>0,88 x 3 (grundet 37/3 reglen) = 2,64 timer</t>
  </si>
  <si>
    <t>74 timer - 2,64 = 71,36 (skal arbejde)</t>
  </si>
  <si>
    <t>71,25 timer - 71,36 timer = - ,11</t>
  </si>
  <si>
    <t>37 timer x 3 uger = 111 timer</t>
  </si>
  <si>
    <t>2. / 3. Skifts timer = 34</t>
  </si>
  <si>
    <t>34 : 37 timer = 0,92  timer</t>
  </si>
  <si>
    <t>0,92 timer x 3 (grundet 37/3 reglen) = 2,76 timer</t>
  </si>
  <si>
    <t>111 timer - godtskrivelse på 2,76 timer = 108,24 timer</t>
  </si>
  <si>
    <r>
      <t>108 timer - 108,24 timer = -0,24</t>
    </r>
    <r>
      <rPr>
        <u/>
        <sz val="10"/>
        <rFont val="Arial"/>
        <family val="2"/>
      </rPr>
      <t xml:space="preserve"> time</t>
    </r>
  </si>
  <si>
    <t>Vagter for Kredse</t>
  </si>
  <si>
    <t>Uge      Plankode 8513</t>
  </si>
  <si>
    <r>
      <t>K1 0815</t>
    </r>
    <r>
      <rPr>
        <sz val="9"/>
        <rFont val="Arial"/>
        <family val="2"/>
      </rPr>
      <t xml:space="preserve"> - 1545</t>
    </r>
  </si>
  <si>
    <t>K1 0815 - 1545</t>
  </si>
  <si>
    <t>K1 0900 - 1830</t>
  </si>
  <si>
    <t>K1 0815-1315</t>
  </si>
  <si>
    <t>K2 1500 – 0015</t>
  </si>
  <si>
    <t>K2 1400 – 0015</t>
  </si>
  <si>
    <r>
      <t>KA</t>
    </r>
    <r>
      <rPr>
        <sz val="9"/>
        <rFont val="Arial"/>
        <family val="2"/>
      </rPr>
      <t xml:space="preserve"> 1100 - 2130</t>
    </r>
  </si>
  <si>
    <t>x 3 (grundet 37/3 reglen) =</t>
  </si>
  <si>
    <t>time (godtskrivelse)</t>
  </si>
  <si>
    <t>Godtskrivelse =</t>
  </si>
  <si>
    <t xml:space="preserve"> (Skal arbejde)</t>
  </si>
  <si>
    <t>Vagtplanstimer</t>
  </si>
  <si>
    <t>Minus godtskrivelse</t>
  </si>
  <si>
    <t>=</t>
  </si>
  <si>
    <t>Vagter for Den Hvide Kødby</t>
  </si>
  <si>
    <r>
      <t>H1</t>
    </r>
    <r>
      <rPr>
        <sz val="9"/>
        <rFont val="Arial"/>
        <family val="2"/>
      </rPr>
      <t xml:space="preserve"> 1800 - 0600</t>
    </r>
  </si>
  <si>
    <r>
      <t>HB</t>
    </r>
    <r>
      <rPr>
        <sz val="9"/>
        <rFont val="Arial"/>
        <family val="2"/>
      </rPr>
      <t xml:space="preserve"> 2400 - 1200</t>
    </r>
  </si>
  <si>
    <r>
      <t>HD</t>
    </r>
    <r>
      <rPr>
        <sz val="9"/>
        <rFont val="Arial"/>
        <family val="2"/>
      </rPr>
      <t xml:space="preserve"> 2200 - 0600</t>
    </r>
  </si>
  <si>
    <t>1      Uge 1</t>
  </si>
  <si>
    <t>2      Uge 2</t>
  </si>
  <si>
    <r>
      <t>HA</t>
    </r>
    <r>
      <rPr>
        <sz val="9"/>
        <rFont val="Arial"/>
        <family val="2"/>
      </rPr>
      <t xml:space="preserve"> 1200 - 2400</t>
    </r>
  </si>
  <si>
    <r>
      <t>HC</t>
    </r>
    <r>
      <rPr>
        <sz val="9"/>
        <rFont val="Arial"/>
        <family val="2"/>
      </rPr>
      <t xml:space="preserve"> 1200 - 2200</t>
    </r>
  </si>
  <si>
    <t>3      Uge 3</t>
  </si>
  <si>
    <r>
      <t>H2</t>
    </r>
    <r>
      <rPr>
        <sz val="10"/>
        <rFont val="Arial"/>
        <family val="2"/>
      </rPr>
      <t xml:space="preserve"> 0900 - 1545</t>
    </r>
  </si>
  <si>
    <r>
      <t>H3</t>
    </r>
    <r>
      <rPr>
        <sz val="10"/>
        <rFont val="Arial"/>
        <family val="2"/>
      </rPr>
      <t xml:space="preserve"> 0800 - 1545</t>
    </r>
  </si>
  <si>
    <r>
      <t>H4</t>
    </r>
    <r>
      <rPr>
        <sz val="10"/>
        <rFont val="Arial"/>
        <family val="2"/>
      </rPr>
      <t xml:space="preserve"> 0800 - 1530</t>
    </r>
  </si>
  <si>
    <t>4      Uge 4</t>
  </si>
  <si>
    <t>Bollevagter til helligdage</t>
  </si>
  <si>
    <t>Snit pr. måned</t>
  </si>
  <si>
    <t>svarer til ca. 47 medarbejdere</t>
  </si>
  <si>
    <t>Rådhusservice</t>
  </si>
  <si>
    <t xml:space="preserve">Plankode  </t>
  </si>
  <si>
    <t>0730 - 1515</t>
  </si>
  <si>
    <t>0730 - 1330</t>
  </si>
  <si>
    <t>320 Mikael M. Andersen</t>
  </si>
  <si>
    <t>168 Kurt N. V. Hansen</t>
  </si>
  <si>
    <t>643 Bjarne Wagner-Larsen</t>
  </si>
  <si>
    <t>309 Birthe Pedersen</t>
  </si>
  <si>
    <t>360 Anders Henriksen</t>
  </si>
  <si>
    <t xml:space="preserve">323 Inge Hansen </t>
  </si>
  <si>
    <t>364 Henning Haaning</t>
  </si>
  <si>
    <t>614 Arne Berthold</t>
  </si>
  <si>
    <t>Birgith Melsted Jensen</t>
  </si>
  <si>
    <t>Majbritt Jensen</t>
  </si>
  <si>
    <t>Ruth Nissen</t>
  </si>
  <si>
    <r>
      <t>K2 1600</t>
    </r>
    <r>
      <rPr>
        <sz val="9"/>
        <rFont val="Arial"/>
        <family val="2"/>
      </rPr>
      <t xml:space="preserve"> - 0030</t>
    </r>
  </si>
  <si>
    <r>
      <t>K1</t>
    </r>
    <r>
      <rPr>
        <sz val="9"/>
        <rFont val="Arial"/>
        <family val="2"/>
      </rPr>
      <t xml:space="preserve"> 0800 - 1615</t>
    </r>
  </si>
  <si>
    <r>
      <t>K2</t>
    </r>
    <r>
      <rPr>
        <sz val="9"/>
        <rFont val="Arial"/>
        <family val="2"/>
      </rPr>
      <t xml:space="preserve"> 1600 - 0030</t>
    </r>
  </si>
  <si>
    <r>
      <t>KA</t>
    </r>
    <r>
      <rPr>
        <sz val="9"/>
        <rFont val="Arial"/>
        <family val="2"/>
      </rPr>
      <t xml:space="preserve"> 1100 - 2200</t>
    </r>
  </si>
  <si>
    <r>
      <t>K4</t>
    </r>
    <r>
      <rPr>
        <sz val="9"/>
        <rFont val="Arial"/>
        <family val="2"/>
      </rPr>
      <t xml:space="preserve"> 1500 - 0030</t>
    </r>
  </si>
  <si>
    <t>Farvekoder</t>
  </si>
  <si>
    <t>Afspadsering</t>
  </si>
  <si>
    <t>Syg</t>
  </si>
  <si>
    <t>Ekstravagt på overtid</t>
  </si>
  <si>
    <t>Ferie</t>
  </si>
  <si>
    <t>Feriefridag</t>
  </si>
  <si>
    <t>Omsorgsdag</t>
  </si>
  <si>
    <t>Kursus</t>
  </si>
  <si>
    <t>Senior dag</t>
  </si>
  <si>
    <r>
      <t>F</t>
    </r>
    <r>
      <rPr>
        <sz val="9"/>
        <rFont val="Arial"/>
        <family val="2"/>
      </rPr>
      <t>: Turnusfri</t>
    </r>
  </si>
  <si>
    <r>
      <t>Orlov</t>
    </r>
    <r>
      <rPr>
        <sz val="9"/>
        <rFont val="Arial"/>
        <family val="2"/>
      </rPr>
      <t>: Grøn m/streg</t>
    </r>
  </si>
  <si>
    <r>
      <t>Barsel</t>
    </r>
    <r>
      <rPr>
        <sz val="9"/>
        <rFont val="Arial"/>
        <family val="2"/>
      </rPr>
      <t xml:space="preserve">: Rød m/streg </t>
    </r>
  </si>
  <si>
    <r>
      <t>l</t>
    </r>
    <r>
      <rPr>
        <sz val="9"/>
        <rFont val="Arial"/>
        <family val="2"/>
      </rPr>
      <t>: Daglig tjeneste</t>
    </r>
  </si>
  <si>
    <t xml:space="preserve">      :Omlægning af vagt (Planafvigelse)</t>
  </si>
  <si>
    <t>Barns 1. Sygedag</t>
  </si>
  <si>
    <r>
      <t>TJ:</t>
    </r>
    <r>
      <rPr>
        <sz val="9"/>
        <rFont val="Arial"/>
        <family val="2"/>
      </rPr>
      <t xml:space="preserve"> Tjenestefri </t>
    </r>
  </si>
  <si>
    <t>Oplæring</t>
  </si>
  <si>
    <t>Afdeling 4200 Afsnit 4340</t>
  </si>
  <si>
    <r>
      <t>1</t>
    </r>
    <r>
      <rPr>
        <sz val="11"/>
        <rFont val="Arial"/>
        <family val="2"/>
      </rPr>
      <t>: Vagthavende kl. 0630 - 1445</t>
    </r>
  </si>
  <si>
    <r>
      <t>2</t>
    </r>
    <r>
      <rPr>
        <sz val="11"/>
        <rFont val="Arial"/>
        <family val="2"/>
      </rPr>
      <t>: Vagthavende kl. 1430 - 2230</t>
    </r>
  </si>
  <si>
    <r>
      <t>3</t>
    </r>
    <r>
      <rPr>
        <sz val="11"/>
        <rFont val="Arial"/>
        <family val="2"/>
      </rPr>
      <t>: Patruljeleder kl. 1530-2245</t>
    </r>
  </si>
  <si>
    <r>
      <t>4</t>
    </r>
    <r>
      <rPr>
        <sz val="11"/>
        <rFont val="Arial"/>
        <family val="2"/>
      </rPr>
      <t>: Vagthavende kl. 2230 - 0645</t>
    </r>
  </si>
  <si>
    <r>
      <t>A</t>
    </r>
    <r>
      <rPr>
        <sz val="11"/>
        <rFont val="Arial"/>
        <family val="2"/>
      </rPr>
      <t>: Vagthavende kl. 0630 - 1845 (lør-, søndage)</t>
    </r>
  </si>
  <si>
    <r>
      <t>B</t>
    </r>
    <r>
      <rPr>
        <sz val="11"/>
        <rFont val="Arial"/>
        <family val="2"/>
      </rPr>
      <t>: Vagthavende kl. 1830 - 0645 (lør-, søndage)</t>
    </r>
  </si>
  <si>
    <r>
      <t>l:</t>
    </r>
    <r>
      <rPr>
        <sz val="11"/>
        <rFont val="Arial"/>
        <family val="2"/>
      </rPr>
      <t xml:space="preserve"> Man. - tor. Kl. 0815 - 1600, fre.Kl 0815 - 1415 </t>
    </r>
  </si>
  <si>
    <t>Nøgle uge nr.:</t>
  </si>
  <si>
    <t>Plan</t>
  </si>
  <si>
    <t>Navn</t>
  </si>
  <si>
    <t>Rest      FE</t>
  </si>
  <si>
    <t>Rest    FF</t>
  </si>
  <si>
    <t>Turnusformænd</t>
  </si>
  <si>
    <r>
      <t xml:space="preserve">I  </t>
    </r>
    <r>
      <rPr>
        <sz val="9"/>
        <rFont val="Arial"/>
        <family val="2"/>
      </rPr>
      <t>902 Erik Andersen</t>
    </r>
  </si>
  <si>
    <t>F</t>
  </si>
  <si>
    <t>B</t>
  </si>
  <si>
    <r>
      <t xml:space="preserve">II  </t>
    </r>
    <r>
      <rPr>
        <sz val="9"/>
        <rFont val="Arial"/>
        <family val="2"/>
      </rPr>
      <t>358 Per Olsen</t>
    </r>
  </si>
  <si>
    <t>A</t>
  </si>
  <si>
    <t>l</t>
  </si>
  <si>
    <r>
      <t xml:space="preserve">IV  </t>
    </r>
    <r>
      <rPr>
        <sz val="9"/>
        <rFont val="Arial"/>
        <family val="2"/>
      </rPr>
      <t>664 Dennis Rise</t>
    </r>
  </si>
  <si>
    <r>
      <t>V</t>
    </r>
    <r>
      <rPr>
        <sz val="9"/>
        <rFont val="Arial"/>
        <family val="2"/>
      </rPr>
      <t xml:space="preserve"> 357 Jesper Simonsen</t>
    </r>
  </si>
  <si>
    <r>
      <t xml:space="preserve">VI </t>
    </r>
    <r>
      <rPr>
        <sz val="9"/>
        <rFont val="Arial"/>
        <family val="2"/>
      </rPr>
      <t>890 Michael Bo Pedersen</t>
    </r>
  </si>
  <si>
    <t>Formændsafløsere</t>
  </si>
  <si>
    <t>%</t>
  </si>
  <si>
    <t>I</t>
  </si>
  <si>
    <t>992 Jim H. Larsen</t>
  </si>
  <si>
    <t>l)</t>
  </si>
  <si>
    <t>Vagter for turnus Rådhuset Plankode 8516</t>
  </si>
  <si>
    <r>
      <t xml:space="preserve">1  </t>
    </r>
    <r>
      <rPr>
        <sz val="10"/>
        <rFont val="Arial"/>
        <family val="2"/>
      </rPr>
      <t>0700 - 1400 Også på helligdage</t>
    </r>
  </si>
  <si>
    <r>
      <t xml:space="preserve">3 </t>
    </r>
    <r>
      <rPr>
        <sz val="10"/>
        <rFont val="Arial"/>
        <family val="2"/>
      </rPr>
      <t xml:space="preserve"> 0730 - 1530 Også på helligdage</t>
    </r>
  </si>
  <si>
    <r>
      <t xml:space="preserve">4 </t>
    </r>
    <r>
      <rPr>
        <sz val="10"/>
        <rFont val="Arial"/>
        <family val="2"/>
      </rPr>
      <t xml:space="preserve"> 0930 - 1730</t>
    </r>
    <r>
      <rPr>
        <sz val="9"/>
        <rFont val="Arial"/>
        <family val="2"/>
      </rPr>
      <t xml:space="preserve"> (8-16 på H.dage)</t>
    </r>
  </si>
  <si>
    <r>
      <t xml:space="preserve">5 </t>
    </r>
    <r>
      <rPr>
        <sz val="10"/>
        <rFont val="Arial"/>
        <family val="2"/>
      </rPr>
      <t xml:space="preserve"> 1430 - 2200 (-helligdage)</t>
    </r>
  </si>
  <si>
    <r>
      <t xml:space="preserve">6  </t>
    </r>
    <r>
      <rPr>
        <sz val="10"/>
        <rFont val="Arial"/>
        <family val="2"/>
      </rPr>
      <t>Aften</t>
    </r>
    <r>
      <rPr>
        <b/>
        <sz val="10"/>
        <rFont val="Arial"/>
        <family val="2"/>
      </rPr>
      <t xml:space="preserve"> </t>
    </r>
    <r>
      <rPr>
        <sz val="10"/>
        <rFont val="Arial"/>
        <family val="2"/>
      </rPr>
      <t xml:space="preserve">1600 - 2300 </t>
    </r>
  </si>
  <si>
    <r>
      <t xml:space="preserve">7 </t>
    </r>
    <r>
      <rPr>
        <sz val="10"/>
        <rFont val="Arial"/>
        <family val="2"/>
      </rPr>
      <t xml:space="preserve"> Aften 1515 - 2315</t>
    </r>
  </si>
  <si>
    <r>
      <t xml:space="preserve">8 </t>
    </r>
    <r>
      <rPr>
        <sz val="10"/>
        <rFont val="Arial"/>
        <family val="2"/>
      </rPr>
      <t xml:space="preserve"> Aften 1600-2300 /fredag 1600-2230</t>
    </r>
  </si>
  <si>
    <r>
      <t xml:space="preserve">9 </t>
    </r>
    <r>
      <rPr>
        <sz val="10"/>
        <rFont val="Arial"/>
        <family val="2"/>
      </rPr>
      <t xml:space="preserve"> Nat 2300 - 0600  </t>
    </r>
  </si>
  <si>
    <r>
      <t xml:space="preserve">10 </t>
    </r>
    <r>
      <rPr>
        <sz val="10"/>
        <rFont val="Arial"/>
        <family val="2"/>
      </rPr>
      <t xml:space="preserve"> Nat 2300 - 0700</t>
    </r>
  </si>
  <si>
    <r>
      <t xml:space="preserve">11 </t>
    </r>
    <r>
      <rPr>
        <sz val="10"/>
        <rFont val="Arial"/>
        <family val="2"/>
      </rPr>
      <t xml:space="preserve"> Nat 2300 - 0715</t>
    </r>
  </si>
  <si>
    <r>
      <t>A1</t>
    </r>
    <r>
      <rPr>
        <sz val="10"/>
        <rFont val="Arial"/>
        <family val="2"/>
      </rPr>
      <t xml:space="preserve"> Dag 0845 - 1745 Lørdag </t>
    </r>
  </si>
  <si>
    <r>
      <t>A2</t>
    </r>
    <r>
      <rPr>
        <sz val="10"/>
        <rFont val="Arial"/>
        <family val="2"/>
      </rPr>
      <t xml:space="preserve"> Dag 0700 - 1900 Lørdag &amp; søndag</t>
    </r>
  </si>
  <si>
    <r>
      <t>A3</t>
    </r>
    <r>
      <rPr>
        <sz val="10"/>
        <rFont val="Arial"/>
        <family val="2"/>
      </rPr>
      <t xml:space="preserve"> Dag 0700 - 1915 Lørdag &amp; søndag</t>
    </r>
  </si>
  <si>
    <r>
      <t>B1</t>
    </r>
    <r>
      <rPr>
        <sz val="10"/>
        <rFont val="Arial"/>
        <family val="2"/>
      </rPr>
      <t xml:space="preserve"> Nat 1900 - 0600  Lørdag &amp; søndag</t>
    </r>
  </si>
  <si>
    <r>
      <t>B2</t>
    </r>
    <r>
      <rPr>
        <sz val="10"/>
        <rFont val="Arial"/>
        <family val="2"/>
      </rPr>
      <t xml:space="preserve"> Nat 1900 - 0700  Lørdag &amp; søndag </t>
    </r>
  </si>
  <si>
    <r>
      <t>B3</t>
    </r>
    <r>
      <rPr>
        <sz val="10"/>
        <rFont val="Arial"/>
        <family val="2"/>
      </rPr>
      <t xml:space="preserve"> Nat 1900 - 0715  Lørdag &amp; søndag</t>
    </r>
  </si>
  <si>
    <t>969 Anders Hintze</t>
  </si>
  <si>
    <t>A1</t>
  </si>
  <si>
    <t>A2</t>
  </si>
  <si>
    <t>B2</t>
  </si>
  <si>
    <t>A3</t>
  </si>
  <si>
    <t>418 Haydee Larsen</t>
  </si>
  <si>
    <t>B3</t>
  </si>
  <si>
    <t>420 Carsten Dahl</t>
  </si>
  <si>
    <t>B1</t>
  </si>
  <si>
    <t>402 Ole Albertsen</t>
  </si>
  <si>
    <t>5)</t>
  </si>
  <si>
    <t>308 Kim B. T. Pedersen</t>
  </si>
  <si>
    <t>408 Carsten Brynald</t>
  </si>
  <si>
    <t>860 Jørn Rasmussen</t>
  </si>
  <si>
    <t>386 Birthe Andersen Nexø</t>
  </si>
  <si>
    <t>961 Sonny Ingerslev</t>
  </si>
  <si>
    <t>393 Thomas Holm</t>
  </si>
  <si>
    <t>411  Niels C. Frederiksen</t>
  </si>
  <si>
    <t>387 Bo Iversen</t>
  </si>
  <si>
    <t>421 Niels Bo Jensen</t>
  </si>
  <si>
    <t xml:space="preserve"> 394 Gorm Wilhjelm</t>
  </si>
  <si>
    <t>313 Erik M. Nielsen</t>
  </si>
  <si>
    <t>Informationen</t>
  </si>
  <si>
    <t>i1 Plankode 8520</t>
  </si>
  <si>
    <t>0700 - 1445</t>
  </si>
  <si>
    <t>i2 Plankode 8521</t>
  </si>
  <si>
    <t>0745 - 1345</t>
  </si>
  <si>
    <t>824 Anders Villadsen</t>
  </si>
  <si>
    <t>i1</t>
  </si>
  <si>
    <t>i2</t>
  </si>
  <si>
    <t>Kredse</t>
  </si>
  <si>
    <t>Plankode 8513</t>
  </si>
  <si>
    <r>
      <t>K1</t>
    </r>
    <r>
      <rPr>
        <sz val="10"/>
        <rFont val="Arial"/>
        <family val="2"/>
      </rPr>
      <t xml:space="preserve"> 0815 – 1545</t>
    </r>
  </si>
  <si>
    <r>
      <t>K1</t>
    </r>
    <r>
      <rPr>
        <sz val="10"/>
        <rFont val="Arial"/>
        <family val="2"/>
      </rPr>
      <t xml:space="preserve"> 0900 – 1830</t>
    </r>
  </si>
  <si>
    <r>
      <t>K1</t>
    </r>
    <r>
      <rPr>
        <sz val="10"/>
        <rFont val="Arial"/>
        <family val="2"/>
      </rPr>
      <t xml:space="preserve"> 0815 – 1315</t>
    </r>
  </si>
  <si>
    <r>
      <t>K2</t>
    </r>
    <r>
      <rPr>
        <sz val="10"/>
        <rFont val="Arial"/>
        <family val="2"/>
      </rPr>
      <t xml:space="preserve"> 1500 – 0015</t>
    </r>
  </si>
  <si>
    <r>
      <t>K5</t>
    </r>
    <r>
      <rPr>
        <sz val="10"/>
        <rFont val="Arial"/>
        <family val="2"/>
      </rPr>
      <t xml:space="preserve"> 1500 – 0015</t>
    </r>
  </si>
  <si>
    <r>
      <t>K5</t>
    </r>
    <r>
      <rPr>
        <sz val="10"/>
        <rFont val="Arial"/>
        <family val="2"/>
      </rPr>
      <t xml:space="preserve"> 1400 – 0015</t>
    </r>
  </si>
  <si>
    <r>
      <t xml:space="preserve">KA </t>
    </r>
    <r>
      <rPr>
        <sz val="10"/>
        <rFont val="Arial"/>
        <family val="2"/>
      </rPr>
      <t>1100-2130</t>
    </r>
  </si>
  <si>
    <r>
      <t>KA</t>
    </r>
    <r>
      <rPr>
        <sz val="10"/>
        <rFont val="Arial"/>
        <family val="2"/>
      </rPr>
      <t xml:space="preserve"> 1100 – 2130</t>
    </r>
  </si>
  <si>
    <t>993 Steen Hertin</t>
  </si>
  <si>
    <t>K1</t>
  </si>
  <si>
    <t>K2</t>
  </si>
  <si>
    <t>K5</t>
  </si>
  <si>
    <t>KA</t>
  </si>
  <si>
    <t>405 Camilla Benvil</t>
  </si>
  <si>
    <t>K1)</t>
  </si>
  <si>
    <t>427 Allan Pedersen</t>
  </si>
  <si>
    <t>Ny turnus</t>
  </si>
  <si>
    <r>
      <rPr>
        <b/>
        <sz val="10"/>
        <rFont val="Arial"/>
        <family val="2"/>
      </rPr>
      <t>K3</t>
    </r>
    <r>
      <rPr>
        <b/>
        <sz val="9"/>
        <rFont val="Arial"/>
        <family val="2"/>
      </rPr>
      <t xml:space="preserve"> </t>
    </r>
    <r>
      <rPr>
        <sz val="9"/>
        <rFont val="Arial"/>
        <family val="2"/>
      </rPr>
      <t>0830-1545</t>
    </r>
  </si>
  <si>
    <t>K3</t>
  </si>
  <si>
    <t>0830-1545</t>
  </si>
  <si>
    <r>
      <rPr>
        <b/>
        <sz val="10"/>
        <rFont val="Arial"/>
        <family val="2"/>
      </rPr>
      <t>K3</t>
    </r>
    <r>
      <rPr>
        <b/>
        <sz val="9"/>
        <rFont val="Arial"/>
        <family val="2"/>
      </rPr>
      <t xml:space="preserve"> </t>
    </r>
    <r>
      <rPr>
        <sz val="9"/>
        <rFont val="Arial"/>
        <family val="2"/>
      </rPr>
      <t>0900-1830</t>
    </r>
  </si>
  <si>
    <r>
      <rPr>
        <b/>
        <sz val="10"/>
        <rFont val="Arial"/>
        <family val="2"/>
      </rPr>
      <t>K3</t>
    </r>
    <r>
      <rPr>
        <b/>
        <sz val="9"/>
        <rFont val="Arial"/>
        <family val="2"/>
      </rPr>
      <t xml:space="preserve"> </t>
    </r>
    <r>
      <rPr>
        <sz val="9"/>
        <rFont val="Arial"/>
        <family val="2"/>
      </rPr>
      <t>0830-1315</t>
    </r>
  </si>
  <si>
    <r>
      <rPr>
        <b/>
        <sz val="10"/>
        <rFont val="Arial"/>
        <family val="2"/>
      </rPr>
      <t>K4</t>
    </r>
    <r>
      <rPr>
        <b/>
        <sz val="9"/>
        <rFont val="Arial"/>
        <family val="2"/>
      </rPr>
      <t xml:space="preserve"> </t>
    </r>
    <r>
      <rPr>
        <sz val="9"/>
        <rFont val="Arial"/>
        <family val="2"/>
      </rPr>
      <t>0830-1545</t>
    </r>
  </si>
  <si>
    <r>
      <rPr>
        <b/>
        <sz val="10"/>
        <rFont val="Arial"/>
        <family val="2"/>
      </rPr>
      <t>K4</t>
    </r>
    <r>
      <rPr>
        <sz val="9"/>
        <rFont val="Arial"/>
        <family val="2"/>
      </rPr>
      <t xml:space="preserve"> 0900-1830</t>
    </r>
  </si>
  <si>
    <r>
      <t>K4</t>
    </r>
    <r>
      <rPr>
        <sz val="9"/>
        <rFont val="Arial"/>
        <family val="2"/>
      </rPr>
      <t xml:space="preserve"> 0830-1415</t>
    </r>
    <r>
      <rPr>
        <sz val="10"/>
        <rFont val="Arial"/>
        <family val="2"/>
      </rPr>
      <t xml:space="preserve"> </t>
    </r>
  </si>
  <si>
    <r>
      <rPr>
        <b/>
        <sz val="10"/>
        <rFont val="Arial"/>
        <family val="2"/>
      </rPr>
      <t>K5</t>
    </r>
    <r>
      <rPr>
        <sz val="9"/>
        <rFont val="Arial"/>
        <family val="2"/>
      </rPr>
      <t xml:space="preserve"> 1630-2345</t>
    </r>
  </si>
  <si>
    <r>
      <rPr>
        <b/>
        <sz val="10"/>
        <rFont val="Arial"/>
        <family val="2"/>
      </rPr>
      <t>K5</t>
    </r>
    <r>
      <rPr>
        <b/>
        <sz val="9"/>
        <rFont val="Arial"/>
        <family val="2"/>
      </rPr>
      <t xml:space="preserve"> </t>
    </r>
    <r>
      <rPr>
        <sz val="9"/>
        <rFont val="Arial"/>
        <family val="2"/>
      </rPr>
      <t>1630-2345</t>
    </r>
    <r>
      <rPr>
        <sz val="10"/>
        <rFont val="Arial"/>
        <family val="2"/>
      </rPr>
      <t xml:space="preserve"> </t>
    </r>
  </si>
  <si>
    <r>
      <rPr>
        <b/>
        <sz val="10"/>
        <rFont val="Arial"/>
        <family val="2"/>
      </rPr>
      <t>K5</t>
    </r>
    <r>
      <rPr>
        <b/>
        <sz val="9"/>
        <rFont val="Arial"/>
        <family val="2"/>
      </rPr>
      <t xml:space="preserve"> </t>
    </r>
    <r>
      <rPr>
        <sz val="9"/>
        <rFont val="Arial"/>
        <family val="2"/>
      </rPr>
      <t>1630-2345</t>
    </r>
  </si>
  <si>
    <r>
      <t xml:space="preserve">K2 </t>
    </r>
    <r>
      <rPr>
        <sz val="9"/>
        <rFont val="Arial"/>
        <family val="2"/>
      </rPr>
      <t>1630-2345</t>
    </r>
  </si>
  <si>
    <t xml:space="preserve">433 Simon Botfeldt </t>
  </si>
  <si>
    <t>K4</t>
  </si>
  <si>
    <t>380 Ali Capcan</t>
  </si>
  <si>
    <t>436 Jakob Nørgård Madsen</t>
  </si>
  <si>
    <t>Rundviser</t>
  </si>
  <si>
    <t>Plankode 8506</t>
  </si>
  <si>
    <t>0800-1500</t>
  </si>
  <si>
    <t>0800-1400</t>
  </si>
  <si>
    <t>0800-1600</t>
  </si>
  <si>
    <t>0900-1400</t>
  </si>
  <si>
    <t>316 Marianne Rasmussen</t>
  </si>
  <si>
    <t>R3</t>
  </si>
  <si>
    <t>R1</t>
  </si>
  <si>
    <t>R2</t>
  </si>
  <si>
    <t>FOA</t>
  </si>
  <si>
    <t>370 Kristoffer Sahlholdt</t>
  </si>
  <si>
    <t>Socialcenter København</t>
  </si>
  <si>
    <t>Plankode</t>
  </si>
  <si>
    <t>Griffen</t>
  </si>
  <si>
    <t>C</t>
  </si>
  <si>
    <t>815-1540</t>
  </si>
  <si>
    <t>900-1845</t>
  </si>
  <si>
    <t>815-1315</t>
  </si>
  <si>
    <t>Ørnevej</t>
  </si>
  <si>
    <t>D</t>
  </si>
  <si>
    <t>Brønshøjvej</t>
  </si>
  <si>
    <t>E</t>
  </si>
  <si>
    <t>Remisevej</t>
  </si>
  <si>
    <t>G</t>
  </si>
  <si>
    <t>Spaniensgade</t>
  </si>
  <si>
    <t>H</t>
  </si>
  <si>
    <t>Valdemarsgade</t>
  </si>
  <si>
    <t>K</t>
  </si>
  <si>
    <t>Matthæusgade</t>
  </si>
  <si>
    <t>L</t>
  </si>
  <si>
    <t>M</t>
  </si>
  <si>
    <t>Svanevej</t>
  </si>
  <si>
    <t>N</t>
  </si>
  <si>
    <t>Gl. Køge landevej</t>
  </si>
  <si>
    <t>O</t>
  </si>
  <si>
    <t>Svendborggade</t>
  </si>
  <si>
    <t>P</t>
  </si>
  <si>
    <t>439 Erik H. Hansen</t>
  </si>
  <si>
    <t>691 Flemming Dam</t>
  </si>
  <si>
    <t>438 Frank H. Christensen</t>
  </si>
  <si>
    <t xml:space="preserve">395 Lars Lionette </t>
  </si>
  <si>
    <t>E)</t>
  </si>
  <si>
    <t>396 Wojciech Jagielski</t>
  </si>
  <si>
    <t>G)</t>
  </si>
  <si>
    <t>437 Henrik Rasmussen</t>
  </si>
  <si>
    <t xml:space="preserve">839 Johnny Karlsson </t>
  </si>
  <si>
    <t>940 Helle B. Kristensen</t>
  </si>
  <si>
    <t>414 Steffen Grube</t>
  </si>
  <si>
    <t>M)</t>
  </si>
  <si>
    <t>682 Carl-Erik Holm</t>
  </si>
  <si>
    <t>322 Henning Larsen</t>
  </si>
  <si>
    <t>TJ</t>
  </si>
  <si>
    <t>982 Frank Falkenskov</t>
  </si>
  <si>
    <t>KS</t>
  </si>
  <si>
    <t>Afdeling 4310/4314</t>
  </si>
  <si>
    <t>Camilla Domine</t>
  </si>
  <si>
    <t>Kim Almind</t>
  </si>
  <si>
    <t>Ea Nielsen</t>
  </si>
  <si>
    <t>Grace B. Andersen</t>
  </si>
  <si>
    <t>Torben Dyrn</t>
  </si>
  <si>
    <t>Lone Thomsen</t>
  </si>
  <si>
    <t>443 Mark Kruse</t>
  </si>
  <si>
    <t>HNG</t>
  </si>
  <si>
    <t>398 Jørgen Kromann</t>
  </si>
  <si>
    <t>869 Claus Pedersen</t>
  </si>
  <si>
    <t>954 Benny Jørgensen</t>
  </si>
  <si>
    <t>440 Jan Buch Ørum-Pedersen</t>
  </si>
  <si>
    <t>Buffer gruppen</t>
  </si>
  <si>
    <t>Normal daglig tjeneste</t>
  </si>
  <si>
    <t xml:space="preserve">PT: Postafdeligen  </t>
  </si>
  <si>
    <t>413 Jørgen Gydesen</t>
  </si>
  <si>
    <t>424 Martin Hvorslev</t>
  </si>
  <si>
    <t>A2)</t>
  </si>
  <si>
    <t>431 Jimmy Hildebrandt</t>
  </si>
  <si>
    <t>435 Per Olsson</t>
  </si>
  <si>
    <t>I2</t>
  </si>
  <si>
    <t>i2)</t>
  </si>
  <si>
    <t xml:space="preserve">441 Dorthe Højbak </t>
  </si>
  <si>
    <t>442 Kim Aabroe</t>
  </si>
  <si>
    <t>Morten Helbrink</t>
  </si>
  <si>
    <t>444 Lara Andersen</t>
  </si>
  <si>
    <t>O)</t>
  </si>
  <si>
    <t>Pratik og vikarer</t>
  </si>
  <si>
    <t>Christian Rednic</t>
  </si>
  <si>
    <t>Dimitrios Kostis</t>
  </si>
  <si>
    <t>Jeanett Røjbæk</t>
  </si>
  <si>
    <t>Administrations og Arrangementsafdelingen</t>
  </si>
  <si>
    <t xml:space="preserve">Plankoder </t>
  </si>
  <si>
    <t>0600 - 1115</t>
  </si>
  <si>
    <t>0600  - 1200</t>
  </si>
  <si>
    <t>Forskudt vagt</t>
  </si>
  <si>
    <r>
      <t xml:space="preserve">19: </t>
    </r>
    <r>
      <rPr>
        <sz val="10"/>
        <rFont val="Arial"/>
        <family val="2"/>
      </rPr>
      <t>kl. 11 - 1845</t>
    </r>
  </si>
  <si>
    <r>
      <t xml:space="preserve">19: </t>
    </r>
    <r>
      <rPr>
        <sz val="10"/>
        <rFont val="Arial"/>
        <family val="2"/>
      </rPr>
      <t>kl. 11 - 17</t>
    </r>
  </si>
  <si>
    <t>Afdeling 4420 afsnit 4420</t>
  </si>
  <si>
    <t>Kåre Jørgensen</t>
  </si>
  <si>
    <t>Judith Østergaard</t>
  </si>
  <si>
    <t>986 Ulla B. Olsen</t>
  </si>
  <si>
    <t>886 Per Larsen</t>
  </si>
  <si>
    <t>416 Dorte Ramassi</t>
  </si>
  <si>
    <t>445 Thomas Jørgensen</t>
  </si>
  <si>
    <t>908 Kenny  Hautop</t>
  </si>
  <si>
    <t>410 Karina Schiöpffe</t>
  </si>
  <si>
    <t>327 Johnny Hansen</t>
  </si>
  <si>
    <t>504 Maya Villadsen</t>
  </si>
  <si>
    <t>Ludmilla Stidl</t>
  </si>
  <si>
    <t>Postservice</t>
  </si>
  <si>
    <r>
      <t xml:space="preserve"> </t>
    </r>
    <r>
      <rPr>
        <sz val="10"/>
        <rFont val="Arial"/>
        <family val="2"/>
      </rPr>
      <t>0600 - 1330</t>
    </r>
  </si>
  <si>
    <r>
      <t>P1</t>
    </r>
    <r>
      <rPr>
        <sz val="10"/>
        <rFont val="Arial"/>
        <family val="2"/>
      </rPr>
      <t xml:space="preserve"> 0700 - 1445</t>
    </r>
  </si>
  <si>
    <r>
      <t>PF1</t>
    </r>
    <r>
      <rPr>
        <sz val="10"/>
        <rFont val="Arial"/>
        <family val="2"/>
      </rPr>
      <t xml:space="preserve"> 0700 - 1300</t>
    </r>
  </si>
  <si>
    <r>
      <t>P2</t>
    </r>
    <r>
      <rPr>
        <sz val="10"/>
        <rFont val="Arial"/>
        <family val="2"/>
      </rPr>
      <t xml:space="preserve"> 0730 - 1500</t>
    </r>
  </si>
  <si>
    <r>
      <t>PF2</t>
    </r>
    <r>
      <rPr>
        <sz val="10"/>
        <rFont val="Arial"/>
        <family val="2"/>
      </rPr>
      <t xml:space="preserve"> 0730 - 1430</t>
    </r>
  </si>
  <si>
    <r>
      <t xml:space="preserve">P3 </t>
    </r>
    <r>
      <rPr>
        <sz val="10"/>
        <rFont val="Arial"/>
        <family val="2"/>
      </rPr>
      <t>0900 - 1630</t>
    </r>
  </si>
  <si>
    <r>
      <t xml:space="preserve">PF3 </t>
    </r>
    <r>
      <rPr>
        <sz val="10"/>
        <rFont val="Arial"/>
        <family val="2"/>
      </rPr>
      <t>0900 - 1600</t>
    </r>
  </si>
  <si>
    <t>Afdeling/afsnit 4410/4410</t>
  </si>
  <si>
    <t>388 Ricco Nielsen</t>
  </si>
  <si>
    <t>371 Henrik Dencker</t>
  </si>
  <si>
    <t>401 Karsten Nielsen</t>
  </si>
  <si>
    <t>Christian Mark Sørensen</t>
  </si>
  <si>
    <t>Postruter</t>
  </si>
  <si>
    <t>434 Marco Minerba</t>
  </si>
  <si>
    <t>P2</t>
  </si>
  <si>
    <t>984 Jannie M.-Andersen</t>
  </si>
  <si>
    <t>P1</t>
  </si>
  <si>
    <t>409 Martin Holse</t>
  </si>
  <si>
    <t>P3</t>
  </si>
  <si>
    <t>Skanning</t>
  </si>
  <si>
    <t>3350 A</t>
  </si>
  <si>
    <t>0815 - 1530</t>
  </si>
  <si>
    <t>0815 - 1515</t>
  </si>
  <si>
    <t>Afdeling/afsnit 4410/4411</t>
  </si>
  <si>
    <t>404 Claus Lahn</t>
  </si>
  <si>
    <t>3350A</t>
  </si>
  <si>
    <t>Berit Bavnbæk</t>
  </si>
  <si>
    <t xml:space="preserve">419 Karina Petersen </t>
  </si>
  <si>
    <t>429 Ann Rudolf Nielsen</t>
  </si>
  <si>
    <t xml:space="preserve">Elisabeth Auner Bedsted </t>
  </si>
  <si>
    <t>Trine Vind</t>
  </si>
  <si>
    <t>I)</t>
  </si>
  <si>
    <t>Jørgen Dagsted</t>
  </si>
  <si>
    <t>Afdeling/afsnit 4420/4420</t>
  </si>
  <si>
    <t>Afdeling/afsnit 4250/4210</t>
  </si>
  <si>
    <t>Karsten Hallander</t>
  </si>
  <si>
    <t>Søren Christensen</t>
  </si>
  <si>
    <t>Frank Hansen</t>
  </si>
  <si>
    <t>Preben K. Nielsen</t>
  </si>
  <si>
    <t>Michael  Skytte</t>
  </si>
  <si>
    <t>Per Rasmussen</t>
  </si>
  <si>
    <t>Allan Christensen</t>
  </si>
  <si>
    <t>Dagny Torres</t>
  </si>
  <si>
    <t>Lars B.G. Christoffersen</t>
  </si>
  <si>
    <t>Ole Kristiansen</t>
  </si>
  <si>
    <t>Jan Tranberg</t>
  </si>
  <si>
    <t>Jozef Holecz</t>
  </si>
  <si>
    <t>Hans Rørbæk</t>
  </si>
  <si>
    <t>Søren Ejdorf</t>
  </si>
  <si>
    <t>1)</t>
  </si>
  <si>
    <t>11)</t>
  </si>
  <si>
    <t>7)</t>
  </si>
  <si>
    <r>
      <t>K1</t>
    </r>
    <r>
      <rPr>
        <sz val="10"/>
        <rFont val="Arial"/>
        <family val="2"/>
      </rPr>
      <t xml:space="preserve"> 0830 – 1545</t>
    </r>
  </si>
  <si>
    <r>
      <t>K1</t>
    </r>
    <r>
      <rPr>
        <sz val="10"/>
        <rFont val="Arial"/>
        <family val="2"/>
      </rPr>
      <t xml:space="preserve"> 0830 – 1315</t>
    </r>
  </si>
  <si>
    <t>KA)</t>
  </si>
  <si>
    <r>
      <rPr>
        <b/>
        <sz val="10"/>
        <rFont val="Arial"/>
        <family val="2"/>
      </rPr>
      <t>K3</t>
    </r>
    <r>
      <rPr>
        <b/>
        <sz val="9"/>
        <rFont val="Arial"/>
        <family val="2"/>
      </rPr>
      <t xml:space="preserve"> </t>
    </r>
    <r>
      <rPr>
        <sz val="9"/>
        <rFont val="Arial"/>
        <family val="2"/>
      </rPr>
      <t>0830-1415</t>
    </r>
  </si>
  <si>
    <t>K3)</t>
  </si>
  <si>
    <t>C)</t>
  </si>
  <si>
    <t>P)</t>
  </si>
  <si>
    <t>Henrik Brochdorff Himmelstrup.</t>
  </si>
  <si>
    <t>K)</t>
  </si>
  <si>
    <t xml:space="preserve">K </t>
  </si>
  <si>
    <t>K2)</t>
  </si>
  <si>
    <t>10)</t>
  </si>
  <si>
    <t>Martin Svanebjerg</t>
  </si>
  <si>
    <t>P2)</t>
  </si>
  <si>
    <t>P3)</t>
  </si>
  <si>
    <t>Jonathan Hee</t>
  </si>
  <si>
    <t>k2</t>
  </si>
  <si>
    <t>R1)</t>
  </si>
  <si>
    <t>R3)</t>
  </si>
  <si>
    <t>D)</t>
  </si>
  <si>
    <t>F)</t>
  </si>
  <si>
    <t>o</t>
  </si>
  <si>
    <t>Jørgen Gydesen</t>
  </si>
  <si>
    <t>A3)</t>
  </si>
  <si>
    <t>N)</t>
  </si>
  <si>
    <t>L)</t>
  </si>
  <si>
    <t>6)</t>
  </si>
  <si>
    <t>2)</t>
  </si>
  <si>
    <t xml:space="preserve">Michael Ulrik Stobbe                </t>
  </si>
  <si>
    <t xml:space="preserve">Jeanette Sønstabø                    </t>
  </si>
  <si>
    <t>)</t>
  </si>
  <si>
    <t>8)</t>
  </si>
  <si>
    <t xml:space="preserve"> I</t>
  </si>
  <si>
    <t>Monique</t>
  </si>
  <si>
    <r>
      <t>3</t>
    </r>
    <r>
      <rPr>
        <sz val="11"/>
        <rFont val="Arial"/>
        <family val="2"/>
      </rPr>
      <t>: Patruljeleder kl. 1630-2345</t>
    </r>
  </si>
  <si>
    <r>
      <t xml:space="preserve">5 </t>
    </r>
    <r>
      <rPr>
        <sz val="10"/>
        <rFont val="Arial"/>
        <family val="2"/>
      </rPr>
      <t xml:space="preserve"> 1630 - 2400 (-helligdage)</t>
    </r>
  </si>
  <si>
    <t>B2)</t>
  </si>
  <si>
    <t>H)</t>
  </si>
  <si>
    <t>R2)</t>
  </si>
  <si>
    <t>Thomas Lebke</t>
  </si>
  <si>
    <t>Mia Schiöpffe</t>
  </si>
  <si>
    <t>Afdeling 1714 Afsnit 1702</t>
  </si>
  <si>
    <t>1</t>
  </si>
  <si>
    <t>A)</t>
  </si>
  <si>
    <t>B3)</t>
  </si>
  <si>
    <t>i1)</t>
  </si>
  <si>
    <t>9</t>
  </si>
  <si>
    <t>395 Lars Lionett</t>
  </si>
  <si>
    <t>0)</t>
  </si>
  <si>
    <t>B1)</t>
  </si>
  <si>
    <t>Afdeling 1722 Afsnit 1701</t>
  </si>
  <si>
    <t>445 Jeanett Røjbæk</t>
  </si>
  <si>
    <t>Rikke Glahn</t>
  </si>
  <si>
    <t>Birgitte Milner</t>
  </si>
  <si>
    <t>Afdeling 1721 afsnit 1701</t>
  </si>
  <si>
    <t>Afdeling 1712  afsnit 1701</t>
  </si>
  <si>
    <t>K5)</t>
  </si>
  <si>
    <t>4)</t>
  </si>
  <si>
    <t>f</t>
  </si>
  <si>
    <t>431 Jimmy Hagemann</t>
  </si>
  <si>
    <r>
      <t>K1</t>
    </r>
    <r>
      <rPr>
        <sz val="10"/>
        <rFont val="Arial"/>
        <family val="2"/>
      </rPr>
      <t xml:space="preserve"> 0800 – 1545</t>
    </r>
  </si>
  <si>
    <t>K1 0900 – 1830</t>
  </si>
  <si>
    <t>K1 0830 – 1315</t>
  </si>
  <si>
    <r>
      <t xml:space="preserve">KA </t>
    </r>
    <r>
      <rPr>
        <sz val="10"/>
        <rFont val="Arial"/>
        <family val="2"/>
      </rPr>
      <t>1100-2030</t>
    </r>
  </si>
  <si>
    <t>I1</t>
  </si>
  <si>
    <t>Administrations og Arrangementsafdelingen Afdeling 1722 Afsnit 1701</t>
  </si>
  <si>
    <r>
      <t xml:space="preserve">5 </t>
    </r>
    <r>
      <rPr>
        <sz val="10"/>
        <rFont val="Arial"/>
        <family val="2"/>
      </rPr>
      <t xml:space="preserve"> 1630 - 2400(-helligdage)</t>
    </r>
  </si>
  <si>
    <t>9)</t>
  </si>
  <si>
    <t>7</t>
  </si>
  <si>
    <t>446 Christian Rednic</t>
  </si>
  <si>
    <t>447 Dimitrios Kostis</t>
  </si>
  <si>
    <t>5</t>
  </si>
  <si>
    <t>Monique Tørner</t>
  </si>
  <si>
    <t>Rasmus Sørensen</t>
  </si>
  <si>
    <t>Karina Henriksen</t>
  </si>
  <si>
    <t>B)</t>
  </si>
  <si>
    <t>3)</t>
  </si>
  <si>
    <t>4</t>
  </si>
  <si>
    <t/>
  </si>
  <si>
    <t>Rasmus Sørenrensen</t>
  </si>
  <si>
    <t>Timepriser i Rådhusservice 2014</t>
  </si>
  <si>
    <t>Timepris</t>
  </si>
  <si>
    <t>Teknisk
 service</t>
  </si>
  <si>
    <t>Servering</t>
  </si>
  <si>
    <r>
      <t>Normal timepris</t>
    </r>
    <r>
      <rPr>
        <sz val="14"/>
        <rFont val="Arial"/>
        <family val="2"/>
      </rPr>
      <t xml:space="preserve"> ved arrangementer mv.   Kl. 0600 - 1700 på hverdage</t>
    </r>
  </si>
  <si>
    <r>
      <t>Overarbejde 50 % timer</t>
    </r>
    <r>
      <rPr>
        <sz val="14"/>
        <rFont val="Arial"/>
        <family val="2"/>
      </rPr>
      <t xml:space="preserve"> ved arrangementer mv.</t>
    </r>
  </si>
  <si>
    <r>
      <t>Overarbejde 100 % timer</t>
    </r>
    <r>
      <rPr>
        <sz val="14"/>
        <rFont val="Arial"/>
        <family val="2"/>
      </rPr>
      <t xml:space="preserve"> ved arrangementer mv.</t>
    </r>
  </si>
  <si>
    <t>Socialcentre, Borgerservice UDLEJNING af Betjente.</t>
  </si>
  <si>
    <t>Borgmestre chauførrer, omvisninger og ved ad hoc opgaver.</t>
  </si>
  <si>
    <r>
      <t xml:space="preserve">Rundering: </t>
    </r>
    <r>
      <rPr>
        <sz val="14"/>
        <rFont val="Arial"/>
        <family val="2"/>
      </rPr>
      <t xml:space="preserve">Lukkertrækningens tidsforbrug på rundering incl. kørselstid. </t>
    </r>
  </si>
  <si>
    <t>Skolesupport</t>
  </si>
  <si>
    <t>Afdækning pr. m2 (løbende meter) med armeret plast inkl. tape o.s.v.</t>
  </si>
  <si>
    <t>Afdækning pr. m2 (løbende meter) kanalplade inkl. tape o.s.v.</t>
  </si>
  <si>
    <t>Udlejning af personale til kantinen</t>
  </si>
  <si>
    <t>Postgang pr. time</t>
  </si>
  <si>
    <t>Post Ad hoc opgaver</t>
  </si>
  <si>
    <t>Frankering pr. brev</t>
  </si>
  <si>
    <t>Leje af et helt Dueslag pr. dag.</t>
  </si>
  <si>
    <t>Skanning pr. time</t>
  </si>
  <si>
    <t xml:space="preserve">Rådhusnøgler pr. stk. </t>
  </si>
  <si>
    <t>ID kort + adgangsbrikker</t>
  </si>
  <si>
    <t>MUS 2014 i Rådhusservice</t>
  </si>
  <si>
    <t>Lederne i Rådhusvagten</t>
  </si>
  <si>
    <t>Rådhusvagten</t>
  </si>
  <si>
    <t>Postservice, Skanning og HNG</t>
  </si>
  <si>
    <t>Indkalder</t>
  </si>
  <si>
    <t>Samtale med</t>
  </si>
  <si>
    <t>Afholdt den</t>
  </si>
  <si>
    <r>
      <t xml:space="preserve">Bo Volfing Jacobsen </t>
    </r>
    <r>
      <rPr>
        <sz val="12"/>
        <color rgb="FFFF0000"/>
        <rFont val="Arial"/>
        <family val="2"/>
      </rPr>
      <t>v</t>
    </r>
  </si>
  <si>
    <t>18 -11 -14</t>
  </si>
  <si>
    <t>Claus Lahn</t>
  </si>
  <si>
    <r>
      <t xml:space="preserve">Dennis Rise </t>
    </r>
    <r>
      <rPr>
        <sz val="12"/>
        <color rgb="FFFF0000"/>
        <rFont val="Arial"/>
        <family val="2"/>
      </rPr>
      <t>v</t>
    </r>
  </si>
  <si>
    <t>09-12-14</t>
  </si>
  <si>
    <t>Henrik Dencker</t>
  </si>
  <si>
    <r>
      <t xml:space="preserve">Jesper Simonsen </t>
    </r>
    <r>
      <rPr>
        <sz val="12"/>
        <color rgb="FFFF0000"/>
        <rFont val="Arial"/>
        <family val="2"/>
      </rPr>
      <t>v</t>
    </r>
  </si>
  <si>
    <t>26-11-14</t>
  </si>
  <si>
    <t>Bo Volfing Jacobsen</t>
  </si>
  <si>
    <t>17-12-14</t>
  </si>
  <si>
    <t>Karsten Pøhl Nielsen</t>
  </si>
  <si>
    <r>
      <t xml:space="preserve">Erik Andersen </t>
    </r>
    <r>
      <rPr>
        <sz val="12"/>
        <color rgb="FFFF0000"/>
        <rFont val="Arial"/>
        <family val="2"/>
      </rPr>
      <t>v</t>
    </r>
  </si>
  <si>
    <t>20-11-14</t>
  </si>
  <si>
    <t>Marco Minerba</t>
  </si>
  <si>
    <t>19-12-14</t>
  </si>
  <si>
    <t>Michael Bo Pedersen</t>
  </si>
  <si>
    <t>02-12-14</t>
  </si>
  <si>
    <t>18-12-14</t>
  </si>
  <si>
    <r>
      <t xml:space="preserve">Per Olsen </t>
    </r>
    <r>
      <rPr>
        <sz val="12"/>
        <color rgb="FFFF0000"/>
        <rFont val="Arial"/>
        <family val="2"/>
      </rPr>
      <t>v</t>
    </r>
  </si>
  <si>
    <t>25-11-14</t>
  </si>
  <si>
    <t>Dennis Rise</t>
  </si>
  <si>
    <t>GRUS alle</t>
  </si>
  <si>
    <t>12-11-14</t>
  </si>
  <si>
    <t>Berit E. Bavnbæk</t>
  </si>
  <si>
    <r>
      <t xml:space="preserve">Kjeld Julius Jespersen </t>
    </r>
    <r>
      <rPr>
        <sz val="12"/>
        <color rgb="FFFF0000"/>
        <rFont val="Arial"/>
        <family val="2"/>
      </rPr>
      <t>v</t>
    </r>
  </si>
  <si>
    <t>14 - 01 - 15</t>
  </si>
  <si>
    <r>
      <t xml:space="preserve">Jim H. Larsen </t>
    </r>
    <r>
      <rPr>
        <sz val="12"/>
        <color rgb="FFFF0000"/>
        <rFont val="Arial"/>
        <family val="2"/>
      </rPr>
      <t>v</t>
    </r>
  </si>
  <si>
    <t>15-01-15</t>
  </si>
  <si>
    <t>419 Karina Petersen</t>
  </si>
  <si>
    <t>Steen Hertin</t>
  </si>
  <si>
    <t>Administration og arrangements afd.</t>
  </si>
  <si>
    <t>386 Birthe Hjort Nexø</t>
  </si>
  <si>
    <t>961 Sonny Thomsen</t>
  </si>
  <si>
    <r>
      <t xml:space="preserve">416 Dorte Ramassi </t>
    </r>
    <r>
      <rPr>
        <sz val="12"/>
        <color rgb="FFFF0000"/>
        <rFont val="Arial"/>
        <family val="2"/>
      </rPr>
      <t>v</t>
    </r>
  </si>
  <si>
    <t>Erik Andersen</t>
  </si>
  <si>
    <t>15/2 15</t>
  </si>
  <si>
    <r>
      <t xml:space="preserve">320 Mikael M. Andersen </t>
    </r>
    <r>
      <rPr>
        <sz val="12"/>
        <color rgb="FFFF0000"/>
        <rFont val="Arial"/>
        <family val="2"/>
      </rPr>
      <t>v</t>
    </r>
  </si>
  <si>
    <t>15 - 01 - 15</t>
  </si>
  <si>
    <t>394 Gorm Wilhjelm</t>
  </si>
  <si>
    <r>
      <t xml:space="preserve">327 Johnny V. Hansen </t>
    </r>
    <r>
      <rPr>
        <sz val="12"/>
        <color rgb="FFFF0000"/>
        <rFont val="Arial"/>
        <family val="2"/>
      </rPr>
      <t>v</t>
    </r>
  </si>
  <si>
    <t>07-01-14</t>
  </si>
  <si>
    <r>
      <t xml:space="preserve">824 Anders Villadsen </t>
    </r>
    <r>
      <rPr>
        <sz val="12"/>
        <color rgb="FFFF0000"/>
        <rFont val="Arial"/>
        <family val="2"/>
      </rPr>
      <t>v</t>
    </r>
  </si>
  <si>
    <t>01 - 12 -14</t>
  </si>
  <si>
    <t>GRUS Alle</t>
  </si>
  <si>
    <r>
      <t xml:space="preserve">323 Inge Hansen </t>
    </r>
    <r>
      <rPr>
        <sz val="12"/>
        <color rgb="FFFF0000"/>
        <rFont val="Arial"/>
        <family val="2"/>
      </rPr>
      <t>v</t>
    </r>
  </si>
  <si>
    <t>11-12-14</t>
  </si>
  <si>
    <r>
      <t xml:space="preserve">364 Henning Haaning </t>
    </r>
    <r>
      <rPr>
        <sz val="12"/>
        <color rgb="FFFF0000"/>
        <rFont val="Arial"/>
        <family val="2"/>
      </rPr>
      <t>v</t>
    </r>
  </si>
  <si>
    <t>06-01-14</t>
  </si>
  <si>
    <r>
      <t xml:space="preserve">908 Kenny  Hautop </t>
    </r>
    <r>
      <rPr>
        <sz val="12"/>
        <color rgb="FFFF0000"/>
        <rFont val="Arial"/>
        <family val="2"/>
      </rPr>
      <t>v</t>
    </r>
  </si>
  <si>
    <t>20-01-15</t>
  </si>
  <si>
    <r>
      <t xml:space="preserve">435 Per Olsson </t>
    </r>
    <r>
      <rPr>
        <sz val="12"/>
        <color rgb="FFFF0000"/>
        <rFont val="Arial"/>
        <family val="2"/>
      </rPr>
      <t>v</t>
    </r>
  </si>
  <si>
    <t>12-12-14</t>
  </si>
  <si>
    <t>01-12-14</t>
  </si>
  <si>
    <r>
      <t xml:space="preserve">445 Jeanet Røjbæk </t>
    </r>
    <r>
      <rPr>
        <sz val="12"/>
        <color rgb="FFFF0000"/>
        <rFont val="Arial"/>
        <family val="2"/>
      </rPr>
      <t>v</t>
    </r>
  </si>
  <si>
    <t>13 - 01 - 15</t>
  </si>
  <si>
    <t>24-11-14</t>
  </si>
  <si>
    <r>
      <t xml:space="preserve">Ludmilla Stiedl </t>
    </r>
    <r>
      <rPr>
        <sz val="12"/>
        <color rgb="FFFF0000"/>
        <rFont val="Arial"/>
        <family val="2"/>
      </rPr>
      <t>v</t>
    </r>
  </si>
  <si>
    <t>15-12-14</t>
  </si>
  <si>
    <t>26 - 11 14</t>
  </si>
  <si>
    <r>
      <t xml:space="preserve">309 Birthe Pedersen </t>
    </r>
    <r>
      <rPr>
        <sz val="12"/>
        <color rgb="FFFF0000"/>
        <rFont val="Arial"/>
        <family val="2"/>
      </rPr>
      <t>v</t>
    </r>
  </si>
  <si>
    <t>Jørgen Kromann</t>
  </si>
  <si>
    <r>
      <t xml:space="preserve">504 Maya Villadsen </t>
    </r>
    <r>
      <rPr>
        <sz val="12"/>
        <color rgb="FFFF0000"/>
        <rFont val="Arial"/>
        <family val="2"/>
      </rPr>
      <t>v</t>
    </r>
  </si>
  <si>
    <t>22-12-14</t>
  </si>
  <si>
    <r>
      <t xml:space="preserve">410Karina Schiöpffe </t>
    </r>
    <r>
      <rPr>
        <sz val="12"/>
        <color rgb="FFFF0000"/>
        <rFont val="Arial"/>
        <family val="2"/>
      </rPr>
      <t>v</t>
    </r>
  </si>
  <si>
    <t>05-12-14</t>
  </si>
  <si>
    <t>Claus Pedersen</t>
  </si>
  <si>
    <t>Jan Buch</t>
  </si>
  <si>
    <t>Per Olsen</t>
  </si>
  <si>
    <r>
      <t xml:space="preserve">441 Dorthe Højbak </t>
    </r>
    <r>
      <rPr>
        <sz val="12"/>
        <color rgb="FFFF0000"/>
        <rFont val="Arial"/>
        <family val="2"/>
      </rPr>
      <t>v</t>
    </r>
  </si>
  <si>
    <t>Benny Jørgensen</t>
  </si>
  <si>
    <t>15- 01 -15</t>
  </si>
  <si>
    <t>Henrik Brochendorf</t>
  </si>
  <si>
    <t>Rundvisning</t>
  </si>
  <si>
    <t>Jim H. Larsen</t>
  </si>
  <si>
    <t>12-05-15</t>
  </si>
  <si>
    <t>13-05-15</t>
  </si>
  <si>
    <r>
      <t xml:space="preserve">370 Kristoffer Ruth Sahlholdt </t>
    </r>
    <r>
      <rPr>
        <sz val="12"/>
        <color rgb="FFFF0000"/>
        <rFont val="Arial"/>
        <family val="2"/>
      </rPr>
      <t>v</t>
    </r>
  </si>
  <si>
    <t>436 Jacob Nørgård Madsen</t>
  </si>
  <si>
    <t>19-05-15</t>
  </si>
  <si>
    <t>844 Kim Almind</t>
  </si>
  <si>
    <r>
      <t xml:space="preserve">910 John Rasmussen </t>
    </r>
    <r>
      <rPr>
        <sz val="12"/>
        <color rgb="FFFF0000"/>
        <rFont val="Arial"/>
        <family val="2"/>
      </rPr>
      <t>v</t>
    </r>
  </si>
  <si>
    <t>16-12-14</t>
  </si>
  <si>
    <t>Socialcentre</t>
  </si>
  <si>
    <t xml:space="preserve">GRUS </t>
  </si>
  <si>
    <t>Balanced Scorecard for Rådhusservice 2009</t>
  </si>
  <si>
    <t>Aktivitet</t>
  </si>
  <si>
    <t>Måling</t>
  </si>
  <si>
    <t>Succes kriterium</t>
  </si>
  <si>
    <t>Ansvarlig</t>
  </si>
  <si>
    <t xml:space="preserve">Planlagt </t>
  </si>
  <si>
    <t xml:space="preserve">Realiseret </t>
  </si>
  <si>
    <t>1. kvartal</t>
  </si>
  <si>
    <t>2. kvartal</t>
  </si>
  <si>
    <t>3. kvartal</t>
  </si>
  <si>
    <t>4 kvartal</t>
  </si>
  <si>
    <t>ARR. &amp; ADM afd.</t>
  </si>
  <si>
    <t>Svigt af leverancer</t>
  </si>
  <si>
    <t>Antal svigt af leverancer af mad mv.</t>
  </si>
  <si>
    <t>Under 5 pr. kvartal</t>
  </si>
  <si>
    <t>Kritisk aktivitet</t>
  </si>
  <si>
    <t>Kunder    OMR 0021</t>
  </si>
  <si>
    <t>Klager</t>
  </si>
  <si>
    <t>Antal skriftlige klager</t>
  </si>
  <si>
    <t>Kvartalsopgørelse       ≤ 1</t>
  </si>
  <si>
    <t>JP</t>
  </si>
  <si>
    <t>Kundetilfredshed</t>
  </si>
  <si>
    <t xml:space="preserve">Kundernes gennemsnitlige tilfredshed ved spørgeskemaundersøgelsen. </t>
  </si>
  <si>
    <t>Minimum 4 på en skala fra 1-5</t>
  </si>
  <si>
    <t>Kunder    OMR 0020</t>
  </si>
  <si>
    <t>Fl</t>
  </si>
  <si>
    <t>ARR &amp; ADM afd.</t>
  </si>
  <si>
    <t>FL</t>
  </si>
  <si>
    <t xml:space="preserve">Kunder    OMR 0022                 </t>
  </si>
  <si>
    <t>CL</t>
  </si>
  <si>
    <t xml:space="preserve">Kunder    OMR 0023 </t>
  </si>
  <si>
    <t>KH</t>
  </si>
  <si>
    <t>Teknisk service</t>
  </si>
  <si>
    <t>Hvem kan hvad</t>
  </si>
  <si>
    <t>V.V. siden</t>
  </si>
  <si>
    <t>Tivolisiden</t>
  </si>
  <si>
    <t>Annekser</t>
  </si>
  <si>
    <t>Bernstoffsgade</t>
  </si>
  <si>
    <t>Nørresøgade</t>
  </si>
  <si>
    <t>PL</t>
  </si>
  <si>
    <t>STUDSEN</t>
  </si>
  <si>
    <t>RØDEMELLEM</t>
  </si>
  <si>
    <t>JEMTE</t>
  </si>
  <si>
    <t>GRIFFEN</t>
  </si>
  <si>
    <t>x</t>
  </si>
  <si>
    <t xml:space="preserve">Dorthe Højbak </t>
  </si>
  <si>
    <t>Kim Aabroe</t>
  </si>
  <si>
    <t>Mark Kruse</t>
  </si>
  <si>
    <t>Lara Andersen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</si>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</sst>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kr.&quot;#,##0_);[Red]\(&quot;kr.&quot;#,##0\)"/>
    <numFmt numFmtId="165" formatCode="_(* #,##0.00_);_(* \(#,##0.00\);_(* &quot;-&quot;??_);_(@_)"/>
    <numFmt numFmtId="166" formatCode="mm/yy"/>
    <numFmt numFmtId="167" formatCode="0.0"/>
    <numFmt numFmtId="168" formatCode="#,##0.0"/>
    <numFmt numFmtId="169" formatCode="_(&quot;kr &quot;* #,##0.00_);_(&quot;kr &quot;* \(#,##0.00\);_(&quot;kr &quot;* \-??_);_(@_)"/>
    <numFmt numFmtId="170" formatCode="&quot;kr &quot;#,##0_);[Red]&quot;(kr &quot;#,##0\)"/>
    <numFmt numFmtId="171" formatCode="dd/mm/yy;@"/>
    <numFmt numFmtId="172" formatCode="_(* #,##0_);_(* \(#,##0\);_(* \-_);_(@_)"/>
    <numFmt numFmtId="173" formatCode="yy/mm/dd;@"/>
  </numFmts>
  <fonts count="68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color indexed="9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9"/>
      <color indexed="9"/>
      <name val="Arial"/>
      <family val="2"/>
    </font>
    <font>
      <u/>
      <sz val="10"/>
      <name val="Arial"/>
      <family val="2"/>
    </font>
    <font>
      <sz val="10"/>
      <name val="Times New Roman"/>
      <family val="1"/>
    </font>
    <font>
      <b/>
      <sz val="11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9"/>
      <color indexed="8"/>
      <name val="Arial"/>
      <family val="2"/>
    </font>
    <font>
      <b/>
      <sz val="18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sz val="8"/>
      <color indexed="8"/>
      <name val="Arial"/>
      <family val="2"/>
    </font>
    <font>
      <sz val="10"/>
      <color indexed="13"/>
      <name val="Arial"/>
      <family val="2"/>
    </font>
    <font>
      <sz val="8"/>
      <color indexed="13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12"/>
      <name val="Arial"/>
      <family val="2"/>
    </font>
    <font>
      <sz val="16"/>
      <name val="Arial"/>
      <family val="2"/>
    </font>
    <font>
      <sz val="12"/>
      <color indexed="10"/>
      <name val="Arial"/>
      <family val="2"/>
    </font>
    <font>
      <sz val="1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</font>
    <font>
      <sz val="11"/>
      <color rgb="FF1F497D"/>
      <name val="Calibri"/>
      <family val="2"/>
    </font>
    <font>
      <sz val="9"/>
      <color indexed="6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FF0000"/>
      <name val="Arial"/>
      <family val="2"/>
    </font>
    <font>
      <sz val="12"/>
      <color indexed="81"/>
      <name val="Tahoma"/>
      <family val="2"/>
    </font>
    <font>
      <sz val="11"/>
      <color indexed="81"/>
      <name val="Tahoma"/>
      <family val="2"/>
    </font>
    <font>
      <sz val="10"/>
      <color indexed="81"/>
      <name val="Tahoma"/>
      <family val="2"/>
    </font>
    <font>
      <sz val="12"/>
      <color theme="3"/>
      <name val="Times New Roman"/>
      <family val="1"/>
    </font>
    <font>
      <b/>
      <sz val="10"/>
      <color rgb="FFFF0000"/>
      <name val="Arial"/>
      <family val="2"/>
    </font>
    <font>
      <b/>
      <sz val="10"/>
      <color indexed="81"/>
      <name val="Tahoma"/>
      <family val="2"/>
    </font>
    <font>
      <b/>
      <sz val="11"/>
      <color indexed="81"/>
      <name val="Tahoma"/>
      <family val="2"/>
    </font>
    <font>
      <sz val="11"/>
      <color theme="3" tint="-0.249977111117893"/>
      <name val="Calibri"/>
      <family val="2"/>
    </font>
    <font>
      <b/>
      <sz val="11"/>
      <name val="Times New Roman"/>
      <family val="1"/>
    </font>
    <font>
      <sz val="9"/>
      <color theme="1"/>
      <name val="Arial"/>
      <family val="2"/>
    </font>
    <font>
      <sz val="12"/>
      <color rgb="FFFF0000"/>
      <name val="Arial"/>
      <family val="2"/>
    </font>
  </fonts>
  <fills count="8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2"/>
        <bgColor indexed="31"/>
      </patternFill>
    </fill>
    <fill>
      <patternFill patternType="solid">
        <fgColor indexed="10"/>
        <bgColor indexed="60"/>
      </patternFill>
    </fill>
    <fill>
      <patternFill patternType="solid">
        <fgColor indexed="46"/>
        <bgColor indexed="24"/>
      </patternFill>
    </fill>
    <fill>
      <patternFill patternType="solid">
        <fgColor indexed="53"/>
        <bgColor indexed="52"/>
      </patternFill>
    </fill>
    <fill>
      <patternFill patternType="solid">
        <fgColor indexed="11"/>
        <bgColor indexed="49"/>
      </patternFill>
    </fill>
    <fill>
      <patternFill patternType="solid">
        <fgColor indexed="13"/>
        <bgColor indexed="34"/>
      </patternFill>
    </fill>
    <fill>
      <patternFill patternType="solid">
        <fgColor indexed="15"/>
        <bgColor indexed="35"/>
      </patternFill>
    </fill>
    <fill>
      <patternFill patternType="solid">
        <fgColor indexed="12"/>
        <bgColor indexed="39"/>
      </patternFill>
    </fill>
    <fill>
      <patternFill patternType="solid">
        <fgColor indexed="8"/>
        <bgColor indexed="58"/>
      </patternFill>
    </fill>
    <fill>
      <patternFill patternType="solid">
        <fgColor indexed="51"/>
        <bgColor indexed="13"/>
      </patternFill>
    </fill>
    <fill>
      <patternFill patternType="solid">
        <fgColor indexed="23"/>
        <bgColor indexed="55"/>
      </patternFill>
    </fill>
    <fill>
      <patternFill patternType="solid">
        <fgColor indexed="54"/>
        <bgColor indexed="23"/>
      </patternFill>
    </fill>
    <fill>
      <patternFill patternType="solid">
        <fgColor indexed="14"/>
        <bgColor indexed="33"/>
      </patternFill>
    </fill>
    <fill>
      <patternFill patternType="solid">
        <fgColor indexed="50"/>
        <bgColor indexed="51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27"/>
      </patternFill>
    </fill>
    <fill>
      <patternFill patternType="solid">
        <fgColor indexed="43"/>
        <bgColor indexed="26"/>
      </patternFill>
    </fill>
    <fill>
      <patternFill patternType="solid">
        <fgColor indexed="40"/>
        <bgColor indexed="49"/>
      </patternFill>
    </fill>
    <fill>
      <patternFill patternType="solid">
        <fgColor indexed="57"/>
        <bgColor indexed="21"/>
      </patternFill>
    </fill>
    <fill>
      <patternFill patternType="solid">
        <fgColor indexed="9"/>
        <bgColor indexed="26"/>
      </patternFill>
    </fill>
    <fill>
      <patternFill patternType="solid">
        <fgColor indexed="52"/>
        <b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48"/>
        <bgColor indexed="30"/>
      </patternFill>
    </fill>
    <fill>
      <patternFill patternType="solid">
        <fgColor indexed="45"/>
        <bgColor indexed="29"/>
      </patternFill>
    </fill>
    <fill>
      <patternFill patternType="solid">
        <fgColor indexed="47"/>
        <bgColor indexed="22"/>
      </patternFill>
    </fill>
    <fill>
      <patternFill patternType="solid">
        <fgColor indexed="55"/>
        <bgColor indexed="23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53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2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6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double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8"/>
      </bottom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/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8"/>
      </right>
      <top/>
      <bottom style="medium">
        <color indexed="64"/>
      </bottom>
      <diagonal/>
    </border>
    <border>
      <left style="medium">
        <color indexed="64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64"/>
      </left>
      <right style="medium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8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</borders>
  <cellStyleXfs count="46">
    <xf numFmtId="0" fontId="0" fillId="0" borderId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30" fillId="0" borderId="0" applyNumberFormat="0" applyFill="0" applyBorder="0" applyAlignment="0" applyProtection="0"/>
    <xf numFmtId="0" fontId="2" fillId="16" borderId="1" applyNumberFormat="0" applyFont="0" applyAlignment="0" applyProtection="0"/>
    <xf numFmtId="0" fontId="31" fillId="17" borderId="2" applyNumberFormat="0" applyAlignment="0" applyProtection="0"/>
    <xf numFmtId="0" fontId="32" fillId="0" borderId="0" applyNumberFormat="0" applyFill="0" applyBorder="0" applyAlignment="0" applyProtection="0"/>
    <xf numFmtId="0" fontId="33" fillId="4" borderId="0" applyNumberFormat="0" applyBorder="0" applyAlignment="0" applyProtection="0"/>
    <xf numFmtId="0" fontId="34" fillId="7" borderId="2" applyNumberFormat="0" applyAlignment="0" applyProtection="0"/>
    <xf numFmtId="0" fontId="35" fillId="18" borderId="3" applyNumberFormat="0" applyAlignment="0" applyProtection="0"/>
    <xf numFmtId="0" fontId="29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22" borderId="0" applyNumberFormat="0" applyBorder="0" applyAlignment="0" applyProtection="0"/>
    <xf numFmtId="0" fontId="36" fillId="23" borderId="0" applyNumberFormat="0" applyBorder="0" applyAlignment="0" applyProtection="0"/>
    <xf numFmtId="0" fontId="2" fillId="0" borderId="0"/>
    <xf numFmtId="0" fontId="37" fillId="17" borderId="4" applyNumberFormat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0" borderId="8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3" borderId="0" applyNumberFormat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1" fillId="0" borderId="0"/>
  </cellStyleXfs>
  <cellXfs count="1330">
    <xf numFmtId="0" fontId="0" fillId="0" borderId="0" xfId="0"/>
    <xf numFmtId="0" fontId="3" fillId="0" borderId="0" xfId="0" applyFont="1"/>
    <xf numFmtId="0" fontId="4" fillId="0" borderId="0" xfId="0" applyFont="1"/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0" borderId="12" xfId="0" applyBorder="1"/>
    <xf numFmtId="0" fontId="5" fillId="0" borderId="13" xfId="0" applyFont="1" applyBorder="1" applyAlignment="1">
      <alignment horizontal="left"/>
    </xf>
    <xf numFmtId="0" fontId="3" fillId="0" borderId="14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0" fillId="0" borderId="17" xfId="0" applyBorder="1"/>
    <xf numFmtId="0" fontId="5" fillId="0" borderId="18" xfId="0" applyFont="1" applyBorder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0" fillId="24" borderId="22" xfId="0" applyFill="1" applyBorder="1" applyAlignment="1">
      <alignment horizontal="center"/>
    </xf>
    <xf numFmtId="0" fontId="5" fillId="0" borderId="23" xfId="0" applyFont="1" applyBorder="1" applyAlignment="1">
      <alignment horizontal="left"/>
    </xf>
    <xf numFmtId="0" fontId="3" fillId="0" borderId="24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0" fillId="0" borderId="26" xfId="0" applyBorder="1"/>
    <xf numFmtId="0" fontId="5" fillId="0" borderId="27" xfId="0" applyFont="1" applyBorder="1" applyAlignment="1">
      <alignment horizontal="left"/>
    </xf>
    <xf numFmtId="0" fontId="0" fillId="0" borderId="28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left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6" fillId="0" borderId="23" xfId="0" applyFont="1" applyBorder="1" applyAlignment="1">
      <alignment horizontal="left"/>
    </xf>
    <xf numFmtId="0" fontId="0" fillId="0" borderId="14" xfId="0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8" xfId="0" applyFont="1" applyBorder="1" applyAlignment="1">
      <alignment horizontal="left"/>
    </xf>
    <xf numFmtId="0" fontId="0" fillId="0" borderId="10" xfId="0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0" fillId="25" borderId="11" xfId="0" applyFill="1" applyBorder="1" applyAlignment="1">
      <alignment horizontal="center"/>
    </xf>
    <xf numFmtId="0" fontId="0" fillId="25" borderId="11" xfId="0" applyFill="1" applyBorder="1"/>
    <xf numFmtId="0" fontId="0" fillId="0" borderId="11" xfId="0" applyBorder="1"/>
    <xf numFmtId="0" fontId="0" fillId="0" borderId="13" xfId="0" applyBorder="1"/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/>
    <xf numFmtId="0" fontId="0" fillId="0" borderId="11" xfId="0" applyBorder="1" applyAlignment="1">
      <alignment horizontal="left"/>
    </xf>
    <xf numFmtId="0" fontId="0" fillId="0" borderId="31" xfId="0" applyBorder="1"/>
    <xf numFmtId="0" fontId="0" fillId="0" borderId="30" xfId="0" applyBorder="1"/>
    <xf numFmtId="0" fontId="0" fillId="0" borderId="33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center"/>
    </xf>
    <xf numFmtId="0" fontId="0" fillId="0" borderId="36" xfId="0" applyBorder="1"/>
    <xf numFmtId="0" fontId="3" fillId="0" borderId="0" xfId="0" applyFont="1" applyAlignment="1" applyProtection="1">
      <alignment horizontal="left"/>
      <protection locked="0"/>
    </xf>
    <xf numFmtId="0" fontId="3" fillId="0" borderId="37" xfId="0" applyFont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8" xfId="0" applyFont="1" applyBorder="1" applyAlignment="1">
      <alignment horizontal="center"/>
    </xf>
    <xf numFmtId="0" fontId="5" fillId="0" borderId="39" xfId="0" applyFont="1" applyBorder="1" applyAlignment="1">
      <alignment horizontal="center"/>
    </xf>
    <xf numFmtId="0" fontId="0" fillId="0" borderId="39" xfId="0" applyBorder="1"/>
    <xf numFmtId="0" fontId="5" fillId="0" borderId="40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0" fontId="6" fillId="0" borderId="22" xfId="0" applyFont="1" applyBorder="1" applyAlignment="1">
      <alignment horizontal="left"/>
    </xf>
    <xf numFmtId="0" fontId="5" fillId="0" borderId="0" xfId="0" applyFont="1"/>
    <xf numFmtId="0" fontId="0" fillId="24" borderId="36" xfId="0" applyFill="1" applyBorder="1" applyAlignment="1">
      <alignment horizontal="center"/>
    </xf>
    <xf numFmtId="0" fontId="6" fillId="0" borderId="36" xfId="0" applyFont="1" applyBorder="1" applyAlignment="1">
      <alignment horizontal="left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0" fillId="24" borderId="14" xfId="0" applyFill="1" applyBorder="1" applyAlignment="1">
      <alignment horizontal="left"/>
    </xf>
    <xf numFmtId="0" fontId="0" fillId="26" borderId="15" xfId="0" applyFill="1" applyBorder="1" applyAlignment="1">
      <alignment horizontal="center"/>
    </xf>
    <xf numFmtId="0" fontId="0" fillId="27" borderId="11" xfId="0" applyFill="1" applyBorder="1" applyAlignment="1">
      <alignment horizontal="center"/>
    </xf>
    <xf numFmtId="0" fontId="6" fillId="27" borderId="11" xfId="0" applyFont="1" applyFill="1" applyBorder="1" applyAlignment="1">
      <alignment horizontal="center"/>
    </xf>
    <xf numFmtId="0" fontId="6" fillId="27" borderId="31" xfId="0" applyFont="1" applyFill="1" applyBorder="1" applyAlignment="1">
      <alignment horizontal="center"/>
    </xf>
    <xf numFmtId="0" fontId="0" fillId="28" borderId="0" xfId="0" applyFill="1"/>
    <xf numFmtId="0" fontId="3" fillId="0" borderId="32" xfId="0" applyFont="1" applyBorder="1" applyAlignment="1">
      <alignment horizontal="left"/>
    </xf>
    <xf numFmtId="0" fontId="0" fillId="26" borderId="41" xfId="0" applyFill="1" applyBorder="1" applyAlignment="1">
      <alignment horizontal="center"/>
    </xf>
    <xf numFmtId="0" fontId="0" fillId="27" borderId="30" xfId="0" applyFill="1" applyBorder="1" applyAlignment="1">
      <alignment horizontal="center"/>
    </xf>
    <xf numFmtId="0" fontId="6" fillId="27" borderId="20" xfId="0" applyFont="1" applyFill="1" applyBorder="1" applyAlignment="1">
      <alignment horizontal="center"/>
    </xf>
    <xf numFmtId="0" fontId="6" fillId="27" borderId="21" xfId="0" applyFont="1" applyFill="1" applyBorder="1" applyAlignment="1">
      <alignment horizontal="center"/>
    </xf>
    <xf numFmtId="0" fontId="6" fillId="0" borderId="42" xfId="0" applyFont="1" applyBorder="1" applyAlignment="1">
      <alignment horizontal="left"/>
    </xf>
    <xf numFmtId="0" fontId="0" fillId="29" borderId="0" xfId="0" applyFill="1"/>
    <xf numFmtId="0" fontId="0" fillId="0" borderId="10" xfId="0" applyBorder="1" applyAlignment="1">
      <alignment horizontal="left"/>
    </xf>
    <xf numFmtId="0" fontId="6" fillId="25" borderId="11" xfId="0" applyFont="1" applyFill="1" applyBorder="1" applyAlignment="1">
      <alignment horizontal="center"/>
    </xf>
    <xf numFmtId="0" fontId="6" fillId="25" borderId="31" xfId="0" applyFont="1" applyFill="1" applyBorder="1" applyAlignment="1">
      <alignment horizontal="center"/>
    </xf>
    <xf numFmtId="0" fontId="0" fillId="26" borderId="0" xfId="0" applyFill="1"/>
    <xf numFmtId="0" fontId="6" fillId="25" borderId="20" xfId="0" applyFont="1" applyFill="1" applyBorder="1" applyAlignment="1">
      <alignment horizontal="center"/>
    </xf>
    <xf numFmtId="0" fontId="6" fillId="25" borderId="21" xfId="0" applyFont="1" applyFill="1" applyBorder="1" applyAlignment="1">
      <alignment horizontal="center"/>
    </xf>
    <xf numFmtId="0" fontId="0" fillId="30" borderId="0" xfId="0" applyFill="1"/>
    <xf numFmtId="0" fontId="0" fillId="24" borderId="10" xfId="0" applyFill="1" applyBorder="1" applyAlignment="1">
      <alignment horizontal="left"/>
    </xf>
    <xf numFmtId="0" fontId="3" fillId="0" borderId="19" xfId="0" applyFont="1" applyBorder="1" applyAlignment="1">
      <alignment horizontal="left"/>
    </xf>
    <xf numFmtId="0" fontId="7" fillId="31" borderId="0" xfId="0" applyFont="1" applyFill="1"/>
    <xf numFmtId="0" fontId="0" fillId="0" borderId="14" xfId="0" applyBorder="1" applyAlignment="1">
      <alignment horizontal="left"/>
    </xf>
    <xf numFmtId="0" fontId="0" fillId="24" borderId="0" xfId="0" applyFill="1"/>
    <xf numFmtId="0" fontId="0" fillId="25" borderId="0" xfId="0" applyFill="1"/>
    <xf numFmtId="0" fontId="0" fillId="29" borderId="11" xfId="0" applyFill="1" applyBorder="1" applyAlignment="1">
      <alignment horizontal="center"/>
    </xf>
    <xf numFmtId="0" fontId="0" fillId="27" borderId="0" xfId="0" applyFill="1"/>
    <xf numFmtId="0" fontId="0" fillId="29" borderId="20" xfId="0" applyFill="1" applyBorder="1" applyAlignment="1">
      <alignment horizontal="center"/>
    </xf>
    <xf numFmtId="0" fontId="0" fillId="30" borderId="11" xfId="0" applyFill="1" applyBorder="1" applyAlignment="1">
      <alignment horizontal="center"/>
    </xf>
    <xf numFmtId="0" fontId="0" fillId="30" borderId="30" xfId="0" applyFill="1" applyBorder="1" applyAlignment="1">
      <alignment horizontal="center"/>
    </xf>
    <xf numFmtId="0" fontId="7" fillId="31" borderId="15" xfId="0" applyFont="1" applyFill="1" applyBorder="1" applyAlignment="1">
      <alignment horizontal="center"/>
    </xf>
    <xf numFmtId="0" fontId="7" fillId="31" borderId="16" xfId="0" applyFont="1" applyFill="1" applyBorder="1"/>
    <xf numFmtId="0" fontId="7" fillId="31" borderId="30" xfId="0" applyFont="1" applyFill="1" applyBorder="1" applyAlignment="1">
      <alignment horizontal="center"/>
    </xf>
    <xf numFmtId="0" fontId="7" fillId="31" borderId="35" xfId="0" applyFont="1" applyFill="1" applyBorder="1" applyAlignment="1">
      <alignment horizontal="center"/>
    </xf>
    <xf numFmtId="0" fontId="0" fillId="24" borderId="11" xfId="0" applyFill="1" applyBorder="1" applyAlignment="1">
      <alignment horizontal="center"/>
    </xf>
    <xf numFmtId="0" fontId="6" fillId="24" borderId="31" xfId="0" applyFont="1" applyFill="1" applyBorder="1" applyAlignment="1">
      <alignment horizontal="center"/>
    </xf>
    <xf numFmtId="0" fontId="3" fillId="0" borderId="43" xfId="0" applyFont="1" applyBorder="1"/>
    <xf numFmtId="0" fontId="0" fillId="24" borderId="20" xfId="0" applyFill="1" applyBorder="1" applyAlignment="1">
      <alignment horizontal="center"/>
    </xf>
    <xf numFmtId="0" fontId="6" fillId="24" borderId="21" xfId="0" applyFont="1" applyFill="1" applyBorder="1" applyAlignment="1">
      <alignment horizontal="center"/>
    </xf>
    <xf numFmtId="0" fontId="0" fillId="28" borderId="11" xfId="0" applyFill="1" applyBorder="1" applyAlignment="1">
      <alignment horizontal="center"/>
    </xf>
    <xf numFmtId="0" fontId="3" fillId="0" borderId="19" xfId="0" applyFont="1" applyBorder="1"/>
    <xf numFmtId="0" fontId="0" fillId="28" borderId="30" xfId="0" applyFill="1" applyBorder="1" applyAlignment="1">
      <alignment horizontal="center"/>
    </xf>
    <xf numFmtId="0" fontId="0" fillId="26" borderId="20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5" fillId="0" borderId="31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0" fillId="0" borderId="44" xfId="0" applyBorder="1" applyAlignment="1">
      <alignment horizontal="left"/>
    </xf>
    <xf numFmtId="0" fontId="0" fillId="0" borderId="17" xfId="0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6" fillId="0" borderId="41" xfId="0" applyFont="1" applyBorder="1" applyAlignment="1">
      <alignment horizontal="center"/>
    </xf>
    <xf numFmtId="0" fontId="5" fillId="0" borderId="41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24" xfId="0" applyBorder="1" applyAlignment="1">
      <alignment horizontal="center"/>
    </xf>
    <xf numFmtId="0" fontId="0" fillId="0" borderId="20" xfId="0" applyBorder="1"/>
    <xf numFmtId="0" fontId="6" fillId="0" borderId="0" xfId="0" applyFont="1" applyAlignment="1">
      <alignment horizontal="center"/>
    </xf>
    <xf numFmtId="0" fontId="6" fillId="0" borderId="30" xfId="0" applyFont="1" applyBorder="1" applyAlignment="1">
      <alignment horizontal="center"/>
    </xf>
    <xf numFmtId="0" fontId="0" fillId="24" borderId="35" xfId="0" applyFill="1" applyBorder="1" applyAlignment="1">
      <alignment horizontal="center"/>
    </xf>
    <xf numFmtId="0" fontId="6" fillId="0" borderId="34" xfId="0" applyFont="1" applyBorder="1" applyAlignment="1">
      <alignment horizontal="left"/>
    </xf>
    <xf numFmtId="0" fontId="0" fillId="0" borderId="43" xfId="0" applyBorder="1" applyAlignment="1">
      <alignment horizontal="center"/>
    </xf>
    <xf numFmtId="0" fontId="0" fillId="0" borderId="52" xfId="0" applyBorder="1" applyAlignment="1">
      <alignment horizontal="center"/>
    </xf>
    <xf numFmtId="0" fontId="6" fillId="0" borderId="52" xfId="0" applyFont="1" applyBorder="1" applyAlignment="1">
      <alignment horizontal="left"/>
    </xf>
    <xf numFmtId="0" fontId="3" fillId="0" borderId="43" xfId="0" applyFont="1" applyBorder="1" applyAlignment="1">
      <alignment horizontal="left"/>
    </xf>
    <xf numFmtId="0" fontId="0" fillId="0" borderId="53" xfId="0" applyBorder="1" applyAlignment="1">
      <alignment horizontal="center"/>
    </xf>
    <xf numFmtId="0" fontId="0" fillId="24" borderId="30" xfId="0" applyFill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54" xfId="0" applyFont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6" xfId="0" applyBorder="1"/>
    <xf numFmtId="0" fontId="0" fillId="24" borderId="15" xfId="0" applyFill="1" applyBorder="1" applyAlignment="1">
      <alignment horizontal="center"/>
    </xf>
    <xf numFmtId="0" fontId="0" fillId="0" borderId="44" xfId="0" applyBorder="1"/>
    <xf numFmtId="2" fontId="0" fillId="0" borderId="46" xfId="0" applyNumberFormat="1" applyBorder="1"/>
    <xf numFmtId="0" fontId="0" fillId="0" borderId="47" xfId="0" applyBorder="1"/>
    <xf numFmtId="0" fontId="0" fillId="0" borderId="56" xfId="0" applyBorder="1"/>
    <xf numFmtId="2" fontId="0" fillId="24" borderId="57" xfId="0" applyNumberFormat="1" applyFill="1" applyBorder="1"/>
    <xf numFmtId="2" fontId="0" fillId="0" borderId="0" xfId="0" applyNumberFormat="1"/>
    <xf numFmtId="2" fontId="0" fillId="0" borderId="56" xfId="0" applyNumberFormat="1" applyBorder="1"/>
    <xf numFmtId="0" fontId="5" fillId="0" borderId="42" xfId="0" applyFont="1" applyBorder="1" applyAlignment="1">
      <alignment horizontal="left"/>
    </xf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5" fillId="0" borderId="30" xfId="0" applyFont="1" applyBorder="1" applyAlignment="1">
      <alignment horizontal="center"/>
    </xf>
    <xf numFmtId="0" fontId="5" fillId="0" borderId="34" xfId="0" applyFont="1" applyBorder="1" applyAlignment="1">
      <alignment horizontal="left"/>
    </xf>
    <xf numFmtId="0" fontId="7" fillId="32" borderId="15" xfId="0" applyFont="1" applyFill="1" applyBorder="1" applyAlignment="1">
      <alignment horizontal="center"/>
    </xf>
    <xf numFmtId="0" fontId="5" fillId="0" borderId="0" xfId="0" applyFont="1" applyAlignment="1">
      <alignment horizontal="left"/>
    </xf>
    <xf numFmtId="2" fontId="0" fillId="0" borderId="46" xfId="0" applyNumberFormat="1" applyBorder="1" applyAlignment="1">
      <alignment horizontal="center"/>
    </xf>
    <xf numFmtId="0" fontId="6" fillId="0" borderId="11" xfId="0" applyFont="1" applyBorder="1"/>
    <xf numFmtId="0" fontId="0" fillId="0" borderId="58" xfId="0" applyBorder="1" applyAlignment="1">
      <alignment horizontal="center"/>
    </xf>
    <xf numFmtId="0" fontId="6" fillId="0" borderId="46" xfId="0" applyFont="1" applyBorder="1" applyAlignment="1">
      <alignment horizontal="center"/>
    </xf>
    <xf numFmtId="0" fontId="6" fillId="0" borderId="59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8" fillId="0" borderId="28" xfId="0" applyFont="1" applyBorder="1" applyAlignment="1">
      <alignment horizontal="left"/>
    </xf>
    <xf numFmtId="0" fontId="5" fillId="24" borderId="60" xfId="0" applyFont="1" applyFill="1" applyBorder="1"/>
    <xf numFmtId="0" fontId="3" fillId="0" borderId="61" xfId="0" applyFont="1" applyBorder="1"/>
    <xf numFmtId="0" fontId="6" fillId="0" borderId="49" xfId="0" applyFont="1" applyBorder="1" applyAlignment="1">
      <alignment horizontal="center"/>
    </xf>
    <xf numFmtId="0" fontId="6" fillId="0" borderId="52" xfId="0" applyFont="1" applyBorder="1" applyAlignment="1">
      <alignment horizontal="center"/>
    </xf>
    <xf numFmtId="0" fontId="5" fillId="24" borderId="42" xfId="0" applyFont="1" applyFill="1" applyBorder="1" applyAlignment="1">
      <alignment horizontal="left"/>
    </xf>
    <xf numFmtId="0" fontId="3" fillId="0" borderId="61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5" fillId="24" borderId="51" xfId="0" applyFont="1" applyFill="1" applyBorder="1" applyAlignment="1">
      <alignment horizontal="left"/>
    </xf>
    <xf numFmtId="0" fontId="5" fillId="24" borderId="13" xfId="0" applyFont="1" applyFill="1" applyBorder="1" applyAlignment="1">
      <alignment horizontal="left"/>
    </xf>
    <xf numFmtId="0" fontId="3" fillId="0" borderId="58" xfId="0" applyFont="1" applyBorder="1"/>
    <xf numFmtId="0" fontId="6" fillId="0" borderId="46" xfId="0" applyFont="1" applyBorder="1"/>
    <xf numFmtId="0" fontId="5" fillId="24" borderId="59" xfId="0" applyFont="1" applyFill="1" applyBorder="1" applyAlignment="1">
      <alignment horizontal="left"/>
    </xf>
    <xf numFmtId="0" fontId="6" fillId="0" borderId="49" xfId="0" applyFont="1" applyBorder="1"/>
    <xf numFmtId="0" fontId="5" fillId="0" borderId="11" xfId="0" applyFont="1" applyBorder="1"/>
    <xf numFmtId="0" fontId="5" fillId="0" borderId="58" xfId="0" applyFont="1" applyBorder="1"/>
    <xf numFmtId="0" fontId="0" fillId="0" borderId="59" xfId="0" applyBorder="1"/>
    <xf numFmtId="0" fontId="6" fillId="0" borderId="11" xfId="0" applyFont="1" applyBorder="1" applyAlignment="1">
      <alignment horizontal="left"/>
    </xf>
    <xf numFmtId="0" fontId="6" fillId="0" borderId="46" xfId="0" applyFont="1" applyBorder="1" applyAlignment="1">
      <alignment horizontal="left"/>
    </xf>
    <xf numFmtId="0" fontId="6" fillId="0" borderId="30" xfId="0" applyFont="1" applyBorder="1"/>
    <xf numFmtId="0" fontId="6" fillId="0" borderId="30" xfId="0" applyFont="1" applyBorder="1" applyAlignment="1">
      <alignment horizontal="left"/>
    </xf>
    <xf numFmtId="0" fontId="0" fillId="0" borderId="62" xfId="0" applyBorder="1" applyAlignment="1">
      <alignment horizontal="center"/>
    </xf>
    <xf numFmtId="0" fontId="6" fillId="24" borderId="62" xfId="0" applyFont="1" applyFill="1" applyBorder="1" applyAlignment="1">
      <alignment horizontal="center"/>
    </xf>
    <xf numFmtId="0" fontId="0" fillId="0" borderId="62" xfId="0" applyBorder="1"/>
    <xf numFmtId="0" fontId="3" fillId="0" borderId="49" xfId="0" applyFont="1" applyBorder="1" applyAlignment="1">
      <alignment horizontal="center"/>
    </xf>
    <xf numFmtId="0" fontId="6" fillId="0" borderId="51" xfId="0" applyFont="1" applyBorder="1" applyAlignment="1">
      <alignment horizontal="left"/>
    </xf>
    <xf numFmtId="0" fontId="3" fillId="0" borderId="28" xfId="0" applyFont="1" applyBorder="1" applyAlignment="1">
      <alignment horizontal="center"/>
    </xf>
    <xf numFmtId="0" fontId="6" fillId="0" borderId="62" xfId="0" applyFont="1" applyBorder="1" applyAlignment="1">
      <alignment horizontal="center"/>
    </xf>
    <xf numFmtId="0" fontId="6" fillId="0" borderId="62" xfId="0" applyFont="1" applyBorder="1" applyAlignment="1">
      <alignment horizontal="left"/>
    </xf>
    <xf numFmtId="0" fontId="7" fillId="32" borderId="46" xfId="0" applyFont="1" applyFill="1" applyBorder="1" applyAlignment="1">
      <alignment horizontal="center"/>
    </xf>
    <xf numFmtId="0" fontId="3" fillId="0" borderId="24" xfId="0" applyFont="1" applyBorder="1" applyAlignment="1">
      <alignment horizontal="left"/>
    </xf>
    <xf numFmtId="0" fontId="5" fillId="0" borderId="63" xfId="0" applyFont="1" applyBorder="1" applyAlignment="1">
      <alignment horizontal="center"/>
    </xf>
    <xf numFmtId="0" fontId="0" fillId="0" borderId="25" xfId="0" applyBorder="1"/>
    <xf numFmtId="0" fontId="5" fillId="0" borderId="60" xfId="0" applyFont="1" applyBorder="1" applyAlignment="1">
      <alignment horizontal="left"/>
    </xf>
    <xf numFmtId="0" fontId="0" fillId="0" borderId="24" xfId="0" applyBorder="1" applyAlignment="1">
      <alignment horizontal="left"/>
    </xf>
    <xf numFmtId="0" fontId="3" fillId="33" borderId="25" xfId="0" applyFont="1" applyFill="1" applyBorder="1" applyAlignment="1">
      <alignment horizontal="center"/>
    </xf>
    <xf numFmtId="0" fontId="9" fillId="34" borderId="25" xfId="0" applyFont="1" applyFill="1" applyBorder="1"/>
    <xf numFmtId="0" fontId="0" fillId="0" borderId="27" xfId="0" applyBorder="1"/>
    <xf numFmtId="0" fontId="0" fillId="0" borderId="64" xfId="0" applyBorder="1" applyAlignment="1">
      <alignment horizontal="left"/>
    </xf>
    <xf numFmtId="0" fontId="6" fillId="0" borderId="43" xfId="0" applyFont="1" applyBorder="1" applyAlignment="1">
      <alignment horizontal="right"/>
    </xf>
    <xf numFmtId="49" fontId="3" fillId="33" borderId="41" xfId="0" applyNumberFormat="1" applyFont="1" applyFill="1" applyBorder="1" applyAlignment="1">
      <alignment horizontal="center"/>
    </xf>
    <xf numFmtId="0" fontId="9" fillId="34" borderId="41" xfId="0" applyFont="1" applyFill="1" applyBorder="1" applyAlignment="1">
      <alignment horizontal="center"/>
    </xf>
    <xf numFmtId="0" fontId="0" fillId="0" borderId="52" xfId="0" applyBorder="1"/>
    <xf numFmtId="0" fontId="0" fillId="0" borderId="65" xfId="0" applyBorder="1" applyAlignment="1">
      <alignment horizontal="left"/>
    </xf>
    <xf numFmtId="0" fontId="0" fillId="33" borderId="20" xfId="0" applyFill="1" applyBorder="1" applyAlignment="1">
      <alignment horizontal="center"/>
    </xf>
    <xf numFmtId="0" fontId="10" fillId="34" borderId="20" xfId="0" applyFont="1" applyFill="1" applyBorder="1" applyAlignment="1">
      <alignment horizontal="center"/>
    </xf>
    <xf numFmtId="0" fontId="3" fillId="0" borderId="66" xfId="0" applyFont="1" applyBorder="1" applyAlignment="1">
      <alignment horizontal="left"/>
    </xf>
    <xf numFmtId="0" fontId="5" fillId="25" borderId="25" xfId="0" applyFont="1" applyFill="1" applyBorder="1" applyAlignment="1">
      <alignment horizontal="center"/>
    </xf>
    <xf numFmtId="0" fontId="9" fillId="35" borderId="25" xfId="0" applyFont="1" applyFill="1" applyBorder="1"/>
    <xf numFmtId="0" fontId="9" fillId="35" borderId="63" xfId="0" applyFont="1" applyFill="1" applyBorder="1"/>
    <xf numFmtId="49" fontId="5" fillId="25" borderId="41" xfId="0" applyNumberFormat="1" applyFont="1" applyFill="1" applyBorder="1" applyAlignment="1">
      <alignment horizontal="center"/>
    </xf>
    <xf numFmtId="0" fontId="9" fillId="35" borderId="41" xfId="0" applyFont="1" applyFill="1" applyBorder="1" applyAlignment="1">
      <alignment horizontal="center"/>
    </xf>
    <xf numFmtId="0" fontId="0" fillId="0" borderId="41" xfId="0" applyBorder="1"/>
    <xf numFmtId="0" fontId="10" fillId="35" borderId="20" xfId="0" applyFont="1" applyFill="1" applyBorder="1" applyAlignment="1">
      <alignment horizontal="center"/>
    </xf>
    <xf numFmtId="0" fontId="10" fillId="35" borderId="67" xfId="0" applyFont="1" applyFill="1" applyBorder="1" applyAlignment="1">
      <alignment horizontal="center"/>
    </xf>
    <xf numFmtId="0" fontId="5" fillId="36" borderId="25" xfId="0" applyFont="1" applyFill="1" applyBorder="1" applyAlignment="1">
      <alignment horizontal="center"/>
    </xf>
    <xf numFmtId="49" fontId="5" fillId="36" borderId="41" xfId="0" applyNumberFormat="1" applyFont="1" applyFill="1" applyBorder="1" applyAlignment="1">
      <alignment horizontal="center"/>
    </xf>
    <xf numFmtId="0" fontId="9" fillId="35" borderId="68" xfId="0" applyFont="1" applyFill="1" applyBorder="1" applyAlignment="1">
      <alignment horizontal="center"/>
    </xf>
    <xf numFmtId="0" fontId="6" fillId="36" borderId="20" xfId="0" applyFont="1" applyFill="1" applyBorder="1" applyAlignment="1">
      <alignment horizontal="center"/>
    </xf>
    <xf numFmtId="0" fontId="6" fillId="0" borderId="69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6" fillId="0" borderId="67" xfId="0" applyFont="1" applyBorder="1" applyAlignment="1">
      <alignment horizontal="center"/>
    </xf>
    <xf numFmtId="0" fontId="0" fillId="0" borderId="63" xfId="0" applyBorder="1"/>
    <xf numFmtId="0" fontId="0" fillId="0" borderId="68" xfId="0" applyBorder="1"/>
    <xf numFmtId="0" fontId="0" fillId="0" borderId="67" xfId="0" applyBorder="1"/>
    <xf numFmtId="0" fontId="3" fillId="37" borderId="25" xfId="0" applyFont="1" applyFill="1" applyBorder="1" applyAlignment="1">
      <alignment horizontal="center"/>
    </xf>
    <xf numFmtId="0" fontId="3" fillId="37" borderId="63" xfId="0" applyFont="1" applyFill="1" applyBorder="1" applyAlignment="1">
      <alignment horizontal="center"/>
    </xf>
    <xf numFmtId="0" fontId="3" fillId="0" borderId="64" xfId="0" applyFont="1" applyBorder="1" applyAlignment="1">
      <alignment horizontal="left"/>
    </xf>
    <xf numFmtId="0" fontId="3" fillId="37" borderId="41" xfId="0" applyFont="1" applyFill="1" applyBorder="1" applyAlignment="1">
      <alignment horizontal="center"/>
    </xf>
    <xf numFmtId="0" fontId="3" fillId="0" borderId="65" xfId="0" applyFont="1" applyBorder="1" applyAlignment="1">
      <alignment horizontal="left"/>
    </xf>
    <xf numFmtId="0" fontId="0" fillId="37" borderId="20" xfId="0" applyFill="1" applyBorder="1" applyAlignment="1">
      <alignment horizontal="center"/>
    </xf>
    <xf numFmtId="0" fontId="0" fillId="37" borderId="67" xfId="0" applyFill="1" applyBorder="1" applyAlignment="1">
      <alignment horizontal="center"/>
    </xf>
    <xf numFmtId="0" fontId="3" fillId="38" borderId="25" xfId="0" applyFont="1" applyFill="1" applyBorder="1" applyAlignment="1">
      <alignment horizontal="center"/>
    </xf>
    <xf numFmtId="49" fontId="3" fillId="38" borderId="41" xfId="0" applyNumberFormat="1" applyFont="1" applyFill="1" applyBorder="1" applyAlignment="1">
      <alignment horizontal="center"/>
    </xf>
    <xf numFmtId="0" fontId="0" fillId="38" borderId="20" xfId="0" applyFill="1" applyBorder="1" applyAlignment="1">
      <alignment horizontal="center"/>
    </xf>
    <xf numFmtId="0" fontId="3" fillId="24" borderId="25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49" fontId="3" fillId="24" borderId="41" xfId="0" applyNumberFormat="1" applyFont="1" applyFill="1" applyBorder="1" applyAlignment="1">
      <alignment horizontal="center"/>
    </xf>
    <xf numFmtId="0" fontId="3" fillId="37" borderId="68" xfId="0" applyFont="1" applyFill="1" applyBorder="1" applyAlignment="1">
      <alignment horizontal="center"/>
    </xf>
    <xf numFmtId="0" fontId="0" fillId="24" borderId="41" xfId="0" applyFill="1" applyBorder="1" applyAlignment="1">
      <alignment horizontal="center"/>
    </xf>
    <xf numFmtId="0" fontId="0" fillId="37" borderId="41" xfId="0" applyFill="1" applyBorder="1" applyAlignment="1">
      <alignment horizontal="center"/>
    </xf>
    <xf numFmtId="0" fontId="9" fillId="31" borderId="41" xfId="0" applyFont="1" applyFill="1" applyBorder="1" applyAlignment="1">
      <alignment horizontal="center"/>
    </xf>
    <xf numFmtId="0" fontId="3" fillId="0" borderId="63" xfId="0" applyFont="1" applyBorder="1" applyAlignment="1">
      <alignment horizontal="center"/>
    </xf>
    <xf numFmtId="49" fontId="9" fillId="31" borderId="41" xfId="0" applyNumberFormat="1" applyFont="1" applyFill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3" fillId="0" borderId="68" xfId="0" applyFont="1" applyBorder="1" applyAlignment="1">
      <alignment horizontal="center"/>
    </xf>
    <xf numFmtId="0" fontId="7" fillId="31" borderId="41" xfId="0" applyFont="1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3" fillId="0" borderId="65" xfId="0" applyFont="1" applyBorder="1"/>
    <xf numFmtId="0" fontId="5" fillId="39" borderId="25" xfId="0" applyFont="1" applyFill="1" applyBorder="1" applyAlignment="1">
      <alignment horizontal="center"/>
    </xf>
    <xf numFmtId="0" fontId="0" fillId="0" borderId="25" xfId="0" applyBorder="1" applyAlignment="1">
      <alignment horizontal="left"/>
    </xf>
    <xf numFmtId="49" fontId="5" fillId="39" borderId="41" xfId="0" applyNumberFormat="1" applyFont="1" applyFill="1" applyBorder="1" applyAlignment="1">
      <alignment horizontal="center"/>
    </xf>
    <xf numFmtId="0" fontId="0" fillId="0" borderId="41" xfId="0" applyBorder="1" applyAlignment="1">
      <alignment horizontal="left"/>
    </xf>
    <xf numFmtId="0" fontId="6" fillId="39" borderId="20" xfId="0" applyFont="1" applyFill="1" applyBorder="1" applyAlignment="1">
      <alignment horizontal="center"/>
    </xf>
    <xf numFmtId="0" fontId="3" fillId="40" borderId="25" xfId="0" applyFont="1" applyFill="1" applyBorder="1" applyAlignment="1">
      <alignment horizontal="center"/>
    </xf>
    <xf numFmtId="0" fontId="3" fillId="0" borderId="69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49" fontId="3" fillId="40" borderId="41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40" borderId="20" xfId="0" applyFill="1" applyBorder="1" applyAlignment="1">
      <alignment horizontal="center"/>
    </xf>
    <xf numFmtId="0" fontId="3" fillId="41" borderId="63" xfId="0" applyFont="1" applyFill="1" applyBorder="1" applyAlignment="1">
      <alignment horizontal="center"/>
    </xf>
    <xf numFmtId="49" fontId="3" fillId="41" borderId="68" xfId="0" applyNumberFormat="1" applyFont="1" applyFill="1" applyBorder="1" applyAlignment="1">
      <alignment horizontal="center"/>
    </xf>
    <xf numFmtId="0" fontId="0" fillId="41" borderId="20" xfId="0" applyFill="1" applyBorder="1" applyAlignment="1">
      <alignment horizontal="center"/>
    </xf>
    <xf numFmtId="0" fontId="3" fillId="0" borderId="66" xfId="0" applyFont="1" applyBorder="1"/>
    <xf numFmtId="0" fontId="3" fillId="42" borderId="63" xfId="0" applyFont="1" applyFill="1" applyBorder="1" applyAlignment="1">
      <alignment horizontal="center"/>
    </xf>
    <xf numFmtId="0" fontId="3" fillId="42" borderId="25" xfId="0" applyFont="1" applyFill="1" applyBorder="1" applyAlignment="1">
      <alignment horizontal="center"/>
    </xf>
    <xf numFmtId="49" fontId="3" fillId="42" borderId="68" xfId="0" applyNumberFormat="1" applyFont="1" applyFill="1" applyBorder="1" applyAlignment="1">
      <alignment horizontal="center"/>
    </xf>
    <xf numFmtId="0" fontId="0" fillId="0" borderId="42" xfId="0" applyBorder="1" applyAlignment="1">
      <alignment horizontal="center"/>
    </xf>
    <xf numFmtId="0" fontId="0" fillId="42" borderId="20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28" xfId="0" applyBorder="1" applyAlignment="1">
      <alignment horizontal="left"/>
    </xf>
    <xf numFmtId="0" fontId="9" fillId="34" borderId="11" xfId="0" applyFont="1" applyFill="1" applyBorder="1"/>
    <xf numFmtId="0" fontId="9" fillId="34" borderId="13" xfId="0" applyFont="1" applyFill="1" applyBorder="1"/>
    <xf numFmtId="0" fontId="10" fillId="34" borderId="30" xfId="0" applyFont="1" applyFill="1" applyBorder="1" applyAlignment="1">
      <alignment horizontal="center"/>
    </xf>
    <xf numFmtId="0" fontId="10" fillId="34" borderId="34" xfId="0" applyFont="1" applyFill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5" fillId="0" borderId="46" xfId="0" applyFont="1" applyBorder="1" applyAlignment="1">
      <alignment horizontal="center"/>
    </xf>
    <xf numFmtId="0" fontId="0" fillId="0" borderId="61" xfId="0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5" fillId="0" borderId="71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6" fillId="0" borderId="40" xfId="0" applyFont="1" applyBorder="1" applyAlignment="1">
      <alignment horizontal="left"/>
    </xf>
    <xf numFmtId="0" fontId="3" fillId="29" borderId="11" xfId="0" applyFont="1" applyFill="1" applyBorder="1" applyAlignment="1">
      <alignment horizontal="left"/>
    </xf>
    <xf numFmtId="0" fontId="3" fillId="0" borderId="58" xfId="0" applyFont="1" applyBorder="1" applyAlignment="1">
      <alignment horizontal="center"/>
    </xf>
    <xf numFmtId="0" fontId="6" fillId="29" borderId="46" xfId="0" applyFont="1" applyFill="1" applyBorder="1" applyAlignment="1">
      <alignment horizontal="center"/>
    </xf>
    <xf numFmtId="0" fontId="3" fillId="29" borderId="49" xfId="0" applyFont="1" applyFill="1" applyBorder="1" applyAlignment="1">
      <alignment horizontal="center"/>
    </xf>
    <xf numFmtId="0" fontId="0" fillId="29" borderId="46" xfId="0" applyFill="1" applyBorder="1" applyAlignment="1">
      <alignment horizontal="center"/>
    </xf>
    <xf numFmtId="0" fontId="3" fillId="29" borderId="30" xfId="0" applyFont="1" applyFill="1" applyBorder="1" applyAlignment="1">
      <alignment horizontal="center"/>
    </xf>
    <xf numFmtId="0" fontId="0" fillId="24" borderId="62" xfId="0" applyFill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58" xfId="0" applyFont="1" applyBorder="1" applyAlignment="1">
      <alignment horizontal="left"/>
    </xf>
    <xf numFmtId="0" fontId="3" fillId="0" borderId="61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3" fillId="0" borderId="72" xfId="0" applyFont="1" applyBorder="1" applyAlignment="1">
      <alignment horizontal="center"/>
    </xf>
    <xf numFmtId="0" fontId="0" fillId="43" borderId="28" xfId="0" applyFill="1" applyBorder="1" applyAlignment="1" applyProtection="1">
      <alignment horizontal="center"/>
      <protection locked="0"/>
    </xf>
    <xf numFmtId="0" fontId="0" fillId="43" borderId="48" xfId="0" applyFill="1" applyBorder="1" applyAlignment="1" applyProtection="1">
      <alignment horizontal="center"/>
      <protection locked="0"/>
    </xf>
    <xf numFmtId="0" fontId="0" fillId="0" borderId="46" xfId="0" applyBorder="1" applyAlignment="1">
      <alignment horizontal="left"/>
    </xf>
    <xf numFmtId="0" fontId="0" fillId="43" borderId="32" xfId="0" applyFill="1" applyBorder="1" applyAlignment="1" applyProtection="1">
      <alignment horizontal="center"/>
      <protection locked="0"/>
    </xf>
    <xf numFmtId="2" fontId="0" fillId="0" borderId="30" xfId="0" applyNumberFormat="1" applyBorder="1" applyAlignment="1">
      <alignment horizontal="left"/>
    </xf>
    <xf numFmtId="2" fontId="6" fillId="0" borderId="30" xfId="0" applyNumberFormat="1" applyFont="1" applyBorder="1" applyAlignment="1">
      <alignment horizontal="left"/>
    </xf>
    <xf numFmtId="2" fontId="6" fillId="0" borderId="34" xfId="0" applyNumberFormat="1" applyFont="1" applyBorder="1" applyAlignment="1">
      <alignment horizontal="left"/>
    </xf>
    <xf numFmtId="2" fontId="0" fillId="0" borderId="62" xfId="0" applyNumberFormat="1" applyBorder="1" applyAlignment="1">
      <alignment horizontal="center"/>
    </xf>
    <xf numFmtId="2" fontId="0" fillId="24" borderId="62" xfId="0" applyNumberFormat="1" applyFill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73" xfId="0" applyFont="1" applyBorder="1" applyAlignment="1">
      <alignment horizontal="left"/>
    </xf>
    <xf numFmtId="0" fontId="0" fillId="0" borderId="10" xfId="0" applyBorder="1"/>
    <xf numFmtId="0" fontId="0" fillId="0" borderId="58" xfId="0" applyBorder="1"/>
    <xf numFmtId="2" fontId="0" fillId="0" borderId="15" xfId="0" applyNumberFormat="1" applyBorder="1" applyAlignment="1">
      <alignment horizontal="center"/>
    </xf>
    <xf numFmtId="0" fontId="0" fillId="0" borderId="29" xfId="0" applyBorder="1"/>
    <xf numFmtId="0" fontId="0" fillId="0" borderId="28" xfId="0" applyBorder="1"/>
    <xf numFmtId="2" fontId="0" fillId="0" borderId="13" xfId="0" applyNumberFormat="1" applyBorder="1"/>
    <xf numFmtId="0" fontId="0" fillId="0" borderId="45" xfId="0" applyBorder="1"/>
    <xf numFmtId="2" fontId="0" fillId="0" borderId="59" xfId="0" applyNumberFormat="1" applyBorder="1"/>
    <xf numFmtId="0" fontId="0" fillId="0" borderId="32" xfId="0" applyBorder="1"/>
    <xf numFmtId="2" fontId="0" fillId="24" borderId="34" xfId="0" applyNumberFormat="1" applyFill="1" applyBorder="1"/>
    <xf numFmtId="0" fontId="0" fillId="0" borderId="19" xfId="0" applyBorder="1" applyAlignment="1">
      <alignment horizontal="left"/>
    </xf>
    <xf numFmtId="0" fontId="5" fillId="0" borderId="59" xfId="0" applyFont="1" applyBorder="1" applyAlignment="1">
      <alignment horizontal="left"/>
    </xf>
    <xf numFmtId="0" fontId="0" fillId="0" borderId="24" xfId="0" applyBorder="1"/>
    <xf numFmtId="0" fontId="0" fillId="0" borderId="60" xfId="0" applyBorder="1"/>
    <xf numFmtId="0" fontId="3" fillId="0" borderId="46" xfId="0" applyFont="1" applyBorder="1"/>
    <xf numFmtId="0" fontId="6" fillId="0" borderId="22" xfId="0" applyFont="1" applyBorder="1" applyAlignment="1">
      <alignment horizontal="center"/>
    </xf>
    <xf numFmtId="0" fontId="5" fillId="24" borderId="23" xfId="0" applyFont="1" applyFill="1" applyBorder="1" applyAlignment="1">
      <alignment horizontal="left"/>
    </xf>
    <xf numFmtId="0" fontId="0" fillId="0" borderId="59" xfId="0" applyBorder="1" applyAlignment="1">
      <alignment horizontal="center"/>
    </xf>
    <xf numFmtId="0" fontId="6" fillId="0" borderId="12" xfId="0" applyFont="1" applyBorder="1"/>
    <xf numFmtId="0" fontId="5" fillId="0" borderId="46" xfId="0" applyFont="1" applyBorder="1"/>
    <xf numFmtId="0" fontId="8" fillId="0" borderId="10" xfId="0" applyFont="1" applyBorder="1" applyAlignment="1">
      <alignment horizontal="left"/>
    </xf>
    <xf numFmtId="0" fontId="6" fillId="0" borderId="31" xfId="0" applyFont="1" applyBorder="1"/>
    <xf numFmtId="0" fontId="0" fillId="24" borderId="34" xfId="0" applyFill="1" applyBorder="1" applyAlignment="1">
      <alignment horizontal="center"/>
    </xf>
    <xf numFmtId="0" fontId="6" fillId="0" borderId="33" xfId="0" applyFont="1" applyBorder="1"/>
    <xf numFmtId="0" fontId="6" fillId="0" borderId="35" xfId="0" applyFont="1" applyBorder="1" applyAlignment="1">
      <alignment horizontal="left"/>
    </xf>
    <xf numFmtId="0" fontId="6" fillId="24" borderId="36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6" fillId="0" borderId="17" xfId="0" applyFont="1" applyBorder="1"/>
    <xf numFmtId="2" fontId="0" fillId="0" borderId="0" xfId="0" applyNumberFormat="1" applyAlignment="1">
      <alignment horizontal="right"/>
    </xf>
    <xf numFmtId="0" fontId="6" fillId="0" borderId="36" xfId="0" applyFont="1" applyBorder="1" applyAlignment="1">
      <alignment horizontal="center"/>
    </xf>
    <xf numFmtId="2" fontId="0" fillId="24" borderId="55" xfId="0" applyNumberFormat="1" applyFill="1" applyBorder="1"/>
    <xf numFmtId="0" fontId="0" fillId="0" borderId="37" xfId="0" applyBorder="1"/>
    <xf numFmtId="0" fontId="0" fillId="0" borderId="74" xfId="0" applyBorder="1"/>
    <xf numFmtId="0" fontId="6" fillId="0" borderId="0" xfId="0" applyFont="1"/>
    <xf numFmtId="0" fontId="0" fillId="24" borderId="24" xfId="0" applyFill="1" applyBorder="1" applyAlignment="1">
      <alignment horizontal="left"/>
    </xf>
    <xf numFmtId="0" fontId="0" fillId="24" borderId="64" xfId="0" applyFill="1" applyBorder="1" applyAlignment="1">
      <alignment horizontal="left"/>
    </xf>
    <xf numFmtId="0" fontId="0" fillId="0" borderId="53" xfId="0" applyBorder="1"/>
    <xf numFmtId="0" fontId="0" fillId="0" borderId="18" xfId="0" applyBorder="1" applyAlignment="1">
      <alignment horizontal="center"/>
    </xf>
    <xf numFmtId="0" fontId="3" fillId="40" borderId="44" xfId="0" applyFont="1" applyFill="1" applyBorder="1"/>
    <xf numFmtId="0" fontId="0" fillId="40" borderId="47" xfId="0" applyFill="1" applyBorder="1"/>
    <xf numFmtId="0" fontId="6" fillId="40" borderId="47" xfId="0" applyFont="1" applyFill="1" applyBorder="1"/>
    <xf numFmtId="0" fontId="3" fillId="26" borderId="44" xfId="0" applyFont="1" applyFill="1" applyBorder="1"/>
    <xf numFmtId="0" fontId="0" fillId="26" borderId="47" xfId="0" applyFill="1" applyBorder="1"/>
    <xf numFmtId="0" fontId="3" fillId="42" borderId="44" xfId="0" applyFont="1" applyFill="1" applyBorder="1" applyAlignment="1">
      <alignment horizontal="left"/>
    </xf>
    <xf numFmtId="0" fontId="0" fillId="42" borderId="47" xfId="0" applyFill="1" applyBorder="1"/>
    <xf numFmtId="0" fontId="3" fillId="39" borderId="44" xfId="0" applyFont="1" applyFill="1" applyBorder="1"/>
    <xf numFmtId="0" fontId="0" fillId="39" borderId="47" xfId="0" applyFill="1" applyBorder="1"/>
    <xf numFmtId="0" fontId="3" fillId="43" borderId="0" xfId="0" applyFont="1" applyFill="1"/>
    <xf numFmtId="0" fontId="0" fillId="43" borderId="0" xfId="0" applyFill="1"/>
    <xf numFmtId="0" fontId="6" fillId="0" borderId="25" xfId="0" applyFont="1" applyBorder="1" applyAlignment="1">
      <alignment horizontal="center"/>
    </xf>
    <xf numFmtId="0" fontId="6" fillId="0" borderId="63" xfId="0" applyFont="1" applyBorder="1" applyAlignment="1">
      <alignment horizontal="center"/>
    </xf>
    <xf numFmtId="0" fontId="3" fillId="37" borderId="44" xfId="0" applyFont="1" applyFill="1" applyBorder="1"/>
    <xf numFmtId="0" fontId="0" fillId="37" borderId="47" xfId="0" applyFill="1" applyBorder="1"/>
    <xf numFmtId="0" fontId="3" fillId="41" borderId="75" xfId="0" applyFont="1" applyFill="1" applyBorder="1" applyAlignment="1">
      <alignment horizontal="left"/>
    </xf>
    <xf numFmtId="0" fontId="0" fillId="41" borderId="50" xfId="0" applyFill="1" applyBorder="1"/>
    <xf numFmtId="0" fontId="3" fillId="24" borderId="75" xfId="0" applyFont="1" applyFill="1" applyBorder="1"/>
    <xf numFmtId="0" fontId="0" fillId="24" borderId="50" xfId="0" applyFill="1" applyBorder="1"/>
    <xf numFmtId="0" fontId="9" fillId="31" borderId="75" xfId="0" applyFont="1" applyFill="1" applyBorder="1"/>
    <xf numFmtId="0" fontId="7" fillId="31" borderId="50" xfId="0" applyFont="1" applyFill="1" applyBorder="1"/>
    <xf numFmtId="0" fontId="0" fillId="31" borderId="50" xfId="0" applyFill="1" applyBorder="1"/>
    <xf numFmtId="0" fontId="3" fillId="38" borderId="44" xfId="0" applyFont="1" applyFill="1" applyBorder="1"/>
    <xf numFmtId="0" fontId="0" fillId="38" borderId="47" xfId="0" applyFill="1" applyBorder="1"/>
    <xf numFmtId="0" fontId="6" fillId="0" borderId="68" xfId="0" applyFont="1" applyBorder="1" applyAlignment="1">
      <alignment horizontal="center"/>
    </xf>
    <xf numFmtId="0" fontId="3" fillId="25" borderId="44" xfId="0" applyFont="1" applyFill="1" applyBorder="1"/>
    <xf numFmtId="0" fontId="0" fillId="25" borderId="76" xfId="0" applyFill="1" applyBorder="1"/>
    <xf numFmtId="0" fontId="3" fillId="36" borderId="44" xfId="0" applyFont="1" applyFill="1" applyBorder="1"/>
    <xf numFmtId="0" fontId="0" fillId="36" borderId="76" xfId="0" applyFill="1" applyBorder="1"/>
    <xf numFmtId="0" fontId="3" fillId="33" borderId="44" xfId="0" applyFont="1" applyFill="1" applyBorder="1"/>
    <xf numFmtId="0" fontId="0" fillId="33" borderId="76" xfId="0" applyFill="1" applyBorder="1"/>
    <xf numFmtId="0" fontId="6" fillId="39" borderId="41" xfId="0" applyFont="1" applyFill="1" applyBorder="1" applyAlignment="1">
      <alignment horizontal="center"/>
    </xf>
    <xf numFmtId="0" fontId="3" fillId="35" borderId="44" xfId="0" applyFont="1" applyFill="1" applyBorder="1"/>
    <xf numFmtId="0" fontId="0" fillId="35" borderId="47" xfId="0" applyFill="1" applyBorder="1"/>
    <xf numFmtId="0" fontId="0" fillId="35" borderId="76" xfId="0" applyFill="1" applyBorder="1"/>
    <xf numFmtId="0" fontId="0" fillId="0" borderId="68" xfId="0" applyBorder="1" applyAlignment="1">
      <alignment horizontal="center"/>
    </xf>
    <xf numFmtId="2" fontId="0" fillId="0" borderId="0" xfId="0" applyNumberFormat="1" applyAlignment="1">
      <alignment horizontal="left"/>
    </xf>
    <xf numFmtId="0" fontId="3" fillId="34" borderId="44" xfId="0" applyFont="1" applyFill="1" applyBorder="1"/>
    <xf numFmtId="0" fontId="0" fillId="34" borderId="47" xfId="0" applyFill="1" applyBorder="1"/>
    <xf numFmtId="0" fontId="0" fillId="34" borderId="76" xfId="0" applyFill="1" applyBorder="1"/>
    <xf numFmtId="49" fontId="3" fillId="0" borderId="0" xfId="0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3" fillId="0" borderId="11" xfId="0" applyFont="1" applyBorder="1" applyAlignment="1">
      <alignment horizontal="left"/>
    </xf>
    <xf numFmtId="166" fontId="6" fillId="0" borderId="11" xfId="0" applyNumberFormat="1" applyFont="1" applyBorder="1" applyAlignment="1">
      <alignment horizontal="center"/>
    </xf>
    <xf numFmtId="167" fontId="0" fillId="0" borderId="0" xfId="0" applyNumberFormat="1"/>
    <xf numFmtId="2" fontId="0" fillId="28" borderId="0" xfId="0" applyNumberFormat="1" applyFill="1"/>
    <xf numFmtId="0" fontId="3" fillId="0" borderId="77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0" fillId="0" borderId="53" xfId="0" applyBorder="1" applyAlignment="1">
      <alignment horizontal="left"/>
    </xf>
    <xf numFmtId="0" fontId="3" fillId="0" borderId="72" xfId="0" applyFont="1" applyBorder="1" applyAlignment="1">
      <alignment horizontal="left"/>
    </xf>
    <xf numFmtId="0" fontId="0" fillId="0" borderId="26" xfId="0" applyBorder="1" applyAlignment="1">
      <alignment horizontal="center"/>
    </xf>
    <xf numFmtId="0" fontId="6" fillId="0" borderId="27" xfId="0" applyFont="1" applyBorder="1" applyAlignment="1">
      <alignment horizontal="left"/>
    </xf>
    <xf numFmtId="0" fontId="6" fillId="0" borderId="24" xfId="0" applyFont="1" applyBorder="1" applyAlignment="1">
      <alignment horizontal="left"/>
    </xf>
    <xf numFmtId="0" fontId="5" fillId="0" borderId="19" xfId="0" applyFont="1" applyBorder="1" applyAlignment="1">
      <alignment horizontal="left"/>
    </xf>
    <xf numFmtId="167" fontId="0" fillId="0" borderId="16" xfId="0" applyNumberFormat="1" applyBorder="1"/>
    <xf numFmtId="0" fontId="0" fillId="0" borderId="61" xfId="0" applyBorder="1"/>
    <xf numFmtId="0" fontId="0" fillId="0" borderId="51" xfId="0" applyBorder="1" applyAlignment="1">
      <alignment horizontal="center"/>
    </xf>
    <xf numFmtId="0" fontId="6" fillId="0" borderId="10" xfId="0" applyFont="1" applyBorder="1" applyAlignment="1">
      <alignment horizontal="left"/>
    </xf>
    <xf numFmtId="0" fontId="3" fillId="0" borderId="12" xfId="0" applyFont="1" applyBorder="1" applyAlignment="1">
      <alignment horizontal="left"/>
    </xf>
    <xf numFmtId="0" fontId="6" fillId="40" borderId="30" xfId="0" applyFont="1" applyFill="1" applyBorder="1" applyAlignment="1">
      <alignment horizontal="center"/>
    </xf>
    <xf numFmtId="0" fontId="6" fillId="24" borderId="24" xfId="0" applyFont="1" applyFill="1" applyBorder="1" applyAlignment="1">
      <alignment horizontal="left"/>
    </xf>
    <xf numFmtId="0" fontId="6" fillId="24" borderId="11" xfId="0" applyFont="1" applyFill="1" applyBorder="1" applyAlignment="1">
      <alignment horizontal="center"/>
    </xf>
    <xf numFmtId="0" fontId="6" fillId="24" borderId="12" xfId="0" applyFont="1" applyFill="1" applyBorder="1"/>
    <xf numFmtId="0" fontId="6" fillId="24" borderId="13" xfId="0" applyFont="1" applyFill="1" applyBorder="1" applyAlignment="1">
      <alignment horizontal="left"/>
    </xf>
    <xf numFmtId="0" fontId="5" fillId="24" borderId="19" xfId="0" applyFont="1" applyFill="1" applyBorder="1" applyAlignment="1">
      <alignment horizontal="left"/>
    </xf>
    <xf numFmtId="0" fontId="6" fillId="24" borderId="30" xfId="0" applyFont="1" applyFill="1" applyBorder="1" applyAlignment="1">
      <alignment horizontal="center"/>
    </xf>
    <xf numFmtId="0" fontId="6" fillId="24" borderId="23" xfId="0" applyFont="1" applyFill="1" applyBorder="1" applyAlignment="1">
      <alignment horizontal="left"/>
    </xf>
    <xf numFmtId="0" fontId="5" fillId="24" borderId="11" xfId="0" applyFont="1" applyFill="1" applyBorder="1" applyAlignment="1">
      <alignment horizontal="center"/>
    </xf>
    <xf numFmtId="2" fontId="0" fillId="29" borderId="0" xfId="0" applyNumberFormat="1" applyFill="1"/>
    <xf numFmtId="0" fontId="0" fillId="0" borderId="28" xfId="0" applyBorder="1" applyAlignment="1" applyProtection="1">
      <alignment horizontal="center"/>
      <protection locked="0"/>
    </xf>
    <xf numFmtId="0" fontId="12" fillId="0" borderId="29" xfId="0" applyFont="1" applyBorder="1" applyAlignment="1">
      <alignment horizontal="left"/>
    </xf>
    <xf numFmtId="0" fontId="0" fillId="0" borderId="15" xfId="0" applyBorder="1" applyAlignment="1" applyProtection="1">
      <alignment horizontal="center"/>
      <protection locked="0"/>
    </xf>
    <xf numFmtId="0" fontId="3" fillId="0" borderId="15" xfId="0" applyFont="1" applyBorder="1" applyAlignment="1">
      <alignment horizontal="center"/>
    </xf>
    <xf numFmtId="0" fontId="3" fillId="0" borderId="78" xfId="0" applyFont="1" applyBorder="1" applyAlignment="1">
      <alignment horizontal="center"/>
    </xf>
    <xf numFmtId="0" fontId="0" fillId="0" borderId="29" xfId="0" applyBorder="1" applyAlignment="1">
      <alignment horizontal="left"/>
    </xf>
    <xf numFmtId="0" fontId="0" fillId="0" borderId="46" xfId="0" applyBorder="1" applyAlignment="1" applyProtection="1">
      <alignment horizontal="center"/>
      <protection locked="0"/>
    </xf>
    <xf numFmtId="0" fontId="5" fillId="44" borderId="44" xfId="0" applyFont="1" applyFill="1" applyBorder="1" applyAlignment="1">
      <alignment horizontal="left"/>
    </xf>
    <xf numFmtId="0" fontId="5" fillId="25" borderId="44" xfId="0" applyFont="1" applyFill="1" applyBorder="1"/>
    <xf numFmtId="0" fontId="6" fillId="25" borderId="47" xfId="0" applyFont="1" applyFill="1" applyBorder="1"/>
    <xf numFmtId="0" fontId="5" fillId="29" borderId="44" xfId="0" applyFont="1" applyFill="1" applyBorder="1" applyAlignment="1">
      <alignment horizontal="left"/>
    </xf>
    <xf numFmtId="0" fontId="5" fillId="29" borderId="47" xfId="0" applyFont="1" applyFill="1" applyBorder="1" applyAlignment="1">
      <alignment horizontal="left"/>
    </xf>
    <xf numFmtId="0" fontId="6" fillId="29" borderId="47" xfId="0" applyFont="1" applyFill="1" applyBorder="1"/>
    <xf numFmtId="0" fontId="6" fillId="29" borderId="76" xfId="0" applyFont="1" applyFill="1" applyBorder="1"/>
    <xf numFmtId="0" fontId="5" fillId="37" borderId="44" xfId="0" applyFont="1" applyFill="1" applyBorder="1" applyAlignment="1">
      <alignment horizontal="left"/>
    </xf>
    <xf numFmtId="0" fontId="5" fillId="37" borderId="47" xfId="0" applyFont="1" applyFill="1" applyBorder="1" applyAlignment="1">
      <alignment horizontal="left"/>
    </xf>
    <xf numFmtId="0" fontId="5" fillId="45" borderId="44" xfId="0" applyFont="1" applyFill="1" applyBorder="1" applyAlignment="1">
      <alignment horizontal="left"/>
    </xf>
    <xf numFmtId="0" fontId="0" fillId="45" borderId="47" xfId="0" applyFill="1" applyBorder="1"/>
    <xf numFmtId="0" fontId="6" fillId="45" borderId="47" xfId="0" applyFont="1" applyFill="1" applyBorder="1"/>
    <xf numFmtId="0" fontId="6" fillId="45" borderId="76" xfId="0" applyFont="1" applyFill="1" applyBorder="1"/>
    <xf numFmtId="0" fontId="5" fillId="24" borderId="44" xfId="0" applyFont="1" applyFill="1" applyBorder="1"/>
    <xf numFmtId="0" fontId="0" fillId="24" borderId="47" xfId="0" applyFill="1" applyBorder="1"/>
    <xf numFmtId="0" fontId="6" fillId="24" borderId="47" xfId="0" applyFont="1" applyFill="1" applyBorder="1"/>
    <xf numFmtId="0" fontId="5" fillId="40" borderId="44" xfId="0" applyFont="1" applyFill="1" applyBorder="1" applyAlignment="1">
      <alignment horizontal="left"/>
    </xf>
    <xf numFmtId="0" fontId="0" fillId="40" borderId="76" xfId="0" applyFill="1" applyBorder="1"/>
    <xf numFmtId="0" fontId="3" fillId="46" borderId="0" xfId="0" applyFont="1" applyFill="1"/>
    <xf numFmtId="0" fontId="0" fillId="46" borderId="50" xfId="0" applyFill="1" applyBorder="1"/>
    <xf numFmtId="0" fontId="6" fillId="46" borderId="50" xfId="0" applyFont="1" applyFill="1" applyBorder="1"/>
    <xf numFmtId="0" fontId="6" fillId="46" borderId="79" xfId="0" applyFont="1" applyFill="1" applyBorder="1"/>
    <xf numFmtId="0" fontId="5" fillId="0" borderId="75" xfId="0" applyFont="1" applyBorder="1"/>
    <xf numFmtId="0" fontId="6" fillId="0" borderId="50" xfId="0" applyFont="1" applyBorder="1"/>
    <xf numFmtId="0" fontId="6" fillId="0" borderId="79" xfId="0" applyFont="1" applyBorder="1"/>
    <xf numFmtId="0" fontId="5" fillId="39" borderId="46" xfId="0" applyFont="1" applyFill="1" applyBorder="1" applyAlignment="1">
      <alignment horizontal="left"/>
    </xf>
    <xf numFmtId="0" fontId="5" fillId="47" borderId="44" xfId="0" applyFont="1" applyFill="1" applyBorder="1"/>
    <xf numFmtId="0" fontId="6" fillId="47" borderId="47" xfId="0" applyFont="1" applyFill="1" applyBorder="1"/>
    <xf numFmtId="0" fontId="6" fillId="47" borderId="16" xfId="0" applyFont="1" applyFill="1" applyBorder="1"/>
    <xf numFmtId="0" fontId="6" fillId="47" borderId="78" xfId="0" applyFont="1" applyFill="1" applyBorder="1"/>
    <xf numFmtId="0" fontId="5" fillId="0" borderId="17" xfId="0" applyFont="1" applyBorder="1"/>
    <xf numFmtId="0" fontId="6" fillId="0" borderId="16" xfId="0" applyFont="1" applyBorder="1"/>
    <xf numFmtId="0" fontId="6" fillId="0" borderId="16" xfId="0" applyFont="1" applyBorder="1" applyAlignment="1">
      <alignment horizontal="left"/>
    </xf>
    <xf numFmtId="0" fontId="6" fillId="0" borderId="44" xfId="0" applyFont="1" applyBorder="1" applyAlignment="1">
      <alignment horizontal="left"/>
    </xf>
    <xf numFmtId="0" fontId="6" fillId="0" borderId="47" xfId="0" applyFont="1" applyBorder="1" applyAlignment="1">
      <alignment horizontal="left"/>
    </xf>
    <xf numFmtId="0" fontId="5" fillId="26" borderId="15" xfId="0" applyFont="1" applyFill="1" applyBorder="1" applyAlignment="1">
      <alignment horizontal="left"/>
    </xf>
    <xf numFmtId="0" fontId="5" fillId="26" borderId="16" xfId="0" applyFont="1" applyFill="1" applyBorder="1"/>
    <xf numFmtId="0" fontId="0" fillId="26" borderId="16" xfId="0" applyFill="1" applyBorder="1"/>
    <xf numFmtId="0" fontId="6" fillId="26" borderId="16" xfId="0" applyFont="1" applyFill="1" applyBorder="1"/>
    <xf numFmtId="0" fontId="6" fillId="26" borderId="78" xfId="0" applyFont="1" applyFill="1" applyBorder="1"/>
    <xf numFmtId="0" fontId="6" fillId="0" borderId="47" xfId="0" applyFont="1" applyBorder="1"/>
    <xf numFmtId="0" fontId="6" fillId="0" borderId="76" xfId="0" applyFont="1" applyBorder="1"/>
    <xf numFmtId="0" fontId="6" fillId="48" borderId="44" xfId="0" applyFont="1" applyFill="1" applyBorder="1"/>
    <xf numFmtId="0" fontId="6" fillId="48" borderId="47" xfId="0" applyFont="1" applyFill="1" applyBorder="1"/>
    <xf numFmtId="0" fontId="6" fillId="48" borderId="76" xfId="0" applyFont="1" applyFill="1" applyBorder="1"/>
    <xf numFmtId="0" fontId="13" fillId="0" borderId="44" xfId="0" applyFont="1" applyBorder="1"/>
    <xf numFmtId="0" fontId="0" fillId="0" borderId="76" xfId="0" applyBorder="1"/>
    <xf numFmtId="0" fontId="0" fillId="0" borderId="80" xfId="0" applyBorder="1"/>
    <xf numFmtId="0" fontId="13" fillId="0" borderId="47" xfId="0" applyFont="1" applyBorder="1"/>
    <xf numFmtId="0" fontId="13" fillId="0" borderId="75" xfId="0" applyFont="1" applyBorder="1"/>
    <xf numFmtId="0" fontId="0" fillId="0" borderId="79" xfId="0" applyBorder="1"/>
    <xf numFmtId="0" fontId="13" fillId="0" borderId="17" xfId="0" applyFont="1" applyBorder="1"/>
    <xf numFmtId="0" fontId="3" fillId="0" borderId="44" xfId="0" applyFont="1" applyBorder="1"/>
    <xf numFmtId="0" fontId="13" fillId="0" borderId="0" xfId="0" applyFont="1"/>
    <xf numFmtId="0" fontId="15" fillId="0" borderId="0" xfId="0" applyFont="1"/>
    <xf numFmtId="0" fontId="8" fillId="37" borderId="28" xfId="0" applyFont="1" applyFill="1" applyBorder="1" applyAlignment="1">
      <alignment horizontal="center" wrapText="1"/>
    </xf>
    <xf numFmtId="0" fontId="8" fillId="45" borderId="13" xfId="0" applyFont="1" applyFill="1" applyBorder="1" applyAlignment="1">
      <alignment horizontal="center" wrapText="1"/>
    </xf>
    <xf numFmtId="0" fontId="0" fillId="43" borderId="46" xfId="0" applyFill="1" applyBorder="1" applyAlignment="1" applyProtection="1">
      <alignment horizontal="center"/>
      <protection locked="0"/>
    </xf>
    <xf numFmtId="0" fontId="0" fillId="43" borderId="46" xfId="0" applyFill="1" applyBorder="1" applyProtection="1">
      <protection locked="0"/>
    </xf>
    <xf numFmtId="0" fontId="0" fillId="0" borderId="44" xfId="0" applyBorder="1" applyAlignment="1">
      <alignment horizontal="center" vertical="center"/>
    </xf>
    <xf numFmtId="0" fontId="3" fillId="24" borderId="44" xfId="0" applyFont="1" applyFill="1" applyBorder="1"/>
    <xf numFmtId="0" fontId="0" fillId="24" borderId="46" xfId="0" applyFill="1" applyBorder="1" applyAlignment="1">
      <alignment horizontal="center" vertical="center"/>
    </xf>
    <xf numFmtId="0" fontId="0" fillId="24" borderId="44" xfId="0" applyFill="1" applyBorder="1" applyAlignment="1">
      <alignment horizontal="center" vertical="center"/>
    </xf>
    <xf numFmtId="0" fontId="8" fillId="24" borderId="58" xfId="0" applyFont="1" applyFill="1" applyBorder="1" applyAlignment="1">
      <alignment horizontal="center" vertical="center"/>
    </xf>
    <xf numFmtId="0" fontId="8" fillId="24" borderId="59" xfId="0" applyFont="1" applyFill="1" applyBorder="1" applyAlignment="1">
      <alignment horizontal="center" vertical="center"/>
    </xf>
    <xf numFmtId="0" fontId="0" fillId="43" borderId="15" xfId="0" applyFill="1" applyBorder="1" applyAlignment="1" applyProtection="1">
      <alignment horizontal="center"/>
      <protection locked="0"/>
    </xf>
    <xf numFmtId="0" fontId="5" fillId="0" borderId="15" xfId="0" applyFont="1" applyBorder="1"/>
    <xf numFmtId="0" fontId="8" fillId="0" borderId="53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3" fillId="24" borderId="46" xfId="0" applyFont="1" applyFill="1" applyBorder="1" applyAlignment="1" applyProtection="1">
      <alignment horizontal="left"/>
      <protection locked="0"/>
    </xf>
    <xf numFmtId="0" fontId="3" fillId="24" borderId="46" xfId="0" applyFont="1" applyFill="1" applyBorder="1"/>
    <xf numFmtId="0" fontId="8" fillId="0" borderId="81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0" fillId="43" borderId="0" xfId="0" applyFill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0" fontId="0" fillId="0" borderId="69" xfId="0" applyBorder="1" applyAlignment="1">
      <alignment horizontal="left"/>
    </xf>
    <xf numFmtId="0" fontId="0" fillId="0" borderId="69" xfId="0" applyBorder="1"/>
    <xf numFmtId="0" fontId="3" fillId="0" borderId="26" xfId="0" applyFont="1" applyBorder="1"/>
    <xf numFmtId="0" fontId="3" fillId="0" borderId="26" xfId="0" applyFont="1" applyBorder="1" applyAlignment="1">
      <alignment horizontal="left"/>
    </xf>
    <xf numFmtId="0" fontId="3" fillId="0" borderId="31" xfId="0" applyFont="1" applyBorder="1" applyAlignment="1">
      <alignment horizontal="left"/>
    </xf>
    <xf numFmtId="0" fontId="0" fillId="0" borderId="82" xfId="0" applyBorder="1"/>
    <xf numFmtId="0" fontId="3" fillId="0" borderId="48" xfId="0" applyFont="1" applyBorder="1"/>
    <xf numFmtId="0" fontId="3" fillId="0" borderId="75" xfId="0" applyFont="1" applyBorder="1"/>
    <xf numFmtId="0" fontId="13" fillId="0" borderId="50" xfId="0" applyFont="1" applyBorder="1"/>
    <xf numFmtId="0" fontId="3" fillId="0" borderId="50" xfId="0" applyFont="1" applyBorder="1"/>
    <xf numFmtId="0" fontId="0" fillId="0" borderId="83" xfId="0" applyBorder="1"/>
    <xf numFmtId="0" fontId="3" fillId="0" borderId="45" xfId="0" applyFont="1" applyBorder="1"/>
    <xf numFmtId="0" fontId="3" fillId="0" borderId="52" xfId="0" applyFont="1" applyBorder="1"/>
    <xf numFmtId="0" fontId="0" fillId="0" borderId="84" xfId="0" applyBorder="1"/>
    <xf numFmtId="0" fontId="3" fillId="0" borderId="32" xfId="0" applyFont="1" applyBorder="1"/>
    <xf numFmtId="0" fontId="0" fillId="0" borderId="81" xfId="0" applyBorder="1"/>
    <xf numFmtId="0" fontId="3" fillId="0" borderId="35" xfId="0" applyFont="1" applyBorder="1"/>
    <xf numFmtId="0" fontId="13" fillId="0" borderId="33" xfId="0" applyFont="1" applyBorder="1"/>
    <xf numFmtId="0" fontId="0" fillId="0" borderId="85" xfId="0" applyBorder="1"/>
    <xf numFmtId="0" fontId="16" fillId="0" borderId="0" xfId="0" applyFont="1" applyAlignment="1">
      <alignment horizontal="left"/>
    </xf>
    <xf numFmtId="0" fontId="6" fillId="0" borderId="0" xfId="0" applyFont="1" applyAlignment="1">
      <alignment horizontal="center" vertical="center"/>
    </xf>
    <xf numFmtId="0" fontId="0" fillId="0" borderId="49" xfId="0" applyBorder="1" applyAlignment="1" applyProtection="1">
      <alignment horizontal="center"/>
      <protection locked="0"/>
    </xf>
    <xf numFmtId="0" fontId="0" fillId="24" borderId="28" xfId="0" applyFill="1" applyBorder="1" applyAlignment="1" applyProtection="1">
      <alignment horizontal="center"/>
      <protection locked="0"/>
    </xf>
    <xf numFmtId="0" fontId="0" fillId="43" borderId="58" xfId="0" applyFill="1" applyBorder="1" applyAlignment="1" applyProtection="1">
      <alignment horizontal="center"/>
      <protection locked="0"/>
    </xf>
    <xf numFmtId="0" fontId="0" fillId="0" borderId="46" xfId="0" applyBorder="1" applyAlignment="1">
      <alignment horizontal="left" vertical="center"/>
    </xf>
    <xf numFmtId="0" fontId="0" fillId="43" borderId="29" xfId="0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left"/>
    </xf>
    <xf numFmtId="0" fontId="0" fillId="24" borderId="53" xfId="0" applyFill="1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left"/>
      <protection locked="0"/>
    </xf>
    <xf numFmtId="0" fontId="3" fillId="0" borderId="77" xfId="0" applyFont="1" applyBorder="1" applyAlignment="1">
      <alignment horizontal="left"/>
    </xf>
    <xf numFmtId="0" fontId="0" fillId="0" borderId="77" xfId="0" applyBorder="1"/>
    <xf numFmtId="0" fontId="5" fillId="0" borderId="77" xfId="0" applyFont="1" applyBorder="1" applyAlignment="1">
      <alignment horizontal="center"/>
    </xf>
    <xf numFmtId="0" fontId="0" fillId="0" borderId="77" xfId="0" applyBorder="1" applyAlignment="1">
      <alignment horizontal="center"/>
    </xf>
    <xf numFmtId="0" fontId="5" fillId="0" borderId="69" xfId="0" applyFont="1" applyBorder="1"/>
    <xf numFmtId="0" fontId="3" fillId="0" borderId="46" xfId="0" applyFont="1" applyBorder="1" applyAlignment="1" applyProtection="1">
      <alignment horizontal="center"/>
      <protection locked="0"/>
    </xf>
    <xf numFmtId="49" fontId="6" fillId="0" borderId="46" xfId="0" applyNumberFormat="1" applyFont="1" applyBorder="1" applyAlignment="1">
      <alignment horizontal="center" vertical="center"/>
    </xf>
    <xf numFmtId="0" fontId="3" fillId="43" borderId="0" xfId="0" applyFont="1" applyFill="1" applyAlignment="1" applyProtection="1">
      <alignment horizontal="center"/>
      <protection locked="0"/>
    </xf>
    <xf numFmtId="49" fontId="6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31" xfId="0" applyFont="1" applyBorder="1"/>
    <xf numFmtId="0" fontId="5" fillId="0" borderId="77" xfId="0" applyFont="1" applyBorder="1"/>
    <xf numFmtId="0" fontId="6" fillId="0" borderId="69" xfId="0" applyFont="1" applyBorder="1"/>
    <xf numFmtId="0" fontId="6" fillId="0" borderId="60" xfId="0" applyFont="1" applyBorder="1"/>
    <xf numFmtId="0" fontId="6" fillId="0" borderId="44" xfId="0" applyFont="1" applyBorder="1"/>
    <xf numFmtId="0" fontId="6" fillId="0" borderId="80" xfId="0" applyFont="1" applyBorder="1"/>
    <xf numFmtId="0" fontId="3" fillId="0" borderId="44" xfId="0" applyFont="1" applyBorder="1" applyAlignment="1">
      <alignment horizontal="left"/>
    </xf>
    <xf numFmtId="0" fontId="0" fillId="0" borderId="76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4" xfId="0" applyBorder="1" applyAlignment="1">
      <alignment horizontal="left" vertical="center"/>
    </xf>
    <xf numFmtId="0" fontId="0" fillId="0" borderId="47" xfId="0" applyBorder="1" applyAlignment="1">
      <alignment vertical="center"/>
    </xf>
    <xf numFmtId="0" fontId="0" fillId="0" borderId="47" xfId="0" applyBorder="1" applyAlignment="1">
      <alignment horizontal="left" vertical="center"/>
    </xf>
    <xf numFmtId="0" fontId="0" fillId="0" borderId="80" xfId="0" applyBorder="1" applyAlignment="1">
      <alignment vertical="center"/>
    </xf>
    <xf numFmtId="0" fontId="3" fillId="0" borderId="35" xfId="0" applyFont="1" applyBorder="1" applyAlignment="1">
      <alignment horizontal="left"/>
    </xf>
    <xf numFmtId="0" fontId="0" fillId="0" borderId="81" xfId="0" applyBorder="1" applyAlignment="1">
      <alignment horizontal="left"/>
    </xf>
    <xf numFmtId="0" fontId="0" fillId="0" borderId="35" xfId="0" applyBorder="1"/>
    <xf numFmtId="0" fontId="0" fillId="0" borderId="33" xfId="0" applyBorder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3" fillId="43" borderId="46" xfId="0" applyFont="1" applyFill="1" applyBorder="1" applyAlignment="1">
      <alignment horizontal="center"/>
    </xf>
    <xf numFmtId="0" fontId="3" fillId="43" borderId="0" xfId="0" applyFont="1" applyFill="1" applyAlignment="1">
      <alignment horizontal="center"/>
    </xf>
    <xf numFmtId="0" fontId="3" fillId="0" borderId="47" xfId="0" applyFont="1" applyBorder="1"/>
    <xf numFmtId="0" fontId="3" fillId="0" borderId="76" xfId="0" applyFont="1" applyBorder="1" applyAlignment="1">
      <alignment horizontal="left"/>
    </xf>
    <xf numFmtId="0" fontId="3" fillId="0" borderId="75" xfId="0" applyFont="1" applyBorder="1" applyAlignment="1">
      <alignment horizontal="left"/>
    </xf>
    <xf numFmtId="0" fontId="0" fillId="0" borderId="79" xfId="0" applyBorder="1" applyAlignment="1">
      <alignment horizontal="left"/>
    </xf>
    <xf numFmtId="0" fontId="0" fillId="0" borderId="50" xfId="0" applyBorder="1" applyAlignment="1">
      <alignment horizontal="left"/>
    </xf>
    <xf numFmtId="168" fontId="8" fillId="0" borderId="35" xfId="0" applyNumberFormat="1" applyFont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75" xfId="0" applyBorder="1" applyAlignment="1">
      <alignment horizontal="left"/>
    </xf>
    <xf numFmtId="0" fontId="5" fillId="0" borderId="46" xfId="0" applyFont="1" applyBorder="1" applyAlignment="1">
      <alignment horizontal="left"/>
    </xf>
    <xf numFmtId="0" fontId="6" fillId="0" borderId="79" xfId="0" applyFont="1" applyBorder="1" applyAlignment="1">
      <alignment horizontal="left"/>
    </xf>
    <xf numFmtId="0" fontId="6" fillId="0" borderId="50" xfId="0" applyFont="1" applyBorder="1" applyAlignment="1">
      <alignment horizontal="left"/>
    </xf>
    <xf numFmtId="0" fontId="6" fillId="0" borderId="76" xfId="0" applyFont="1" applyBorder="1" applyAlignment="1">
      <alignment horizontal="left"/>
    </xf>
    <xf numFmtId="0" fontId="5" fillId="0" borderId="44" xfId="0" applyFont="1" applyBorder="1" applyAlignment="1">
      <alignment horizontal="left"/>
    </xf>
    <xf numFmtId="0" fontId="6" fillId="0" borderId="68" xfId="0" applyFont="1" applyBorder="1"/>
    <xf numFmtId="0" fontId="17" fillId="0" borderId="46" xfId="0" applyFont="1" applyBorder="1" applyAlignment="1" applyProtection="1">
      <alignment horizontal="center"/>
      <protection locked="0"/>
    </xf>
    <xf numFmtId="0" fontId="0" fillId="43" borderId="44" xfId="0" applyFill="1" applyBorder="1" applyAlignment="1" applyProtection="1">
      <alignment horizontal="center"/>
      <protection locked="0"/>
    </xf>
    <xf numFmtId="0" fontId="5" fillId="0" borderId="17" xfId="0" applyFont="1" applyBorder="1" applyAlignment="1">
      <alignment horizontal="left"/>
    </xf>
    <xf numFmtId="0" fontId="0" fillId="0" borderId="16" xfId="0" applyBorder="1" applyAlignment="1">
      <alignment horizontal="left"/>
    </xf>
    <xf numFmtId="0" fontId="3" fillId="0" borderId="49" xfId="0" applyFont="1" applyBorder="1" applyAlignment="1" applyProtection="1">
      <alignment horizontal="center"/>
      <protection locked="0"/>
    </xf>
    <xf numFmtId="0" fontId="18" fillId="0" borderId="46" xfId="0" applyFont="1" applyBorder="1" applyAlignment="1" applyProtection="1">
      <alignment horizontal="center"/>
      <protection locked="0"/>
    </xf>
    <xf numFmtId="0" fontId="8" fillId="0" borderId="61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20" fillId="0" borderId="0" xfId="0" applyFont="1"/>
    <xf numFmtId="0" fontId="8" fillId="0" borderId="0" xfId="0" applyFont="1" applyAlignment="1">
      <alignment horizontal="center" wrapText="1"/>
    </xf>
    <xf numFmtId="0" fontId="0" fillId="0" borderId="15" xfId="0" applyBorder="1" applyAlignment="1">
      <alignment horizontal="left"/>
    </xf>
    <xf numFmtId="0" fontId="0" fillId="0" borderId="78" xfId="0" applyBorder="1"/>
    <xf numFmtId="0" fontId="3" fillId="0" borderId="16" xfId="0" applyFont="1" applyBorder="1" applyAlignment="1">
      <alignment horizontal="left"/>
    </xf>
    <xf numFmtId="0" fontId="3" fillId="0" borderId="17" xfId="0" applyFont="1" applyBorder="1" applyAlignment="1">
      <alignment horizontal="left"/>
    </xf>
    <xf numFmtId="0" fontId="0" fillId="0" borderId="86" xfId="0" applyBorder="1"/>
    <xf numFmtId="0" fontId="3" fillId="0" borderId="45" xfId="0" applyFont="1" applyBorder="1" applyAlignment="1">
      <alignment horizontal="center"/>
    </xf>
    <xf numFmtId="49" fontId="0" fillId="0" borderId="44" xfId="0" applyNumberFormat="1" applyBorder="1"/>
    <xf numFmtId="0" fontId="0" fillId="0" borderId="17" xfId="0" applyBorder="1" applyAlignment="1">
      <alignment horizontal="left"/>
    </xf>
    <xf numFmtId="0" fontId="0" fillId="0" borderId="78" xfId="0" applyBorder="1" applyAlignment="1">
      <alignment horizontal="left"/>
    </xf>
    <xf numFmtId="49" fontId="0" fillId="0" borderId="16" xfId="0" applyNumberFormat="1" applyBorder="1"/>
    <xf numFmtId="0" fontId="3" fillId="0" borderId="32" xfId="0" applyFont="1" applyBorder="1" applyAlignment="1">
      <alignment horizontal="center"/>
    </xf>
    <xf numFmtId="49" fontId="0" fillId="0" borderId="35" xfId="0" applyNumberFormat="1" applyBorder="1"/>
    <xf numFmtId="0" fontId="12" fillId="0" borderId="46" xfId="0" applyFont="1" applyBorder="1" applyAlignment="1">
      <alignment horizontal="left"/>
    </xf>
    <xf numFmtId="0" fontId="0" fillId="43" borderId="49" xfId="0" applyFill="1" applyBorder="1" applyAlignment="1" applyProtection="1">
      <alignment horizontal="center"/>
      <protection locked="0"/>
    </xf>
    <xf numFmtId="0" fontId="12" fillId="0" borderId="0" xfId="0" applyFont="1" applyAlignment="1">
      <alignment horizontal="left"/>
    </xf>
    <xf numFmtId="0" fontId="0" fillId="0" borderId="21" xfId="0" applyBorder="1"/>
    <xf numFmtId="0" fontId="0" fillId="0" borderId="22" xfId="0" applyBorder="1"/>
    <xf numFmtId="0" fontId="3" fillId="0" borderId="22" xfId="0" applyFont="1" applyBorder="1" applyAlignment="1">
      <alignment horizontal="left"/>
    </xf>
    <xf numFmtId="0" fontId="0" fillId="0" borderId="87" xfId="0" applyBorder="1"/>
    <xf numFmtId="0" fontId="3" fillId="0" borderId="15" xfId="0" applyFont="1" applyBorder="1" applyAlignment="1" applyProtection="1">
      <alignment horizontal="left"/>
      <protection locked="0"/>
    </xf>
    <xf numFmtId="0" fontId="0" fillId="43" borderId="46" xfId="0" applyFill="1" applyBorder="1" applyAlignment="1">
      <alignment horizontal="center"/>
    </xf>
    <xf numFmtId="0" fontId="0" fillId="24" borderId="46" xfId="0" applyFill="1" applyBorder="1" applyAlignment="1" applyProtection="1">
      <alignment horizontal="center"/>
      <protection locked="0"/>
    </xf>
    <xf numFmtId="0" fontId="3" fillId="24" borderId="49" xfId="0" applyFont="1" applyFill="1" applyBorder="1"/>
    <xf numFmtId="0" fontId="8" fillId="24" borderId="61" xfId="0" applyFont="1" applyFill="1" applyBorder="1" applyAlignment="1">
      <alignment horizontal="center" vertical="center"/>
    </xf>
    <xf numFmtId="0" fontId="8" fillId="24" borderId="51" xfId="0" applyFont="1" applyFill="1" applyBorder="1" applyAlignment="1">
      <alignment horizontal="center" vertical="center"/>
    </xf>
    <xf numFmtId="0" fontId="0" fillId="0" borderId="22" xfId="0" applyBorder="1" applyAlignment="1">
      <alignment horizontal="left"/>
    </xf>
    <xf numFmtId="0" fontId="0" fillId="0" borderId="21" xfId="0" applyBorder="1" applyAlignment="1">
      <alignment horizontal="center"/>
    </xf>
    <xf numFmtId="0" fontId="8" fillId="0" borderId="58" xfId="0" applyFont="1" applyBorder="1" applyAlignment="1">
      <alignment horizontal="center" vertical="center" wrapText="1"/>
    </xf>
    <xf numFmtId="0" fontId="8" fillId="0" borderId="59" xfId="0" applyFont="1" applyBorder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19" fillId="49" borderId="44" xfId="0" applyFont="1" applyFill="1" applyBorder="1" applyAlignment="1">
      <alignment wrapText="1"/>
    </xf>
    <xf numFmtId="0" fontId="19" fillId="0" borderId="17" xfId="0" applyFont="1" applyBorder="1" applyAlignment="1">
      <alignment wrapText="1"/>
    </xf>
    <xf numFmtId="169" fontId="19" fillId="0" borderId="88" xfId="0" applyNumberFormat="1" applyFont="1" applyBorder="1" applyAlignment="1">
      <alignment horizontal="right" wrapText="1"/>
    </xf>
    <xf numFmtId="0" fontId="19" fillId="0" borderId="44" xfId="0" applyFont="1" applyBorder="1" applyAlignment="1">
      <alignment wrapText="1"/>
    </xf>
    <xf numFmtId="169" fontId="19" fillId="0" borderId="89" xfId="0" applyNumberFormat="1" applyFont="1" applyBorder="1" applyAlignment="1">
      <alignment horizontal="right" wrapText="1"/>
    </xf>
    <xf numFmtId="170" fontId="19" fillId="0" borderId="89" xfId="0" applyNumberFormat="1" applyFont="1" applyBorder="1" applyAlignment="1">
      <alignment horizontal="center"/>
    </xf>
    <xf numFmtId="0" fontId="19" fillId="39" borderId="44" xfId="0" applyFont="1" applyFill="1" applyBorder="1" applyAlignment="1">
      <alignment wrapText="1"/>
    </xf>
    <xf numFmtId="169" fontId="19" fillId="39" borderId="89" xfId="0" applyNumberFormat="1" applyFont="1" applyFill="1" applyBorder="1" applyAlignment="1">
      <alignment horizontal="right" wrapText="1"/>
    </xf>
    <xf numFmtId="0" fontId="19" fillId="0" borderId="89" xfId="0" applyFont="1" applyBorder="1" applyAlignment="1">
      <alignment horizontal="center"/>
    </xf>
    <xf numFmtId="0" fontId="23" fillId="39" borderId="44" xfId="0" applyFont="1" applyFill="1" applyBorder="1" applyAlignment="1">
      <alignment wrapText="1"/>
    </xf>
    <xf numFmtId="0" fontId="19" fillId="0" borderId="90" xfId="0" applyFont="1" applyBorder="1" applyAlignment="1">
      <alignment horizontal="center"/>
    </xf>
    <xf numFmtId="0" fontId="23" fillId="47" borderId="44" xfId="0" applyFont="1" applyFill="1" applyBorder="1" applyAlignment="1">
      <alignment wrapText="1"/>
    </xf>
    <xf numFmtId="169" fontId="19" fillId="47" borderId="89" xfId="0" applyNumberFormat="1" applyFont="1" applyFill="1" applyBorder="1" applyAlignment="1">
      <alignment horizontal="right"/>
    </xf>
    <xf numFmtId="0" fontId="23" fillId="40" borderId="44" xfId="0" applyFont="1" applyFill="1" applyBorder="1"/>
    <xf numFmtId="169" fontId="19" fillId="40" borderId="89" xfId="0" applyNumberFormat="1" applyFont="1" applyFill="1" applyBorder="1" applyAlignment="1">
      <alignment horizontal="right" wrapText="1"/>
    </xf>
    <xf numFmtId="0" fontId="23" fillId="38" borderId="44" xfId="0" applyFont="1" applyFill="1" applyBorder="1"/>
    <xf numFmtId="169" fontId="19" fillId="38" borderId="89" xfId="0" applyNumberFormat="1" applyFont="1" applyFill="1" applyBorder="1" applyAlignment="1">
      <alignment horizontal="right" wrapText="1"/>
    </xf>
    <xf numFmtId="169" fontId="19" fillId="38" borderId="90" xfId="0" applyNumberFormat="1" applyFont="1" applyFill="1" applyBorder="1" applyAlignment="1">
      <alignment horizontal="right" wrapText="1"/>
    </xf>
    <xf numFmtId="171" fontId="0" fillId="0" borderId="0" xfId="0" applyNumberFormat="1"/>
    <xf numFmtId="0" fontId="24" fillId="0" borderId="0" xfId="0" applyFont="1"/>
    <xf numFmtId="0" fontId="0" fillId="24" borderId="49" xfId="0" applyFill="1" applyBorder="1" applyAlignment="1">
      <alignment horizontal="center"/>
    </xf>
    <xf numFmtId="0" fontId="0" fillId="0" borderId="75" xfId="0" applyBorder="1"/>
    <xf numFmtId="0" fontId="17" fillId="24" borderId="24" xfId="0" applyFont="1" applyFill="1" applyBorder="1"/>
    <xf numFmtId="0" fontId="17" fillId="24" borderId="69" xfId="0" applyFont="1" applyFill="1" applyBorder="1" applyAlignment="1">
      <alignment horizontal="center"/>
    </xf>
    <xf numFmtId="0" fontId="17" fillId="24" borderId="69" xfId="0" applyFont="1" applyFill="1" applyBorder="1" applyAlignment="1">
      <alignment wrapText="1"/>
    </xf>
    <xf numFmtId="0" fontId="17" fillId="24" borderId="69" xfId="0" applyFont="1" applyFill="1" applyBorder="1"/>
    <xf numFmtId="0" fontId="17" fillId="24" borderId="60" xfId="0" applyFont="1" applyFill="1" applyBorder="1"/>
    <xf numFmtId="0" fontId="17" fillId="24" borderId="43" xfId="0" applyFont="1" applyFill="1" applyBorder="1"/>
    <xf numFmtId="0" fontId="17" fillId="24" borderId="0" xfId="0" applyFont="1" applyFill="1"/>
    <xf numFmtId="0" fontId="17" fillId="24" borderId="0" xfId="0" applyFont="1" applyFill="1" applyAlignment="1">
      <alignment horizontal="center"/>
    </xf>
    <xf numFmtId="0" fontId="25" fillId="24" borderId="43" xfId="0" applyFont="1" applyFill="1" applyBorder="1" applyAlignment="1">
      <alignment horizontal="center"/>
    </xf>
    <xf numFmtId="0" fontId="25" fillId="24" borderId="0" xfId="0" applyFont="1" applyFill="1" applyAlignment="1">
      <alignment horizontal="center"/>
    </xf>
    <xf numFmtId="0" fontId="25" fillId="24" borderId="83" xfId="0" applyFont="1" applyFill="1" applyBorder="1" applyAlignment="1">
      <alignment horizontal="center"/>
    </xf>
    <xf numFmtId="0" fontId="17" fillId="24" borderId="83" xfId="0" applyFont="1" applyFill="1" applyBorder="1"/>
    <xf numFmtId="0" fontId="21" fillId="39" borderId="46" xfId="0" applyFont="1" applyFill="1" applyBorder="1" applyAlignment="1">
      <alignment wrapText="1"/>
    </xf>
    <xf numFmtId="0" fontId="6" fillId="0" borderId="46" xfId="0" applyFont="1" applyBorder="1" applyAlignment="1">
      <alignment wrapText="1"/>
    </xf>
    <xf numFmtId="0" fontId="8" fillId="0" borderId="76" xfId="0" applyFont="1" applyBorder="1" applyAlignment="1">
      <alignment wrapText="1"/>
    </xf>
    <xf numFmtId="0" fontId="17" fillId="0" borderId="46" xfId="0" applyFont="1" applyBorder="1" applyAlignment="1">
      <alignment wrapText="1"/>
    </xf>
    <xf numFmtId="0" fontId="25" fillId="0" borderId="44" xfId="0" applyFont="1" applyBorder="1" applyAlignment="1">
      <alignment horizontal="center" wrapText="1"/>
    </xf>
    <xf numFmtId="3" fontId="25" fillId="0" borderId="58" xfId="0" applyNumberFormat="1" applyFont="1" applyBorder="1"/>
    <xf numFmtId="3" fontId="25" fillId="0" borderId="44" xfId="0" applyNumberFormat="1" applyFont="1" applyBorder="1"/>
    <xf numFmtId="3" fontId="25" fillId="0" borderId="46" xfId="0" applyNumberFormat="1" applyFont="1" applyBorder="1"/>
    <xf numFmtId="3" fontId="25" fillId="0" borderId="59" xfId="0" applyNumberFormat="1" applyFont="1" applyBorder="1"/>
    <xf numFmtId="0" fontId="17" fillId="0" borderId="80" xfId="0" applyFont="1" applyBorder="1"/>
    <xf numFmtId="0" fontId="26" fillId="0" borderId="0" xfId="0" applyFont="1"/>
    <xf numFmtId="0" fontId="27" fillId="0" borderId="0" xfId="0" applyFont="1"/>
    <xf numFmtId="0" fontId="25" fillId="24" borderId="24" xfId="0" applyFont="1" applyFill="1" applyBorder="1"/>
    <xf numFmtId="0" fontId="25" fillId="24" borderId="69" xfId="0" applyFont="1" applyFill="1" applyBorder="1"/>
    <xf numFmtId="0" fontId="25" fillId="24" borderId="60" xfId="0" applyFont="1" applyFill="1" applyBorder="1"/>
    <xf numFmtId="0" fontId="17" fillId="45" borderId="43" xfId="0" applyFont="1" applyFill="1" applyBorder="1" applyAlignment="1">
      <alignment wrapText="1"/>
    </xf>
    <xf numFmtId="0" fontId="8" fillId="0" borderId="46" xfId="0" applyFont="1" applyBorder="1" applyAlignment="1">
      <alignment wrapText="1"/>
    </xf>
    <xf numFmtId="0" fontId="25" fillId="0" borderId="44" xfId="0" applyFont="1" applyBorder="1" applyAlignment="1">
      <alignment horizontal="center"/>
    </xf>
    <xf numFmtId="1" fontId="25" fillId="0" borderId="58" xfId="0" applyNumberFormat="1" applyFont="1" applyBorder="1" applyAlignment="1">
      <alignment horizontal="center"/>
    </xf>
    <xf numFmtId="1" fontId="25" fillId="0" borderId="46" xfId="0" applyNumberFormat="1" applyFont="1" applyBorder="1" applyAlignment="1">
      <alignment horizontal="center"/>
    </xf>
    <xf numFmtId="1" fontId="25" fillId="0" borderId="59" xfId="0" applyNumberFormat="1" applyFont="1" applyBorder="1" applyAlignment="1">
      <alignment horizontal="center"/>
    </xf>
    <xf numFmtId="0" fontId="8" fillId="0" borderId="80" xfId="0" applyFont="1" applyBorder="1" applyAlignment="1">
      <alignment horizontal="center" wrapText="1"/>
    </xf>
    <xf numFmtId="0" fontId="25" fillId="0" borderId="46" xfId="0" applyFont="1" applyBorder="1" applyAlignment="1">
      <alignment wrapText="1"/>
    </xf>
    <xf numFmtId="0" fontId="8" fillId="0" borderId="46" xfId="0" applyFont="1" applyBorder="1" applyAlignment="1">
      <alignment vertical="top" wrapText="1"/>
    </xf>
    <xf numFmtId="0" fontId="17" fillId="0" borderId="80" xfId="0" applyFont="1" applyBorder="1" applyAlignment="1">
      <alignment horizontal="center"/>
    </xf>
    <xf numFmtId="0" fontId="17" fillId="39" borderId="43" xfId="0" applyFont="1" applyFill="1" applyBorder="1" applyAlignment="1">
      <alignment wrapText="1"/>
    </xf>
    <xf numFmtId="0" fontId="17" fillId="47" borderId="43" xfId="0" applyFont="1" applyFill="1" applyBorder="1" applyAlignment="1">
      <alignment wrapText="1"/>
    </xf>
    <xf numFmtId="0" fontId="17" fillId="40" borderId="43" xfId="0" applyFont="1" applyFill="1" applyBorder="1" applyAlignment="1">
      <alignment wrapText="1"/>
    </xf>
    <xf numFmtId="0" fontId="17" fillId="40" borderId="19" xfId="0" applyFont="1" applyFill="1" applyBorder="1" applyAlignment="1">
      <alignment wrapText="1"/>
    </xf>
    <xf numFmtId="0" fontId="25" fillId="0" borderId="30" xfId="0" applyFont="1" applyBorder="1" applyAlignment="1">
      <alignment wrapText="1"/>
    </xf>
    <xf numFmtId="0" fontId="8" fillId="0" borderId="30" xfId="0" applyFont="1" applyBorder="1" applyAlignment="1">
      <alignment vertical="top" wrapText="1"/>
    </xf>
    <xf numFmtId="0" fontId="25" fillId="0" borderId="35" xfId="0" applyFont="1" applyBorder="1" applyAlignment="1">
      <alignment horizontal="center"/>
    </xf>
    <xf numFmtId="1" fontId="25" fillId="0" borderId="29" xfId="0" applyNumberFormat="1" applyFont="1" applyBorder="1" applyAlignment="1">
      <alignment horizontal="center"/>
    </xf>
    <xf numFmtId="1" fontId="25" fillId="0" borderId="30" xfId="0" applyNumberFormat="1" applyFont="1" applyBorder="1" applyAlignment="1">
      <alignment horizontal="center"/>
    </xf>
    <xf numFmtId="1" fontId="25" fillId="0" borderId="34" xfId="0" applyNumberFormat="1" applyFont="1" applyBorder="1" applyAlignment="1">
      <alignment horizontal="center"/>
    </xf>
    <xf numFmtId="0" fontId="17" fillId="0" borderId="85" xfId="0" applyFont="1" applyBorder="1" applyAlignment="1">
      <alignment horizontal="center"/>
    </xf>
    <xf numFmtId="0" fontId="21" fillId="48" borderId="43" xfId="0" applyFont="1" applyFill="1" applyBorder="1" applyAlignment="1">
      <alignment wrapText="1"/>
    </xf>
    <xf numFmtId="172" fontId="25" fillId="0" borderId="45" xfId="0" applyNumberFormat="1" applyFont="1" applyBorder="1"/>
    <xf numFmtId="172" fontId="25" fillId="0" borderId="46" xfId="0" applyNumberFormat="1" applyFont="1" applyBorder="1"/>
    <xf numFmtId="172" fontId="25" fillId="0" borderId="59" xfId="0" applyNumberFormat="1" applyFont="1" applyBorder="1"/>
    <xf numFmtId="0" fontId="8" fillId="0" borderId="80" xfId="0" applyFont="1" applyBorder="1" applyAlignment="1">
      <alignment wrapText="1"/>
    </xf>
    <xf numFmtId="0" fontId="21" fillId="48" borderId="19" xfId="0" applyFont="1" applyFill="1" applyBorder="1" applyAlignment="1">
      <alignment wrapText="1"/>
    </xf>
    <xf numFmtId="3" fontId="25" fillId="0" borderId="29" xfId="0" applyNumberFormat="1" applyFont="1" applyBorder="1"/>
    <xf numFmtId="3" fontId="25" fillId="0" borderId="30" xfId="0" applyNumberFormat="1" applyFont="1" applyBorder="1"/>
    <xf numFmtId="3" fontId="25" fillId="0" borderId="34" xfId="0" applyNumberFormat="1" applyFont="1" applyBorder="1"/>
    <xf numFmtId="0" fontId="17" fillId="0" borderId="85" xfId="0" applyFont="1" applyBorder="1"/>
    <xf numFmtId="0" fontId="19" fillId="0" borderId="0" xfId="0" applyFont="1" applyAlignment="1">
      <alignment horizontal="left"/>
    </xf>
    <xf numFmtId="0" fontId="0" fillId="0" borderId="91" xfId="0" applyBorder="1"/>
    <xf numFmtId="0" fontId="3" fillId="0" borderId="69" xfId="0" applyFont="1" applyBorder="1" applyAlignment="1">
      <alignment horizontal="left"/>
    </xf>
    <xf numFmtId="0" fontId="0" fillId="0" borderId="92" xfId="0" applyBorder="1" applyAlignment="1">
      <alignment horizontal="left"/>
    </xf>
    <xf numFmtId="0" fontId="0" fillId="0" borderId="93" xfId="0" applyBorder="1"/>
    <xf numFmtId="0" fontId="3" fillId="0" borderId="94" xfId="0" applyFont="1" applyBorder="1" applyAlignment="1">
      <alignment horizontal="left"/>
    </xf>
    <xf numFmtId="0" fontId="45" fillId="0" borderId="0" xfId="0" applyFont="1"/>
    <xf numFmtId="171" fontId="45" fillId="0" borderId="0" xfId="0" applyNumberFormat="1" applyFont="1"/>
    <xf numFmtId="0" fontId="45" fillId="51" borderId="95" xfId="0" applyFont="1" applyFill="1" applyBorder="1" applyAlignment="1">
      <alignment horizontal="center"/>
    </xf>
    <xf numFmtId="0" fontId="45" fillId="51" borderId="97" xfId="0" applyFont="1" applyFill="1" applyBorder="1" applyAlignment="1">
      <alignment horizontal="center"/>
    </xf>
    <xf numFmtId="171" fontId="45" fillId="51" borderId="97" xfId="0" applyNumberFormat="1" applyFont="1" applyFill="1" applyBorder="1" applyAlignment="1">
      <alignment horizontal="center"/>
    </xf>
    <xf numFmtId="0" fontId="45" fillId="0" borderId="95" xfId="0" applyFont="1" applyBorder="1"/>
    <xf numFmtId="0" fontId="45" fillId="0" borderId="101" xfId="0" applyFont="1" applyBorder="1"/>
    <xf numFmtId="0" fontId="45" fillId="0" borderId="102" xfId="0" applyFont="1" applyBorder="1"/>
    <xf numFmtId="17" fontId="45" fillId="0" borderId="95" xfId="0" applyNumberFormat="1" applyFont="1" applyBorder="1"/>
    <xf numFmtId="0" fontId="45" fillId="0" borderId="104" xfId="0" applyFont="1" applyBorder="1"/>
    <xf numFmtId="0" fontId="45" fillId="0" borderId="102" xfId="0" applyFont="1" applyBorder="1" applyAlignment="1">
      <alignment horizontal="left" vertical="center"/>
    </xf>
    <xf numFmtId="0" fontId="45" fillId="0" borderId="120" xfId="0" applyFont="1" applyBorder="1"/>
    <xf numFmtId="0" fontId="45" fillId="0" borderId="100" xfId="0" applyFont="1" applyBorder="1"/>
    <xf numFmtId="0" fontId="45" fillId="0" borderId="121" xfId="0" applyFont="1" applyBorder="1"/>
    <xf numFmtId="0" fontId="45" fillId="0" borderId="96" xfId="0" applyFont="1" applyBorder="1" applyAlignment="1">
      <alignment horizontal="left" vertical="center"/>
    </xf>
    <xf numFmtId="0" fontId="45" fillId="0" borderId="108" xfId="0" applyFont="1" applyBorder="1"/>
    <xf numFmtId="0" fontId="45" fillId="50" borderId="95" xfId="0" applyFont="1" applyFill="1" applyBorder="1"/>
    <xf numFmtId="0" fontId="45" fillId="0" borderId="100" xfId="0" applyFont="1" applyBorder="1" applyAlignment="1">
      <alignment horizontal="left"/>
    </xf>
    <xf numFmtId="0" fontId="45" fillId="0" borderId="95" xfId="0" applyFont="1" applyBorder="1" applyAlignment="1">
      <alignment horizontal="left"/>
    </xf>
    <xf numFmtId="0" fontId="45" fillId="0" borderId="114" xfId="0" applyFont="1" applyBorder="1"/>
    <xf numFmtId="0" fontId="45" fillId="0" borderId="96" xfId="0" applyFont="1" applyBorder="1" applyAlignment="1">
      <alignment horizontal="left"/>
    </xf>
    <xf numFmtId="0" fontId="45" fillId="0" borderId="96" xfId="0" applyFont="1" applyBorder="1"/>
    <xf numFmtId="0" fontId="45" fillId="0" borderId="95" xfId="0" applyFont="1" applyBorder="1" applyAlignment="1">
      <alignment horizontal="left" vertical="center"/>
    </xf>
    <xf numFmtId="0" fontId="45" fillId="0" borderId="122" xfId="0" applyFont="1" applyBorder="1"/>
    <xf numFmtId="0" fontId="45" fillId="0" borderId="0" xfId="0" applyFont="1" applyAlignment="1">
      <alignment horizontal="left" vertical="center"/>
    </xf>
    <xf numFmtId="0" fontId="20" fillId="0" borderId="95" xfId="0" applyFont="1" applyBorder="1"/>
    <xf numFmtId="0" fontId="45" fillId="0" borderId="97" xfId="0" applyFont="1" applyBorder="1" applyAlignment="1">
      <alignment horizontal="center"/>
    </xf>
    <xf numFmtId="0" fontId="45" fillId="0" borderId="97" xfId="0" applyFont="1" applyBorder="1" applyAlignment="1">
      <alignment horizontal="left"/>
    </xf>
    <xf numFmtId="0" fontId="45" fillId="0" borderId="123" xfId="0" applyFont="1" applyBorder="1"/>
    <xf numFmtId="0" fontId="45" fillId="0" borderId="112" xfId="0" applyFont="1" applyBorder="1" applyAlignment="1">
      <alignment horizontal="left" vertical="center"/>
    </xf>
    <xf numFmtId="0" fontId="45" fillId="0" borderId="46" xfId="0" applyFont="1" applyBorder="1" applyAlignment="1">
      <alignment horizontal="left" vertical="center"/>
    </xf>
    <xf numFmtId="0" fontId="46" fillId="0" borderId="0" xfId="33" applyFont="1"/>
    <xf numFmtId="0" fontId="2" fillId="0" borderId="0" xfId="33"/>
    <xf numFmtId="0" fontId="45" fillId="0" borderId="95" xfId="33" applyFont="1" applyBorder="1"/>
    <xf numFmtId="0" fontId="8" fillId="0" borderId="0" xfId="33" applyFont="1"/>
    <xf numFmtId="49" fontId="45" fillId="0" borderId="95" xfId="0" applyNumberFormat="1" applyFont="1" applyBorder="1"/>
    <xf numFmtId="49" fontId="45" fillId="0" borderId="105" xfId="0" applyNumberFormat="1" applyFont="1" applyBorder="1"/>
    <xf numFmtId="49" fontId="45" fillId="0" borderId="126" xfId="0" applyNumberFormat="1" applyFont="1" applyBorder="1"/>
    <xf numFmtId="49" fontId="45" fillId="0" borderId="103" xfId="0" applyNumberFormat="1" applyFont="1" applyBorder="1"/>
    <xf numFmtId="49" fontId="45" fillId="0" borderId="109" xfId="0" applyNumberFormat="1" applyFont="1" applyBorder="1" applyAlignment="1">
      <alignment horizontal="right"/>
    </xf>
    <xf numFmtId="49" fontId="45" fillId="0" borderId="107" xfId="0" applyNumberFormat="1" applyFont="1" applyBorder="1"/>
    <xf numFmtId="49" fontId="45" fillId="0" borderId="109" xfId="0" applyNumberFormat="1" applyFont="1" applyBorder="1"/>
    <xf numFmtId="49" fontId="45" fillId="0" borderId="119" xfId="0" applyNumberFormat="1" applyFont="1" applyBorder="1"/>
    <xf numFmtId="49" fontId="45" fillId="0" borderId="110" xfId="0" applyNumberFormat="1" applyFont="1" applyBorder="1"/>
    <xf numFmtId="0" fontId="6" fillId="52" borderId="30" xfId="0" applyFont="1" applyFill="1" applyBorder="1" applyAlignment="1">
      <alignment horizontal="center" vertical="center"/>
    </xf>
    <xf numFmtId="49" fontId="6" fillId="52" borderId="46" xfId="0" applyNumberFormat="1" applyFont="1" applyFill="1" applyBorder="1" applyAlignment="1">
      <alignment horizontal="center" vertical="center"/>
    </xf>
    <xf numFmtId="0" fontId="6" fillId="52" borderId="11" xfId="0" applyFont="1" applyFill="1" applyBorder="1" applyAlignment="1">
      <alignment horizontal="center" vertical="center"/>
    </xf>
    <xf numFmtId="0" fontId="6" fillId="52" borderId="15" xfId="0" applyFont="1" applyFill="1" applyBorder="1" applyAlignment="1">
      <alignment horizontal="center" vertical="center"/>
    </xf>
    <xf numFmtId="49" fontId="45" fillId="0" borderId="121" xfId="0" applyNumberFormat="1" applyFont="1" applyBorder="1"/>
    <xf numFmtId="0" fontId="6" fillId="52" borderId="46" xfId="0" applyFont="1" applyFill="1" applyBorder="1" applyAlignment="1">
      <alignment horizontal="center"/>
    </xf>
    <xf numFmtId="0" fontId="6" fillId="52" borderId="41" xfId="0" applyFont="1" applyFill="1" applyBorder="1" applyAlignment="1">
      <alignment horizontal="center" vertical="center"/>
    </xf>
    <xf numFmtId="0" fontId="6" fillId="52" borderId="46" xfId="0" applyFont="1" applyFill="1" applyBorder="1" applyAlignment="1">
      <alignment horizontal="center" vertical="center"/>
    </xf>
    <xf numFmtId="0" fontId="6" fillId="52" borderId="44" xfId="0" applyFont="1" applyFill="1" applyBorder="1" applyAlignment="1">
      <alignment horizontal="center" vertical="center"/>
    </xf>
    <xf numFmtId="0" fontId="6" fillId="52" borderId="20" xfId="0" applyFont="1" applyFill="1" applyBorder="1" applyAlignment="1">
      <alignment horizontal="center" vertical="center"/>
    </xf>
    <xf numFmtId="0" fontId="6" fillId="52" borderId="17" xfId="0" applyFont="1" applyFill="1" applyBorder="1" applyAlignment="1">
      <alignment horizontal="center" vertical="center"/>
    </xf>
    <xf numFmtId="0" fontId="6" fillId="52" borderId="49" xfId="0" applyFont="1" applyFill="1" applyBorder="1" applyAlignment="1">
      <alignment horizontal="center" vertical="center"/>
    </xf>
    <xf numFmtId="0" fontId="6" fillId="52" borderId="13" xfId="0" applyFont="1" applyFill="1" applyBorder="1" applyAlignment="1">
      <alignment horizontal="center" vertical="center"/>
    </xf>
    <xf numFmtId="0" fontId="6" fillId="52" borderId="59" xfId="0" applyFont="1" applyFill="1" applyBorder="1" applyAlignment="1">
      <alignment horizontal="center" vertical="center"/>
    </xf>
    <xf numFmtId="0" fontId="6" fillId="52" borderId="34" xfId="0" applyFont="1" applyFill="1" applyBorder="1" applyAlignment="1">
      <alignment horizontal="center" vertical="center"/>
    </xf>
    <xf numFmtId="0" fontId="6" fillId="52" borderId="25" xfId="0" applyFont="1" applyFill="1" applyBorder="1" applyAlignment="1">
      <alignment horizontal="center" vertical="center"/>
    </xf>
    <xf numFmtId="0" fontId="6" fillId="52" borderId="18" xfId="0" applyFont="1" applyFill="1" applyBorder="1" applyAlignment="1">
      <alignment horizontal="center" vertical="center"/>
    </xf>
    <xf numFmtId="0" fontId="6" fillId="52" borderId="0" xfId="0" applyFont="1" applyFill="1" applyAlignment="1">
      <alignment horizontal="center" vertical="center"/>
    </xf>
    <xf numFmtId="0" fontId="6" fillId="52" borderId="76" xfId="0" applyFont="1" applyFill="1" applyBorder="1" applyAlignment="1">
      <alignment horizontal="center" vertical="center"/>
    </xf>
    <xf numFmtId="0" fontId="6" fillId="52" borderId="35" xfId="0" applyFont="1" applyFill="1" applyBorder="1" applyAlignment="1">
      <alignment horizontal="center" vertical="center"/>
    </xf>
    <xf numFmtId="0" fontId="6" fillId="52" borderId="12" xfId="0" applyFont="1" applyFill="1" applyBorder="1" applyAlignment="1">
      <alignment horizontal="center" vertical="center"/>
    </xf>
    <xf numFmtId="0" fontId="6" fillId="52" borderId="95" xfId="0" applyFont="1" applyFill="1" applyBorder="1" applyAlignment="1">
      <alignment horizontal="center" vertical="center"/>
    </xf>
    <xf numFmtId="0" fontId="6" fillId="52" borderId="44" xfId="0" applyFont="1" applyFill="1" applyBorder="1" applyAlignment="1">
      <alignment horizontal="center"/>
    </xf>
    <xf numFmtId="0" fontId="6" fillId="52" borderId="46" xfId="0" applyFont="1" applyFill="1" applyBorder="1"/>
    <xf numFmtId="0" fontId="3" fillId="0" borderId="0" xfId="0" applyFont="1" applyAlignment="1" applyProtection="1">
      <alignment horizontal="center"/>
      <protection locked="0"/>
    </xf>
    <xf numFmtId="0" fontId="8" fillId="0" borderId="0" xfId="0" applyFont="1" applyAlignment="1">
      <alignment horizontal="center"/>
    </xf>
    <xf numFmtId="0" fontId="6" fillId="52" borderId="49" xfId="0" applyFont="1" applyFill="1" applyBorder="1" applyAlignment="1">
      <alignment horizontal="center"/>
    </xf>
    <xf numFmtId="0" fontId="6" fillId="53" borderId="49" xfId="0" applyFont="1" applyFill="1" applyBorder="1" applyAlignment="1">
      <alignment horizontal="center"/>
    </xf>
    <xf numFmtId="0" fontId="12" fillId="0" borderId="46" xfId="0" applyFont="1" applyBorder="1" applyAlignment="1">
      <alignment horizontal="left" vertical="center"/>
    </xf>
    <xf numFmtId="0" fontId="12" fillId="43" borderId="79" xfId="0" applyFont="1" applyFill="1" applyBorder="1" applyAlignment="1" applyProtection="1">
      <alignment vertical="center"/>
      <protection locked="0"/>
    </xf>
    <xf numFmtId="0" fontId="12" fillId="0" borderId="46" xfId="0" applyFont="1" applyBorder="1" applyAlignment="1">
      <alignment vertical="center"/>
    </xf>
    <xf numFmtId="0" fontId="12" fillId="0" borderId="49" xfId="0" applyFont="1" applyBorder="1" applyAlignment="1">
      <alignment horizontal="left" vertical="center"/>
    </xf>
    <xf numFmtId="0" fontId="0" fillId="0" borderId="95" xfId="0" applyBorder="1"/>
    <xf numFmtId="0" fontId="0" fillId="0" borderId="30" xfId="0" applyBorder="1" applyAlignment="1">
      <alignment horizontal="left" vertical="center"/>
    </xf>
    <xf numFmtId="0" fontId="2" fillId="0" borderId="44" xfId="0" applyFont="1" applyBorder="1" applyAlignment="1">
      <alignment horizontal="left"/>
    </xf>
    <xf numFmtId="0" fontId="3" fillId="0" borderId="95" xfId="43" applyFont="1" applyBorder="1" applyAlignment="1">
      <alignment horizontal="center"/>
    </xf>
    <xf numFmtId="0" fontId="2" fillId="0" borderId="95" xfId="43" applyBorder="1" applyAlignment="1">
      <alignment horizontal="center"/>
    </xf>
    <xf numFmtId="0" fontId="0" fillId="0" borderId="127" xfId="0" applyBorder="1"/>
    <xf numFmtId="0" fontId="0" fillId="0" borderId="128" xfId="0" applyBorder="1"/>
    <xf numFmtId="49" fontId="0" fillId="0" borderId="128" xfId="0" applyNumberFormat="1" applyBorder="1"/>
    <xf numFmtId="0" fontId="0" fillId="0" borderId="129" xfId="0" applyBorder="1"/>
    <xf numFmtId="0" fontId="3" fillId="0" borderId="127" xfId="0" applyFont="1" applyBorder="1" applyAlignment="1">
      <alignment horizontal="left"/>
    </xf>
    <xf numFmtId="0" fontId="3" fillId="0" borderId="128" xfId="0" applyFont="1" applyBorder="1" applyAlignment="1">
      <alignment horizontal="left"/>
    </xf>
    <xf numFmtId="0" fontId="48" fillId="0" borderId="95" xfId="0" applyFont="1" applyBorder="1" applyAlignment="1">
      <alignment vertical="top" wrapText="1"/>
    </xf>
    <xf numFmtId="0" fontId="3" fillId="43" borderId="0" xfId="0" applyFont="1" applyFill="1" applyAlignment="1">
      <alignment horizontal="left"/>
    </xf>
    <xf numFmtId="0" fontId="3" fillId="0" borderId="117" xfId="0" applyFont="1" applyBorder="1" applyAlignment="1">
      <alignment horizontal="center"/>
    </xf>
    <xf numFmtId="0" fontId="3" fillId="0" borderId="115" xfId="0" applyFont="1" applyBorder="1" applyAlignment="1">
      <alignment horizontal="left"/>
    </xf>
    <xf numFmtId="0" fontId="0" fillId="0" borderId="115" xfId="0" applyBorder="1"/>
    <xf numFmtId="0" fontId="0" fillId="0" borderId="130" xfId="0" applyBorder="1"/>
    <xf numFmtId="0" fontId="0" fillId="0" borderId="131" xfId="0" applyBorder="1"/>
    <xf numFmtId="0" fontId="3" fillId="0" borderId="131" xfId="0" applyFont="1" applyBorder="1" applyAlignment="1">
      <alignment horizontal="left"/>
    </xf>
    <xf numFmtId="0" fontId="0" fillId="0" borderId="119" xfId="0" applyBorder="1"/>
    <xf numFmtId="0" fontId="6" fillId="0" borderId="94" xfId="0" applyFont="1" applyBorder="1" applyAlignment="1">
      <alignment horizontal="center" vertical="center"/>
    </xf>
    <xf numFmtId="49" fontId="6" fillId="0" borderId="118" xfId="0" applyNumberFormat="1" applyFont="1" applyBorder="1" applyAlignment="1">
      <alignment horizontal="center" vertical="center"/>
    </xf>
    <xf numFmtId="49" fontId="6" fillId="0" borderId="92" xfId="0" applyNumberFormat="1" applyFont="1" applyBorder="1" applyAlignment="1">
      <alignment horizontal="center" vertical="center"/>
    </xf>
    <xf numFmtId="0" fontId="6" fillId="0" borderId="93" xfId="0" applyFont="1" applyBorder="1" applyAlignment="1">
      <alignment horizontal="center" vertical="center"/>
    </xf>
    <xf numFmtId="0" fontId="6" fillId="0" borderId="116" xfId="0" applyFont="1" applyBorder="1" applyAlignment="1">
      <alignment horizontal="center" vertical="center"/>
    </xf>
    <xf numFmtId="0" fontId="8" fillId="0" borderId="93" xfId="0" applyFont="1" applyBorder="1" applyAlignment="1">
      <alignment horizontal="center" vertical="center"/>
    </xf>
    <xf numFmtId="0" fontId="8" fillId="0" borderId="132" xfId="0" applyFont="1" applyBorder="1" applyAlignment="1">
      <alignment horizontal="center" vertical="center"/>
    </xf>
    <xf numFmtId="0" fontId="2" fillId="0" borderId="95" xfId="0" applyFont="1" applyBorder="1" applyAlignment="1" applyProtection="1">
      <alignment horizontal="center"/>
      <protection locked="0"/>
    </xf>
    <xf numFmtId="0" fontId="2" fillId="0" borderId="95" xfId="0" applyFont="1" applyBorder="1" applyAlignment="1">
      <alignment horizontal="left" vertical="center"/>
    </xf>
    <xf numFmtId="0" fontId="8" fillId="0" borderId="133" xfId="0" applyFont="1" applyBorder="1" applyAlignment="1">
      <alignment horizontal="center" vertical="center"/>
    </xf>
    <xf numFmtId="0" fontId="8" fillId="0" borderId="134" xfId="0" applyFont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0" fontId="8" fillId="0" borderId="136" xfId="0" applyFont="1" applyBorder="1" applyAlignment="1">
      <alignment horizontal="center" vertical="center"/>
    </xf>
    <xf numFmtId="0" fontId="8" fillId="52" borderId="104" xfId="0" applyFont="1" applyFill="1" applyBorder="1" applyAlignment="1">
      <alignment horizontal="center" vertical="center"/>
    </xf>
    <xf numFmtId="0" fontId="8" fillId="52" borderId="105" xfId="0" applyFont="1" applyFill="1" applyBorder="1" applyAlignment="1">
      <alignment horizontal="center" vertical="center"/>
    </xf>
    <xf numFmtId="0" fontId="8" fillId="52" borderId="121" xfId="0" applyFont="1" applyFill="1" applyBorder="1" applyAlignment="1">
      <alignment horizontal="center" vertical="center"/>
    </xf>
    <xf numFmtId="0" fontId="8" fillId="52" borderId="107" xfId="0" applyFont="1" applyFill="1" applyBorder="1" applyAlignment="1">
      <alignment horizontal="center" vertical="center"/>
    </xf>
    <xf numFmtId="0" fontId="6" fillId="53" borderId="46" xfId="0" applyFont="1" applyFill="1" applyBorder="1" applyAlignment="1">
      <alignment horizontal="center"/>
    </xf>
    <xf numFmtId="0" fontId="6" fillId="0" borderId="93" xfId="0" applyFont="1" applyBorder="1" applyAlignment="1">
      <alignment horizontal="left" vertical="center"/>
    </xf>
    <xf numFmtId="0" fontId="0" fillId="0" borderId="92" xfId="0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5" fillId="0" borderId="91" xfId="0" applyFont="1" applyBorder="1"/>
    <xf numFmtId="0" fontId="5" fillId="0" borderId="47" xfId="0" applyFont="1" applyBorder="1"/>
    <xf numFmtId="0" fontId="0" fillId="0" borderId="15" xfId="0" applyBorder="1" applyAlignment="1">
      <alignment horizontal="left" vertical="center"/>
    </xf>
    <xf numFmtId="49" fontId="6" fillId="52" borderId="92" xfId="0" applyNumberFormat="1" applyFont="1" applyFill="1" applyBorder="1" applyAlignment="1">
      <alignment horizontal="center" vertical="center"/>
    </xf>
    <xf numFmtId="0" fontId="47" fillId="0" borderId="0" xfId="33" applyFont="1"/>
    <xf numFmtId="0" fontId="0" fillId="0" borderId="95" xfId="33" applyFont="1" applyBorder="1"/>
    <xf numFmtId="0" fontId="14" fillId="0" borderId="95" xfId="33" applyFont="1" applyBorder="1"/>
    <xf numFmtId="0" fontId="2" fillId="0" borderId="95" xfId="33" applyBorder="1"/>
    <xf numFmtId="0" fontId="14" fillId="0" borderId="95" xfId="0" applyFont="1" applyBorder="1"/>
    <xf numFmtId="0" fontId="46" fillId="0" borderId="95" xfId="33" applyFont="1" applyBorder="1"/>
    <xf numFmtId="0" fontId="14" fillId="0" borderId="95" xfId="0" applyFont="1" applyBorder="1" applyAlignment="1">
      <alignment horizontal="left"/>
    </xf>
    <xf numFmtId="0" fontId="14" fillId="0" borderId="95" xfId="0" applyFont="1" applyBorder="1" applyAlignment="1">
      <alignment horizontal="left" vertical="center"/>
    </xf>
    <xf numFmtId="0" fontId="0" fillId="0" borderId="0" xfId="33" applyFont="1"/>
    <xf numFmtId="0" fontId="48" fillId="0" borderId="0" xfId="0" applyFont="1" applyAlignment="1">
      <alignment vertical="top" wrapText="1"/>
    </xf>
    <xf numFmtId="49" fontId="6" fillId="52" borderId="49" xfId="0" applyNumberFormat="1" applyFont="1" applyFill="1" applyBorder="1" applyAlignment="1">
      <alignment horizontal="center" vertical="center"/>
    </xf>
    <xf numFmtId="0" fontId="8" fillId="0" borderId="61" xfId="0" applyFont="1" applyBorder="1" applyAlignment="1">
      <alignment horizontal="center" vertical="center" wrapText="1"/>
    </xf>
    <xf numFmtId="0" fontId="8" fillId="0" borderId="51" xfId="0" applyFont="1" applyBorder="1" applyAlignment="1">
      <alignment horizontal="center" vertical="center" wrapText="1"/>
    </xf>
    <xf numFmtId="49" fontId="6" fillId="0" borderId="95" xfId="0" applyNumberFormat="1" applyFont="1" applyBorder="1" applyAlignment="1">
      <alignment horizontal="center" vertical="center"/>
    </xf>
    <xf numFmtId="49" fontId="6" fillId="52" borderId="95" xfId="0" applyNumberFormat="1" applyFont="1" applyFill="1" applyBorder="1" applyAlignment="1">
      <alignment horizontal="center" vertical="center"/>
    </xf>
    <xf numFmtId="0" fontId="0" fillId="0" borderId="49" xfId="0" applyBorder="1" applyAlignment="1">
      <alignment horizontal="left"/>
    </xf>
    <xf numFmtId="0" fontId="52" fillId="0" borderId="0" xfId="0" applyFont="1"/>
    <xf numFmtId="0" fontId="52" fillId="0" borderId="95" xfId="0" applyFont="1" applyBorder="1"/>
    <xf numFmtId="0" fontId="0" fillId="43" borderId="95" xfId="0" applyFill="1" applyBorder="1" applyAlignment="1" applyProtection="1">
      <alignment horizontal="center"/>
      <protection locked="0"/>
    </xf>
    <xf numFmtId="0" fontId="6" fillId="52" borderId="46" xfId="0" applyFont="1" applyFill="1" applyBorder="1" applyAlignment="1">
      <alignment horizontal="left" vertical="center"/>
    </xf>
    <xf numFmtId="0" fontId="48" fillId="52" borderId="95" xfId="0" applyFont="1" applyFill="1" applyBorder="1" applyAlignment="1">
      <alignment wrapText="1"/>
    </xf>
    <xf numFmtId="0" fontId="51" fillId="0" borderId="95" xfId="0" applyFont="1" applyBorder="1"/>
    <xf numFmtId="0" fontId="6" fillId="0" borderId="15" xfId="0" applyFont="1" applyBorder="1"/>
    <xf numFmtId="0" fontId="3" fillId="0" borderId="137" xfId="0" applyFont="1" applyBorder="1" applyAlignment="1" applyProtection="1">
      <alignment horizontal="center"/>
      <protection locked="0"/>
    </xf>
    <xf numFmtId="0" fontId="5" fillId="0" borderId="137" xfId="0" applyFont="1" applyBorder="1" applyAlignment="1">
      <alignment horizontal="center"/>
    </xf>
    <xf numFmtId="0" fontId="6" fillId="52" borderId="137" xfId="0" applyFont="1" applyFill="1" applyBorder="1" applyAlignment="1">
      <alignment horizontal="center"/>
    </xf>
    <xf numFmtId="0" fontId="8" fillId="37" borderId="138" xfId="0" applyFont="1" applyFill="1" applyBorder="1" applyAlignment="1">
      <alignment horizontal="center" wrapText="1"/>
    </xf>
    <xf numFmtId="0" fontId="8" fillId="45" borderId="139" xfId="0" applyFont="1" applyFill="1" applyBorder="1" applyAlignment="1">
      <alignment horizontal="center" wrapText="1"/>
    </xf>
    <xf numFmtId="0" fontId="6" fillId="0" borderId="137" xfId="0" applyFont="1" applyBorder="1"/>
    <xf numFmtId="0" fontId="6" fillId="52" borderId="137" xfId="0" applyFont="1" applyFill="1" applyBorder="1" applyAlignment="1">
      <alignment horizontal="center" vertical="center"/>
    </xf>
    <xf numFmtId="0" fontId="8" fillId="0" borderId="141" xfId="0" applyFont="1" applyBorder="1" applyAlignment="1">
      <alignment horizontal="center" vertical="center"/>
    </xf>
    <xf numFmtId="0" fontId="8" fillId="0" borderId="140" xfId="0" applyFont="1" applyBorder="1" applyAlignment="1">
      <alignment horizontal="center" vertical="center"/>
    </xf>
    <xf numFmtId="0" fontId="3" fillId="43" borderId="15" xfId="0" applyFont="1" applyFill="1" applyBorder="1" applyAlignment="1">
      <alignment horizontal="center"/>
    </xf>
    <xf numFmtId="49" fontId="6" fillId="52" borderId="15" xfId="0" applyNumberFormat="1" applyFont="1" applyFill="1" applyBorder="1" applyAlignment="1">
      <alignment horizontal="center" vertical="center"/>
    </xf>
    <xf numFmtId="49" fontId="6" fillId="0" borderId="15" xfId="0" applyNumberFormat="1" applyFont="1" applyBorder="1" applyAlignment="1">
      <alignment horizontal="center" vertical="center"/>
    </xf>
    <xf numFmtId="0" fontId="3" fillId="43" borderId="137" xfId="0" applyFont="1" applyFill="1" applyBorder="1" applyAlignment="1">
      <alignment horizontal="center"/>
    </xf>
    <xf numFmtId="0" fontId="0" fillId="0" borderId="137" xfId="0" applyBorder="1" applyAlignment="1">
      <alignment horizontal="left" vertical="center"/>
    </xf>
    <xf numFmtId="49" fontId="6" fillId="52" borderId="137" xfId="0" applyNumberFormat="1" applyFont="1" applyFill="1" applyBorder="1" applyAlignment="1">
      <alignment horizontal="center" vertical="center"/>
    </xf>
    <xf numFmtId="49" fontId="6" fillId="0" borderId="137" xfId="0" applyNumberFormat="1" applyFont="1" applyBorder="1" applyAlignment="1">
      <alignment horizontal="center" vertical="center"/>
    </xf>
    <xf numFmtId="0" fontId="3" fillId="43" borderId="142" xfId="0" applyFont="1" applyFill="1" applyBorder="1" applyAlignment="1">
      <alignment horizontal="center"/>
    </xf>
    <xf numFmtId="0" fontId="0" fillId="0" borderId="143" xfId="0" applyBorder="1" applyAlignment="1">
      <alignment horizontal="left" vertical="center"/>
    </xf>
    <xf numFmtId="0" fontId="6" fillId="52" borderId="15" xfId="0" applyFont="1" applyFill="1" applyBorder="1" applyAlignment="1">
      <alignment horizontal="left" vertical="center"/>
    </xf>
    <xf numFmtId="0" fontId="6" fillId="53" borderId="137" xfId="0" applyFont="1" applyFill="1" applyBorder="1" applyAlignment="1">
      <alignment horizontal="center"/>
    </xf>
    <xf numFmtId="0" fontId="48" fillId="0" borderId="100" xfId="0" applyFont="1" applyBorder="1" applyAlignment="1">
      <alignment vertical="top" wrapText="1"/>
    </xf>
    <xf numFmtId="49" fontId="6" fillId="52" borderId="113" xfId="0" applyNumberFormat="1" applyFont="1" applyFill="1" applyBorder="1" applyAlignment="1">
      <alignment horizontal="center" vertical="center"/>
    </xf>
    <xf numFmtId="0" fontId="5" fillId="0" borderId="96" xfId="0" applyFont="1" applyBorder="1" applyAlignment="1">
      <alignment horizontal="center"/>
    </xf>
    <xf numFmtId="0" fontId="8" fillId="37" borderId="98" xfId="0" applyFont="1" applyFill="1" applyBorder="1" applyAlignment="1">
      <alignment horizontal="center" wrapText="1"/>
    </xf>
    <xf numFmtId="0" fontId="8" fillId="45" borderId="99" xfId="0" applyFont="1" applyFill="1" applyBorder="1" applyAlignment="1">
      <alignment horizontal="center" wrapText="1"/>
    </xf>
    <xf numFmtId="0" fontId="48" fillId="0" borderId="96" xfId="0" applyFont="1" applyBorder="1" applyAlignment="1">
      <alignment vertical="top" wrapText="1"/>
    </xf>
    <xf numFmtId="49" fontId="6" fillId="52" borderId="125" xfId="0" applyNumberFormat="1" applyFont="1" applyFill="1" applyBorder="1" applyAlignment="1">
      <alignment horizontal="center" vertical="center"/>
    </xf>
    <xf numFmtId="0" fontId="48" fillId="52" borderId="100" xfId="0" applyFont="1" applyFill="1" applyBorder="1" applyAlignment="1">
      <alignment wrapText="1"/>
    </xf>
    <xf numFmtId="0" fontId="48" fillId="0" borderId="96" xfId="0" applyFont="1" applyBorder="1" applyAlignment="1">
      <alignment wrapText="1"/>
    </xf>
    <xf numFmtId="0" fontId="2" fillId="0" borderId="100" xfId="0" applyFont="1" applyBorder="1" applyAlignment="1">
      <alignment horizontal="left" vertical="center"/>
    </xf>
    <xf numFmtId="0" fontId="2" fillId="0" borderId="96" xfId="0" applyFont="1" applyBorder="1" applyAlignment="1">
      <alignment horizontal="left" vertical="center"/>
    </xf>
    <xf numFmtId="0" fontId="8" fillId="0" borderId="145" xfId="0" applyFont="1" applyBorder="1" applyAlignment="1">
      <alignment horizontal="center" vertical="center"/>
    </xf>
    <xf numFmtId="0" fontId="8" fillId="0" borderId="146" xfId="0" applyFont="1" applyBorder="1" applyAlignment="1">
      <alignment horizontal="center" vertical="center"/>
    </xf>
    <xf numFmtId="0" fontId="18" fillId="0" borderId="137" xfId="0" applyFont="1" applyBorder="1" applyAlignment="1" applyProtection="1">
      <alignment horizontal="center"/>
      <protection locked="0"/>
    </xf>
    <xf numFmtId="0" fontId="0" fillId="0" borderId="137" xfId="0" applyBorder="1"/>
    <xf numFmtId="0" fontId="6" fillId="52" borderId="142" xfId="0" applyFont="1" applyFill="1" applyBorder="1" applyAlignment="1">
      <alignment horizontal="center"/>
    </xf>
    <xf numFmtId="0" fontId="3" fillId="0" borderId="15" xfId="0" applyFont="1" applyBorder="1" applyAlignment="1" applyProtection="1">
      <alignment horizontal="center"/>
      <protection locked="0"/>
    </xf>
    <xf numFmtId="0" fontId="6" fillId="52" borderId="15" xfId="0" applyFont="1" applyFill="1" applyBorder="1" applyAlignment="1">
      <alignment horizontal="center"/>
    </xf>
    <xf numFmtId="0" fontId="6" fillId="0" borderId="137" xfId="0" applyFont="1" applyBorder="1" applyAlignment="1">
      <alignment horizontal="center"/>
    </xf>
    <xf numFmtId="0" fontId="12" fillId="0" borderId="15" xfId="0" applyFont="1" applyBorder="1" applyAlignment="1">
      <alignment horizontal="left" vertical="center"/>
    </xf>
    <xf numFmtId="0" fontId="8" fillId="0" borderId="73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0" fillId="0" borderId="142" xfId="0" applyBorder="1" applyAlignment="1" applyProtection="1">
      <alignment horizontal="center"/>
      <protection locked="0"/>
    </xf>
    <xf numFmtId="0" fontId="12" fillId="0" borderId="96" xfId="0" applyFont="1" applyBorder="1" applyAlignment="1">
      <alignment horizontal="left" vertical="center"/>
    </xf>
    <xf numFmtId="0" fontId="6" fillId="52" borderId="96" xfId="0" applyFont="1" applyFill="1" applyBorder="1" applyAlignment="1">
      <alignment horizontal="center" vertical="center"/>
    </xf>
    <xf numFmtId="0" fontId="0" fillId="0" borderId="137" xfId="0" applyBorder="1" applyAlignment="1" applyProtection="1">
      <alignment horizontal="center"/>
      <protection locked="0"/>
    </xf>
    <xf numFmtId="0" fontId="6" fillId="52" borderId="137" xfId="0" applyFont="1" applyFill="1" applyBorder="1"/>
    <xf numFmtId="0" fontId="0" fillId="0" borderId="15" xfId="0" applyBorder="1" applyAlignment="1" applyProtection="1">
      <alignment horizontal="left"/>
      <protection locked="0"/>
    </xf>
    <xf numFmtId="0" fontId="8" fillId="0" borderId="53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3" fillId="0" borderId="142" xfId="0" applyFont="1" applyBorder="1" applyAlignment="1" applyProtection="1">
      <alignment horizontal="center"/>
      <protection locked="0"/>
    </xf>
    <xf numFmtId="0" fontId="0" fillId="43" borderId="96" xfId="0" applyFill="1" applyBorder="1" applyAlignment="1" applyProtection="1">
      <alignment horizontal="center"/>
      <protection locked="0"/>
    </xf>
    <xf numFmtId="0" fontId="52" fillId="0" borderId="96" xfId="0" applyFont="1" applyBorder="1"/>
    <xf numFmtId="0" fontId="8" fillId="0" borderId="141" xfId="0" applyFont="1" applyBorder="1" applyAlignment="1">
      <alignment horizontal="center" vertical="center" wrapText="1"/>
    </xf>
    <xf numFmtId="0" fontId="8" fillId="0" borderId="14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/>
    </xf>
    <xf numFmtId="0" fontId="0" fillId="0" borderId="96" xfId="0" applyBorder="1"/>
    <xf numFmtId="0" fontId="5" fillId="0" borderId="44" xfId="0" applyFont="1" applyBorder="1"/>
    <xf numFmtId="0" fontId="0" fillId="24" borderId="15" xfId="0" applyFill="1" applyBorder="1" applyAlignment="1">
      <alignment horizontal="center" vertical="center"/>
    </xf>
    <xf numFmtId="0" fontId="0" fillId="24" borderId="17" xfId="0" applyFill="1" applyBorder="1" applyAlignment="1">
      <alignment horizontal="center" vertical="center"/>
    </xf>
    <xf numFmtId="49" fontId="53" fillId="0" borderId="95" xfId="0" applyNumberFormat="1" applyFont="1" applyBorder="1" applyAlignment="1">
      <alignment horizontal="center" vertical="center"/>
    </xf>
    <xf numFmtId="0" fontId="0" fillId="24" borderId="75" xfId="0" applyFill="1" applyBorder="1" applyAlignment="1">
      <alignment horizontal="center" vertical="center"/>
    </xf>
    <xf numFmtId="49" fontId="6" fillId="52" borderId="11" xfId="0" applyNumberFormat="1" applyFont="1" applyFill="1" applyBorder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49" fontId="6" fillId="52" borderId="0" xfId="0" applyNumberFormat="1" applyFont="1" applyFill="1" applyAlignment="1">
      <alignment horizontal="center" vertical="center"/>
    </xf>
    <xf numFmtId="49" fontId="6" fillId="52" borderId="13" xfId="0" applyNumberFormat="1" applyFont="1" applyFill="1" applyBorder="1" applyAlignment="1">
      <alignment horizontal="center" vertical="center"/>
    </xf>
    <xf numFmtId="49" fontId="6" fillId="52" borderId="30" xfId="0" applyNumberFormat="1" applyFont="1" applyFill="1" applyBorder="1" applyAlignment="1">
      <alignment horizontal="center" vertical="center"/>
    </xf>
    <xf numFmtId="49" fontId="6" fillId="52" borderId="34" xfId="0" applyNumberFormat="1" applyFont="1" applyFill="1" applyBorder="1" applyAlignment="1">
      <alignment horizontal="center" vertical="center"/>
    </xf>
    <xf numFmtId="49" fontId="6" fillId="52" borderId="25" xfId="0" applyNumberFormat="1" applyFont="1" applyFill="1" applyBorder="1" applyAlignment="1">
      <alignment horizontal="center" vertical="center"/>
    </xf>
    <xf numFmtId="49" fontId="6" fillId="52" borderId="41" xfId="0" applyNumberFormat="1" applyFont="1" applyFill="1" applyBorder="1" applyAlignment="1">
      <alignment horizontal="center" vertical="center"/>
    </xf>
    <xf numFmtId="49" fontId="6" fillId="52" borderId="18" xfId="0" applyNumberFormat="1" applyFont="1" applyFill="1" applyBorder="1" applyAlignment="1">
      <alignment horizontal="center" vertical="center"/>
    </xf>
    <xf numFmtId="49" fontId="6" fillId="52" borderId="44" xfId="0" applyNumberFormat="1" applyFont="1" applyFill="1" applyBorder="1" applyAlignment="1">
      <alignment horizontal="center" vertical="center"/>
    </xf>
    <xf numFmtId="49" fontId="6" fillId="52" borderId="76" xfId="0" applyNumberFormat="1" applyFont="1" applyFill="1" applyBorder="1" applyAlignment="1">
      <alignment horizontal="center" vertical="center"/>
    </xf>
    <xf numFmtId="49" fontId="6" fillId="52" borderId="20" xfId="0" applyNumberFormat="1" applyFont="1" applyFill="1" applyBorder="1" applyAlignment="1">
      <alignment horizontal="center" vertical="center"/>
    </xf>
    <xf numFmtId="49" fontId="6" fillId="52" borderId="17" xfId="0" applyNumberFormat="1" applyFont="1" applyFill="1" applyBorder="1" applyAlignment="1">
      <alignment horizontal="center" vertical="center"/>
    </xf>
    <xf numFmtId="49" fontId="6" fillId="52" borderId="35" xfId="0" applyNumberFormat="1" applyFont="1" applyFill="1" applyBorder="1" applyAlignment="1">
      <alignment horizontal="center" vertical="center"/>
    </xf>
    <xf numFmtId="49" fontId="6" fillId="52" borderId="12" xfId="0" applyNumberFormat="1" applyFont="1" applyFill="1" applyBorder="1" applyAlignment="1">
      <alignment horizontal="center" vertical="center"/>
    </xf>
    <xf numFmtId="49" fontId="6" fillId="52" borderId="15" xfId="0" applyNumberFormat="1" applyFont="1" applyFill="1" applyBorder="1" applyAlignment="1" applyProtection="1">
      <alignment horizontal="center" vertical="center"/>
      <protection locked="0"/>
    </xf>
    <xf numFmtId="0" fontId="0" fillId="24" borderId="49" xfId="0" applyFill="1" applyBorder="1" applyAlignment="1">
      <alignment horizontal="center" vertical="center"/>
    </xf>
    <xf numFmtId="0" fontId="6" fillId="52" borderId="147" xfId="0" applyFont="1" applyFill="1" applyBorder="1" applyAlignment="1">
      <alignment horizontal="center" vertical="center"/>
    </xf>
    <xf numFmtId="49" fontId="6" fillId="52" borderId="144" xfId="0" applyNumberFormat="1" applyFont="1" applyFill="1" applyBorder="1" applyAlignment="1">
      <alignment horizontal="center" vertical="center"/>
    </xf>
    <xf numFmtId="0" fontId="6" fillId="52" borderId="140" xfId="0" applyFont="1" applyFill="1" applyBorder="1" applyAlignment="1">
      <alignment horizontal="center"/>
    </xf>
    <xf numFmtId="0" fontId="6" fillId="53" borderId="148" xfId="0" applyFont="1" applyFill="1" applyBorder="1" applyAlignment="1">
      <alignment horizontal="center"/>
    </xf>
    <xf numFmtId="0" fontId="6" fillId="52" borderId="149" xfId="0" applyFont="1" applyFill="1" applyBorder="1" applyAlignment="1">
      <alignment horizontal="center"/>
    </xf>
    <xf numFmtId="0" fontId="6" fillId="52" borderId="148" xfId="0" applyFont="1" applyFill="1" applyBorder="1" applyAlignment="1">
      <alignment horizontal="center"/>
    </xf>
    <xf numFmtId="0" fontId="0" fillId="43" borderId="15" xfId="0" applyFill="1" applyBorder="1" applyProtection="1">
      <protection locked="0"/>
    </xf>
    <xf numFmtId="0" fontId="0" fillId="0" borderId="17" xfId="0" applyBorder="1" applyAlignment="1">
      <alignment horizontal="center" vertical="center"/>
    </xf>
    <xf numFmtId="0" fontId="6" fillId="53" borderId="140" xfId="0" applyFont="1" applyFill="1" applyBorder="1" applyAlignment="1">
      <alignment horizontal="center"/>
    </xf>
    <xf numFmtId="0" fontId="6" fillId="52" borderId="148" xfId="0" applyFont="1" applyFill="1" applyBorder="1" applyAlignment="1">
      <alignment horizontal="center" vertical="center"/>
    </xf>
    <xf numFmtId="0" fontId="6" fillId="52" borderId="140" xfId="0" applyFont="1" applyFill="1" applyBorder="1" applyAlignment="1">
      <alignment horizontal="center" vertical="center"/>
    </xf>
    <xf numFmtId="0" fontId="0" fillId="43" borderId="137" xfId="0" applyFill="1" applyBorder="1" applyAlignment="1" applyProtection="1">
      <alignment horizontal="center"/>
      <protection locked="0"/>
    </xf>
    <xf numFmtId="0" fontId="8" fillId="0" borderId="150" xfId="0" applyFont="1" applyBorder="1" applyAlignment="1">
      <alignment horizontal="center" vertical="center"/>
    </xf>
    <xf numFmtId="0" fontId="6" fillId="53" borderId="149" xfId="0" applyFont="1" applyFill="1" applyBorder="1" applyAlignment="1">
      <alignment horizontal="center"/>
    </xf>
    <xf numFmtId="0" fontId="6" fillId="52" borderId="152" xfId="0" applyFont="1" applyFill="1" applyBorder="1" applyAlignment="1">
      <alignment horizontal="center" vertical="center"/>
    </xf>
    <xf numFmtId="0" fontId="6" fillId="52" borderId="153" xfId="0" applyFont="1" applyFill="1" applyBorder="1" applyAlignment="1">
      <alignment horizontal="center" vertical="center"/>
    </xf>
    <xf numFmtId="0" fontId="12" fillId="0" borderId="44" xfId="0" applyFont="1" applyBorder="1" applyAlignment="1">
      <alignment horizontal="left"/>
    </xf>
    <xf numFmtId="0" fontId="6" fillId="52" borderId="51" xfId="0" applyFont="1" applyFill="1" applyBorder="1" applyAlignment="1">
      <alignment horizontal="center" vertical="center"/>
    </xf>
    <xf numFmtId="0" fontId="6" fillId="52" borderId="151" xfId="0" applyFont="1" applyFill="1" applyBorder="1" applyAlignment="1">
      <alignment horizontal="center" vertical="center"/>
    </xf>
    <xf numFmtId="0" fontId="6" fillId="52" borderId="154" xfId="0" applyFont="1" applyFill="1" applyBorder="1" applyAlignment="1">
      <alignment horizontal="center" vertical="center"/>
    </xf>
    <xf numFmtId="0" fontId="3" fillId="0" borderId="69" xfId="0" applyFont="1" applyBorder="1"/>
    <xf numFmtId="0" fontId="0" fillId="0" borderId="69" xfId="0" applyBorder="1" applyAlignment="1">
      <alignment horizontal="center"/>
    </xf>
    <xf numFmtId="0" fontId="8" fillId="0" borderId="29" xfId="0" applyFont="1" applyBorder="1" applyAlignment="1">
      <alignment horizontal="center" vertical="center"/>
    </xf>
    <xf numFmtId="0" fontId="6" fillId="57" borderId="15" xfId="0" applyFont="1" applyFill="1" applyBorder="1" applyAlignment="1">
      <alignment horizontal="center" vertical="center"/>
    </xf>
    <xf numFmtId="0" fontId="6" fillId="58" borderId="15" xfId="0" applyFont="1" applyFill="1" applyBorder="1" applyAlignment="1">
      <alignment horizontal="center" vertical="center"/>
    </xf>
    <xf numFmtId="49" fontId="6" fillId="56" borderId="46" xfId="0" applyNumberFormat="1" applyFont="1" applyFill="1" applyBorder="1" applyAlignment="1">
      <alignment horizontal="center" vertical="center"/>
    </xf>
    <xf numFmtId="0" fontId="6" fillId="56" borderId="30" xfId="0" applyFont="1" applyFill="1" applyBorder="1" applyAlignment="1">
      <alignment horizontal="center" vertical="center"/>
    </xf>
    <xf numFmtId="0" fontId="6" fillId="56" borderId="34" xfId="0" applyFont="1" applyFill="1" applyBorder="1" applyAlignment="1">
      <alignment horizontal="center" vertical="center"/>
    </xf>
    <xf numFmtId="49" fontId="6" fillId="56" borderId="92" xfId="0" applyNumberFormat="1" applyFont="1" applyFill="1" applyBorder="1" applyAlignment="1">
      <alignment horizontal="center" vertical="center"/>
    </xf>
    <xf numFmtId="0" fontId="6" fillId="56" borderId="46" xfId="0" applyFont="1" applyFill="1" applyBorder="1" applyAlignment="1">
      <alignment horizontal="center" vertical="center"/>
    </xf>
    <xf numFmtId="0" fontId="6" fillId="56" borderId="44" xfId="0" applyFont="1" applyFill="1" applyBorder="1" applyAlignment="1">
      <alignment horizontal="center" vertical="center"/>
    </xf>
    <xf numFmtId="0" fontId="6" fillId="56" borderId="15" xfId="0" applyFont="1" applyFill="1" applyBorder="1" applyAlignment="1">
      <alignment horizontal="center" vertical="center"/>
    </xf>
    <xf numFmtId="49" fontId="6" fillId="56" borderId="59" xfId="0" applyNumberFormat="1" applyFont="1" applyFill="1" applyBorder="1" applyAlignment="1">
      <alignment horizontal="center" vertical="center"/>
    </xf>
    <xf numFmtId="0" fontId="6" fillId="56" borderId="11" xfId="0" applyFont="1" applyFill="1" applyBorder="1" applyAlignment="1">
      <alignment horizontal="center" vertical="center"/>
    </xf>
    <xf numFmtId="0" fontId="6" fillId="56" borderId="12" xfId="0" applyFont="1" applyFill="1" applyBorder="1" applyAlignment="1">
      <alignment horizontal="center" vertical="center"/>
    </xf>
    <xf numFmtId="49" fontId="6" fillId="56" borderId="15" xfId="0" applyNumberFormat="1" applyFont="1" applyFill="1" applyBorder="1" applyAlignment="1">
      <alignment horizontal="center" vertical="center"/>
    </xf>
    <xf numFmtId="0" fontId="6" fillId="57" borderId="46" xfId="0" applyFont="1" applyFill="1" applyBorder="1" applyAlignment="1">
      <alignment horizontal="center" vertical="center"/>
    </xf>
    <xf numFmtId="49" fontId="6" fillId="57" borderId="46" xfId="0" applyNumberFormat="1" applyFont="1" applyFill="1" applyBorder="1" applyAlignment="1">
      <alignment horizontal="center" vertical="center"/>
    </xf>
    <xf numFmtId="49" fontId="6" fillId="59" borderId="46" xfId="0" applyNumberFormat="1" applyFont="1" applyFill="1" applyBorder="1" applyAlignment="1">
      <alignment horizontal="center" vertical="center"/>
    </xf>
    <xf numFmtId="0" fontId="6" fillId="59" borderId="46" xfId="0" applyFont="1" applyFill="1" applyBorder="1" applyAlignment="1">
      <alignment horizontal="center" vertical="center"/>
    </xf>
    <xf numFmtId="0" fontId="6" fillId="56" borderId="35" xfId="0" applyFont="1" applyFill="1" applyBorder="1" applyAlignment="1">
      <alignment horizontal="center" vertical="center"/>
    </xf>
    <xf numFmtId="49" fontId="6" fillId="60" borderId="46" xfId="0" applyNumberFormat="1" applyFont="1" applyFill="1" applyBorder="1" applyAlignment="1">
      <alignment horizontal="center" vertical="center"/>
    </xf>
    <xf numFmtId="49" fontId="56" fillId="52" borderId="46" xfId="0" applyNumberFormat="1" applyFont="1" applyFill="1" applyBorder="1" applyAlignment="1">
      <alignment horizontal="center" vertical="center"/>
    </xf>
    <xf numFmtId="49" fontId="6" fillId="56" borderId="95" xfId="0" applyNumberFormat="1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61" borderId="46" xfId="0" applyFont="1" applyFill="1" applyBorder="1" applyAlignment="1">
      <alignment horizontal="center" vertical="center"/>
    </xf>
    <xf numFmtId="0" fontId="6" fillId="57" borderId="0" xfId="0" applyFont="1" applyFill="1" applyAlignment="1">
      <alignment horizontal="center" vertical="center"/>
    </xf>
    <xf numFmtId="49" fontId="6" fillId="56" borderId="137" xfId="0" applyNumberFormat="1" applyFont="1" applyFill="1" applyBorder="1" applyAlignment="1">
      <alignment horizontal="center" vertical="center"/>
    </xf>
    <xf numFmtId="49" fontId="6" fillId="56" borderId="125" xfId="0" applyNumberFormat="1" applyFont="1" applyFill="1" applyBorder="1" applyAlignment="1">
      <alignment horizontal="center" vertical="center"/>
    </xf>
    <xf numFmtId="49" fontId="6" fillId="0" borderId="125" xfId="0" applyNumberFormat="1" applyFont="1" applyBorder="1" applyAlignment="1">
      <alignment horizontal="center" vertical="center"/>
    </xf>
    <xf numFmtId="0" fontId="48" fillId="52" borderId="95" xfId="0" applyFont="1" applyFill="1" applyBorder="1" applyAlignment="1">
      <alignment vertical="top" wrapText="1"/>
    </xf>
    <xf numFmtId="0" fontId="48" fillId="0" borderId="95" xfId="0" applyFont="1" applyBorder="1"/>
    <xf numFmtId="0" fontId="48" fillId="0" borderId="97" xfId="0" applyFont="1" applyBorder="1" applyAlignment="1">
      <alignment vertical="top" wrapText="1"/>
    </xf>
    <xf numFmtId="0" fontId="48" fillId="0" borderId="95" xfId="0" applyFont="1" applyBorder="1" applyAlignment="1">
      <alignment horizontal="left"/>
    </xf>
    <xf numFmtId="49" fontId="6" fillId="52" borderId="111" xfId="0" applyNumberFormat="1" applyFont="1" applyFill="1" applyBorder="1" applyAlignment="1">
      <alignment horizontal="center" vertical="center"/>
    </xf>
    <xf numFmtId="0" fontId="8" fillId="0" borderId="95" xfId="0" applyFont="1" applyBorder="1" applyAlignment="1">
      <alignment horizontal="center" vertical="center"/>
    </xf>
    <xf numFmtId="49" fontId="6" fillId="56" borderId="113" xfId="0" applyNumberFormat="1" applyFont="1" applyFill="1" applyBorder="1" applyAlignment="1">
      <alignment horizontal="center" vertical="center"/>
    </xf>
    <xf numFmtId="0" fontId="6" fillId="62" borderId="15" xfId="0" applyFont="1" applyFill="1" applyBorder="1" applyAlignment="1">
      <alignment horizontal="center" vertical="center"/>
    </xf>
    <xf numFmtId="49" fontId="6" fillId="62" borderId="113" xfId="0" applyNumberFormat="1" applyFont="1" applyFill="1" applyBorder="1" applyAlignment="1">
      <alignment horizontal="center" vertical="center"/>
    </xf>
    <xf numFmtId="49" fontId="6" fillId="60" borderId="95" xfId="0" applyNumberFormat="1" applyFont="1" applyFill="1" applyBorder="1" applyAlignment="1">
      <alignment horizontal="center" vertical="center"/>
    </xf>
    <xf numFmtId="0" fontId="6" fillId="60" borderId="95" xfId="0" applyFont="1" applyFill="1" applyBorder="1" applyAlignment="1">
      <alignment horizontal="center" vertical="center"/>
    </xf>
    <xf numFmtId="0" fontId="6" fillId="0" borderId="95" xfId="0" applyFont="1" applyBorder="1" applyAlignment="1">
      <alignment horizontal="center" vertical="center"/>
    </xf>
    <xf numFmtId="49" fontId="6" fillId="54" borderId="92" xfId="0" applyNumberFormat="1" applyFont="1" applyFill="1" applyBorder="1" applyAlignment="1">
      <alignment horizontal="center" vertical="center"/>
    </xf>
    <xf numFmtId="49" fontId="6" fillId="58" borderId="92" xfId="0" applyNumberFormat="1" applyFont="1" applyFill="1" applyBorder="1" applyAlignment="1">
      <alignment horizontal="center" vertical="center"/>
    </xf>
    <xf numFmtId="0" fontId="6" fillId="58" borderId="46" xfId="0" applyFont="1" applyFill="1" applyBorder="1" applyAlignment="1">
      <alignment horizontal="center" vertical="center"/>
    </xf>
    <xf numFmtId="49" fontId="6" fillId="60" borderId="137" xfId="0" applyNumberFormat="1" applyFont="1" applyFill="1" applyBorder="1" applyAlignment="1">
      <alignment horizontal="center" vertical="center"/>
    </xf>
    <xf numFmtId="0" fontId="6" fillId="63" borderId="46" xfId="0" applyFont="1" applyFill="1" applyBorder="1" applyAlignment="1">
      <alignment horizontal="center"/>
    </xf>
    <xf numFmtId="0" fontId="6" fillId="63" borderId="15" xfId="0" applyFont="1" applyFill="1" applyBorder="1" applyAlignment="1">
      <alignment horizontal="center"/>
    </xf>
    <xf numFmtId="49" fontId="6" fillId="60" borderId="113" xfId="0" applyNumberFormat="1" applyFont="1" applyFill="1" applyBorder="1" applyAlignment="1">
      <alignment horizontal="center" vertical="center"/>
    </xf>
    <xf numFmtId="49" fontId="6" fillId="60" borderId="92" xfId="0" applyNumberFormat="1" applyFont="1" applyFill="1" applyBorder="1" applyAlignment="1">
      <alignment horizontal="center" vertical="center"/>
    </xf>
    <xf numFmtId="49" fontId="6" fillId="64" borderId="92" xfId="0" applyNumberFormat="1" applyFont="1" applyFill="1" applyBorder="1" applyAlignment="1">
      <alignment horizontal="center" vertical="center"/>
    </xf>
    <xf numFmtId="49" fontId="6" fillId="57" borderId="15" xfId="0" applyNumberFormat="1" applyFont="1" applyFill="1" applyBorder="1" applyAlignment="1">
      <alignment horizontal="center" vertical="center"/>
    </xf>
    <xf numFmtId="49" fontId="6" fillId="62" borderId="46" xfId="0" applyNumberFormat="1" applyFont="1" applyFill="1" applyBorder="1" applyAlignment="1">
      <alignment horizontal="center" vertical="center"/>
    </xf>
    <xf numFmtId="0" fontId="6" fillId="62" borderId="11" xfId="0" applyFont="1" applyFill="1" applyBorder="1" applyAlignment="1">
      <alignment horizontal="center" vertical="center"/>
    </xf>
    <xf numFmtId="0" fontId="6" fillId="62" borderId="95" xfId="0" applyFont="1" applyFill="1" applyBorder="1" applyAlignment="1">
      <alignment horizontal="center" vertical="center"/>
    </xf>
    <xf numFmtId="49" fontId="6" fillId="57" borderId="95" xfId="0" applyNumberFormat="1" applyFont="1" applyFill="1" applyBorder="1" applyAlignment="1">
      <alignment horizontal="center" vertical="center"/>
    </xf>
    <xf numFmtId="49" fontId="6" fillId="57" borderId="30" xfId="0" applyNumberFormat="1" applyFont="1" applyFill="1" applyBorder="1" applyAlignment="1">
      <alignment horizontal="center" vertical="center"/>
    </xf>
    <xf numFmtId="0" fontId="60" fillId="0" borderId="0" xfId="0" applyFont="1"/>
    <xf numFmtId="49" fontId="6" fillId="57" borderId="137" xfId="0" applyNumberFormat="1" applyFont="1" applyFill="1" applyBorder="1" applyAlignment="1">
      <alignment horizontal="center" vertical="center"/>
    </xf>
    <xf numFmtId="165" fontId="0" fillId="0" borderId="49" xfId="44" applyFont="1" applyFill="1" applyBorder="1" applyAlignment="1">
      <alignment horizontal="left"/>
    </xf>
    <xf numFmtId="49" fontId="6" fillId="62" borderId="92" xfId="0" applyNumberFormat="1" applyFont="1" applyFill="1" applyBorder="1" applyAlignment="1">
      <alignment horizontal="center" vertical="center"/>
    </xf>
    <xf numFmtId="0" fontId="6" fillId="65" borderId="15" xfId="0" applyFont="1" applyFill="1" applyBorder="1" applyAlignment="1">
      <alignment horizontal="center" vertical="center"/>
    </xf>
    <xf numFmtId="49" fontId="6" fillId="65" borderId="46" xfId="0" applyNumberFormat="1" applyFont="1" applyFill="1" applyBorder="1" applyAlignment="1">
      <alignment horizontal="center" vertical="center"/>
    </xf>
    <xf numFmtId="49" fontId="6" fillId="62" borderId="25" xfId="0" applyNumberFormat="1" applyFont="1" applyFill="1" applyBorder="1" applyAlignment="1">
      <alignment horizontal="center" vertical="center"/>
    </xf>
    <xf numFmtId="49" fontId="6" fillId="66" borderId="46" xfId="0" applyNumberFormat="1" applyFont="1" applyFill="1" applyBorder="1" applyAlignment="1">
      <alignment horizontal="center" vertical="center"/>
    </xf>
    <xf numFmtId="49" fontId="6" fillId="62" borderId="11" xfId="0" applyNumberFormat="1" applyFont="1" applyFill="1" applyBorder="1" applyAlignment="1">
      <alignment horizontal="center" vertical="center"/>
    </xf>
    <xf numFmtId="49" fontId="6" fillId="67" borderId="46" xfId="0" applyNumberFormat="1" applyFont="1" applyFill="1" applyBorder="1" applyAlignment="1">
      <alignment horizontal="center" vertical="center"/>
    </xf>
    <xf numFmtId="0" fontId="6" fillId="68" borderId="46" xfId="0" applyFont="1" applyFill="1" applyBorder="1" applyAlignment="1">
      <alignment horizontal="center" vertical="center"/>
    </xf>
    <xf numFmtId="0" fontId="6" fillId="68" borderId="15" xfId="0" applyFont="1" applyFill="1" applyBorder="1" applyAlignment="1">
      <alignment horizontal="center" vertical="center"/>
    </xf>
    <xf numFmtId="0" fontId="6" fillId="59" borderId="15" xfId="0" applyFont="1" applyFill="1" applyBorder="1" applyAlignment="1">
      <alignment horizontal="center" vertical="center"/>
    </xf>
    <xf numFmtId="0" fontId="6" fillId="56" borderId="15" xfId="0" applyFont="1" applyFill="1" applyBorder="1" applyAlignment="1">
      <alignment horizontal="center"/>
    </xf>
    <xf numFmtId="0" fontId="6" fillId="56" borderId="46" xfId="0" applyFont="1" applyFill="1" applyBorder="1" applyAlignment="1">
      <alignment horizontal="center"/>
    </xf>
    <xf numFmtId="49" fontId="6" fillId="0" borderId="11" xfId="0" applyNumberFormat="1" applyFont="1" applyBorder="1" applyAlignment="1">
      <alignment horizontal="center" vertical="center"/>
    </xf>
    <xf numFmtId="49" fontId="6" fillId="58" borderId="95" xfId="0" applyNumberFormat="1" applyFont="1" applyFill="1" applyBorder="1" applyAlignment="1">
      <alignment horizontal="center" vertical="center"/>
    </xf>
    <xf numFmtId="0" fontId="6" fillId="57" borderId="30" xfId="0" applyFont="1" applyFill="1" applyBorder="1" applyAlignment="1">
      <alignment horizontal="center" vertical="center"/>
    </xf>
    <xf numFmtId="0" fontId="6" fillId="62" borderId="46" xfId="0" applyFont="1" applyFill="1" applyBorder="1" applyAlignment="1">
      <alignment horizontal="center" vertical="center"/>
    </xf>
    <xf numFmtId="0" fontId="6" fillId="52" borderId="155" xfId="0" applyFont="1" applyFill="1" applyBorder="1" applyAlignment="1">
      <alignment horizontal="center" vertical="center"/>
    </xf>
    <xf numFmtId="0" fontId="14" fillId="52" borderId="46" xfId="0" applyFont="1" applyFill="1" applyBorder="1" applyAlignment="1">
      <alignment horizontal="center" vertical="center"/>
    </xf>
    <xf numFmtId="49" fontId="6" fillId="62" borderId="15" xfId="0" applyNumberFormat="1" applyFont="1" applyFill="1" applyBorder="1" applyAlignment="1">
      <alignment horizontal="center" vertical="center"/>
    </xf>
    <xf numFmtId="0" fontId="6" fillId="62" borderId="44" xfId="0" applyFont="1" applyFill="1" applyBorder="1" applyAlignment="1">
      <alignment horizontal="center" vertical="center"/>
    </xf>
    <xf numFmtId="0" fontId="6" fillId="67" borderId="46" xfId="0" applyFont="1" applyFill="1" applyBorder="1" applyAlignment="1">
      <alignment horizontal="center" vertical="center"/>
    </xf>
    <xf numFmtId="0" fontId="6" fillId="65" borderId="46" xfId="0" applyFont="1" applyFill="1" applyBorder="1" applyAlignment="1">
      <alignment horizontal="center" vertical="center"/>
    </xf>
    <xf numFmtId="49" fontId="6" fillId="58" borderId="137" xfId="0" applyNumberFormat="1" applyFont="1" applyFill="1" applyBorder="1" applyAlignment="1">
      <alignment horizontal="center" vertical="center"/>
    </xf>
    <xf numFmtId="49" fontId="6" fillId="57" borderId="11" xfId="0" applyNumberFormat="1" applyFont="1" applyFill="1" applyBorder="1" applyAlignment="1">
      <alignment horizontal="center" vertical="center"/>
    </xf>
    <xf numFmtId="0" fontId="6" fillId="65" borderId="30" xfId="0" applyFont="1" applyFill="1" applyBorder="1" applyAlignment="1">
      <alignment horizontal="center" vertical="center"/>
    </xf>
    <xf numFmtId="0" fontId="0" fillId="0" borderId="142" xfId="0" applyBorder="1" applyAlignment="1">
      <alignment horizontal="left" vertical="center"/>
    </xf>
    <xf numFmtId="0" fontId="6" fillId="0" borderId="95" xfId="0" applyFont="1" applyBorder="1" applyAlignment="1">
      <alignment horizontal="center"/>
    </xf>
    <xf numFmtId="0" fontId="6" fillId="52" borderId="95" xfId="0" applyFont="1" applyFill="1" applyBorder="1" applyAlignment="1">
      <alignment horizontal="center"/>
    </xf>
    <xf numFmtId="0" fontId="6" fillId="69" borderId="15" xfId="0" applyFont="1" applyFill="1" applyBorder="1" applyAlignment="1">
      <alignment horizontal="center" vertical="center"/>
    </xf>
    <xf numFmtId="0" fontId="6" fillId="70" borderId="15" xfId="0" applyFont="1" applyFill="1" applyBorder="1" applyAlignment="1">
      <alignment horizontal="center" vertical="center"/>
    </xf>
    <xf numFmtId="0" fontId="6" fillId="62" borderId="15" xfId="0" applyFont="1" applyFill="1" applyBorder="1" applyAlignment="1">
      <alignment horizontal="center"/>
    </xf>
    <xf numFmtId="0" fontId="0" fillId="56" borderId="46" xfId="0" applyFill="1" applyBorder="1" applyAlignment="1">
      <alignment horizontal="center" vertical="center"/>
    </xf>
    <xf numFmtId="49" fontId="6" fillId="58" borderId="11" xfId="0" applyNumberFormat="1" applyFont="1" applyFill="1" applyBorder="1" applyAlignment="1">
      <alignment horizontal="center" vertical="center"/>
    </xf>
    <xf numFmtId="49" fontId="6" fillId="65" borderId="11" xfId="0" applyNumberFormat="1" applyFont="1" applyFill="1" applyBorder="1" applyAlignment="1">
      <alignment horizontal="center" vertical="center"/>
    </xf>
    <xf numFmtId="0" fontId="6" fillId="66" borderId="15" xfId="0" applyFont="1" applyFill="1" applyBorder="1" applyAlignment="1">
      <alignment horizontal="center" vertical="center"/>
    </xf>
    <xf numFmtId="49" fontId="6" fillId="71" borderId="15" xfId="0" applyNumberFormat="1" applyFont="1" applyFill="1" applyBorder="1" applyAlignment="1">
      <alignment horizontal="center" vertical="center"/>
    </xf>
    <xf numFmtId="49" fontId="6" fillId="58" borderId="46" xfId="0" applyNumberFormat="1" applyFont="1" applyFill="1" applyBorder="1" applyAlignment="1">
      <alignment horizontal="center" vertical="center"/>
    </xf>
    <xf numFmtId="0" fontId="6" fillId="55" borderId="46" xfId="0" applyFont="1" applyFill="1" applyBorder="1" applyAlignment="1">
      <alignment horizontal="center" vertical="center"/>
    </xf>
    <xf numFmtId="0" fontId="61" fillId="0" borderId="0" xfId="0" applyFont="1"/>
    <xf numFmtId="0" fontId="6" fillId="63" borderId="46" xfId="0" applyFont="1" applyFill="1" applyBorder="1" applyAlignment="1">
      <alignment horizontal="center" vertical="center"/>
    </xf>
    <xf numFmtId="0" fontId="6" fillId="65" borderId="15" xfId="0" applyFont="1" applyFill="1" applyBorder="1" applyAlignment="1">
      <alignment horizontal="center"/>
    </xf>
    <xf numFmtId="49" fontId="6" fillId="62" borderId="125" xfId="0" applyNumberFormat="1" applyFont="1" applyFill="1" applyBorder="1" applyAlignment="1">
      <alignment horizontal="center" vertical="center"/>
    </xf>
    <xf numFmtId="49" fontId="6" fillId="66" borderId="137" xfId="0" applyNumberFormat="1" applyFont="1" applyFill="1" applyBorder="1" applyAlignment="1">
      <alignment horizontal="center" vertical="center"/>
    </xf>
    <xf numFmtId="0" fontId="6" fillId="62" borderId="147" xfId="0" applyFont="1" applyFill="1" applyBorder="1" applyAlignment="1">
      <alignment horizontal="center" vertical="center"/>
    </xf>
    <xf numFmtId="0" fontId="0" fillId="0" borderId="0" xfId="0" quotePrefix="1"/>
    <xf numFmtId="0" fontId="6" fillId="62" borderId="30" xfId="0" applyFont="1" applyFill="1" applyBorder="1" applyAlignment="1">
      <alignment horizontal="center" vertical="center"/>
    </xf>
    <xf numFmtId="0" fontId="6" fillId="65" borderId="11" xfId="0" applyFont="1" applyFill="1" applyBorder="1" applyAlignment="1">
      <alignment horizontal="center" vertical="center"/>
    </xf>
    <xf numFmtId="49" fontId="6" fillId="55" borderId="46" xfId="0" applyNumberFormat="1" applyFont="1" applyFill="1" applyBorder="1" applyAlignment="1">
      <alignment horizontal="center" vertical="center"/>
    </xf>
    <xf numFmtId="0" fontId="6" fillId="71" borderId="46" xfId="0" applyFont="1" applyFill="1" applyBorder="1" applyAlignment="1">
      <alignment horizontal="center" vertical="center"/>
    </xf>
    <xf numFmtId="0" fontId="6" fillId="56" borderId="46" xfId="0" applyFont="1" applyFill="1" applyBorder="1"/>
    <xf numFmtId="0" fontId="6" fillId="56" borderId="137" xfId="0" applyFont="1" applyFill="1" applyBorder="1" applyAlignment="1">
      <alignment horizontal="center" vertical="center"/>
    </xf>
    <xf numFmtId="0" fontId="6" fillId="56" borderId="137" xfId="0" applyFont="1" applyFill="1" applyBorder="1"/>
    <xf numFmtId="0" fontId="6" fillId="62" borderId="25" xfId="0" applyFont="1" applyFill="1" applyBorder="1" applyAlignment="1">
      <alignment horizontal="center" vertical="center"/>
    </xf>
    <xf numFmtId="0" fontId="0" fillId="0" borderId="17" xfId="0" applyBorder="1" applyAlignment="1">
      <alignment horizontal="left" vertical="center"/>
    </xf>
    <xf numFmtId="164" fontId="19" fillId="0" borderId="0" xfId="0" applyNumberFormat="1" applyFont="1" applyAlignment="1">
      <alignment horizontal="center"/>
    </xf>
    <xf numFmtId="0" fontId="19" fillId="49" borderId="64" xfId="0" applyFont="1" applyFill="1" applyBorder="1" applyAlignment="1">
      <alignment horizontal="center" wrapText="1"/>
    </xf>
    <xf numFmtId="0" fontId="19" fillId="49" borderId="24" xfId="0" applyFont="1" applyFill="1" applyBorder="1" applyAlignment="1">
      <alignment horizontal="left" wrapText="1"/>
    </xf>
    <xf numFmtId="0" fontId="19" fillId="24" borderId="156" xfId="0" applyFont="1" applyFill="1" applyBorder="1"/>
    <xf numFmtId="0" fontId="19" fillId="0" borderId="88" xfId="0" applyFont="1" applyBorder="1"/>
    <xf numFmtId="169" fontId="19" fillId="0" borderId="95" xfId="0" applyNumberFormat="1" applyFont="1" applyBorder="1" applyAlignment="1">
      <alignment horizontal="right" wrapText="1"/>
    </xf>
    <xf numFmtId="164" fontId="19" fillId="62" borderId="95" xfId="0" applyNumberFormat="1" applyFont="1" applyFill="1" applyBorder="1" applyAlignment="1">
      <alignment horizontal="center"/>
    </xf>
    <xf numFmtId="0" fontId="6" fillId="62" borderId="20" xfId="0" applyFont="1" applyFill="1" applyBorder="1" applyAlignment="1">
      <alignment horizontal="center" vertical="center"/>
    </xf>
    <xf numFmtId="0" fontId="48" fillId="0" borderId="97" xfId="0" applyFont="1" applyBorder="1" applyAlignment="1">
      <alignment wrapText="1"/>
    </xf>
    <xf numFmtId="0" fontId="6" fillId="56" borderId="49" xfId="0" applyFont="1" applyFill="1" applyBorder="1" applyAlignment="1">
      <alignment horizontal="center" vertical="center"/>
    </xf>
    <xf numFmtId="49" fontId="6" fillId="62" borderId="137" xfId="0" applyNumberFormat="1" applyFont="1" applyFill="1" applyBorder="1" applyAlignment="1">
      <alignment horizontal="center" vertical="center"/>
    </xf>
    <xf numFmtId="0" fontId="6" fillId="72" borderId="46" xfId="0" applyFont="1" applyFill="1" applyBorder="1" applyAlignment="1">
      <alignment horizontal="center" vertical="center"/>
    </xf>
    <xf numFmtId="0" fontId="6" fillId="56" borderId="25" xfId="0" applyFont="1" applyFill="1" applyBorder="1" applyAlignment="1">
      <alignment horizontal="center" vertical="center"/>
    </xf>
    <xf numFmtId="0" fontId="18" fillId="0" borderId="46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0" borderId="46" xfId="0" applyBorder="1" applyAlignment="1">
      <alignment vertical="center"/>
    </xf>
    <xf numFmtId="0" fontId="0" fillId="0" borderId="95" xfId="0" applyBorder="1" applyAlignment="1">
      <alignment vertical="center"/>
    </xf>
    <xf numFmtId="0" fontId="0" fillId="0" borderId="44" xfId="0" applyBorder="1" applyAlignment="1" applyProtection="1">
      <alignment horizontal="center"/>
      <protection locked="0"/>
    </xf>
    <xf numFmtId="0" fontId="12" fillId="0" borderId="95" xfId="0" applyFont="1" applyBorder="1" applyAlignment="1">
      <alignment horizontal="left" vertical="center"/>
    </xf>
    <xf numFmtId="0" fontId="0" fillId="0" borderId="137" xfId="0" applyBorder="1" applyAlignment="1">
      <alignment vertical="center"/>
    </xf>
    <xf numFmtId="0" fontId="6" fillId="52" borderId="142" xfId="0" applyFont="1" applyFill="1" applyBorder="1" applyAlignment="1">
      <alignment horizontal="center" vertical="center"/>
    </xf>
    <xf numFmtId="0" fontId="18" fillId="0" borderId="137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/>
    </xf>
    <xf numFmtId="0" fontId="3" fillId="0" borderId="137" xfId="0" applyFont="1" applyBorder="1" applyAlignment="1" applyProtection="1">
      <alignment horizontal="center" vertical="center"/>
      <protection locked="0"/>
    </xf>
    <xf numFmtId="0" fontId="5" fillId="0" borderId="137" xfId="0" applyFont="1" applyBorder="1" applyAlignment="1">
      <alignment horizontal="center" vertical="center"/>
    </xf>
    <xf numFmtId="0" fontId="6" fillId="53" borderId="137" xfId="0" applyFont="1" applyFill="1" applyBorder="1" applyAlignment="1">
      <alignment horizontal="center" vertical="center"/>
    </xf>
    <xf numFmtId="0" fontId="6" fillId="53" borderId="140" xfId="0" applyFont="1" applyFill="1" applyBorder="1" applyAlignment="1">
      <alignment horizontal="center" vertical="center"/>
    </xf>
    <xf numFmtId="0" fontId="3" fillId="0" borderId="15" xfId="0" applyFont="1" applyBorder="1" applyAlignment="1" applyProtection="1">
      <alignment horizontal="center" vertical="center"/>
      <protection locked="0"/>
    </xf>
    <xf numFmtId="0" fontId="3" fillId="0" borderId="46" xfId="0" applyFont="1" applyBorder="1" applyAlignment="1" applyProtection="1">
      <alignment horizontal="center" vertical="center"/>
      <protection locked="0"/>
    </xf>
    <xf numFmtId="0" fontId="6" fillId="0" borderId="137" xfId="0" applyFont="1" applyBorder="1" applyAlignment="1">
      <alignment horizontal="center" vertical="center"/>
    </xf>
    <xf numFmtId="0" fontId="3" fillId="0" borderId="49" xfId="0" applyFont="1" applyBorder="1" applyAlignment="1" applyProtection="1">
      <alignment horizontal="center" vertical="center"/>
      <protection locked="0"/>
    </xf>
    <xf numFmtId="0" fontId="5" fillId="0" borderId="96" xfId="0" applyFont="1" applyBorder="1" applyAlignment="1">
      <alignment horizontal="center" vertical="center"/>
    </xf>
    <xf numFmtId="0" fontId="48" fillId="52" borderId="100" xfId="0" applyFont="1" applyFill="1" applyBorder="1" applyAlignment="1">
      <alignment vertical="center" wrapText="1"/>
    </xf>
    <xf numFmtId="0" fontId="48" fillId="52" borderId="95" xfId="0" applyFont="1" applyFill="1" applyBorder="1" applyAlignment="1">
      <alignment vertical="center" wrapText="1"/>
    </xf>
    <xf numFmtId="0" fontId="51" fillId="0" borderId="95" xfId="0" applyFont="1" applyBorder="1" applyAlignment="1">
      <alignment vertical="center"/>
    </xf>
    <xf numFmtId="0" fontId="48" fillId="0" borderId="95" xfId="0" applyFont="1" applyBorder="1" applyAlignment="1">
      <alignment vertical="center"/>
    </xf>
    <xf numFmtId="0" fontId="48" fillId="0" borderId="96" xfId="0" applyFont="1" applyBorder="1" applyAlignment="1">
      <alignment vertical="center" wrapText="1"/>
    </xf>
    <xf numFmtId="0" fontId="48" fillId="0" borderId="100" xfId="0" applyFont="1" applyBorder="1" applyAlignment="1">
      <alignment vertical="center" wrapText="1"/>
    </xf>
    <xf numFmtId="0" fontId="48" fillId="0" borderId="95" xfId="0" applyFont="1" applyBorder="1" applyAlignment="1">
      <alignment vertical="center" wrapText="1"/>
    </xf>
    <xf numFmtId="0" fontId="3" fillId="43" borderId="15" xfId="0" applyFont="1" applyFill="1" applyBorder="1" applyAlignment="1">
      <alignment horizontal="center" vertical="center"/>
    </xf>
    <xf numFmtId="0" fontId="3" fillId="43" borderId="46" xfId="0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49" xfId="0" applyBorder="1" applyAlignment="1">
      <alignment horizontal="left" vertical="center"/>
    </xf>
    <xf numFmtId="0" fontId="3" fillId="43" borderId="142" xfId="0" applyFont="1" applyFill="1" applyBorder="1" applyAlignment="1">
      <alignment horizontal="center" vertical="center"/>
    </xf>
    <xf numFmtId="0" fontId="3" fillId="43" borderId="137" xfId="0" applyFont="1" applyFill="1" applyBorder="1" applyAlignment="1">
      <alignment horizontal="center" vertical="center"/>
    </xf>
    <xf numFmtId="0" fontId="6" fillId="0" borderId="15" xfId="0" applyFont="1" applyBorder="1" applyAlignment="1">
      <alignment vertical="center"/>
    </xf>
    <xf numFmtId="0" fontId="6" fillId="0" borderId="137" xfId="0" applyFont="1" applyBorder="1" applyAlignment="1">
      <alignment vertical="center"/>
    </xf>
    <xf numFmtId="0" fontId="6" fillId="56" borderId="41" xfId="0" applyFont="1" applyFill="1" applyBorder="1" applyAlignment="1">
      <alignment horizontal="center" vertical="center"/>
    </xf>
    <xf numFmtId="49" fontId="6" fillId="59" borderId="92" xfId="0" applyNumberFormat="1" applyFont="1" applyFill="1" applyBorder="1" applyAlignment="1">
      <alignment horizontal="center" vertical="center"/>
    </xf>
    <xf numFmtId="0" fontId="6" fillId="58" borderId="30" xfId="0" applyFont="1" applyFill="1" applyBorder="1" applyAlignment="1">
      <alignment horizontal="center" vertical="center"/>
    </xf>
    <xf numFmtId="49" fontId="6" fillId="54" borderId="15" xfId="0" applyNumberFormat="1" applyFont="1" applyFill="1" applyBorder="1" applyAlignment="1">
      <alignment horizontal="center" vertical="center"/>
    </xf>
    <xf numFmtId="0" fontId="6" fillId="72" borderId="15" xfId="0" applyFont="1" applyFill="1" applyBorder="1" applyAlignment="1">
      <alignment horizontal="center" vertical="center"/>
    </xf>
    <xf numFmtId="0" fontId="6" fillId="69" borderId="46" xfId="0" applyFont="1" applyFill="1" applyBorder="1" applyAlignment="1">
      <alignment horizontal="center" vertical="center"/>
    </xf>
    <xf numFmtId="0" fontId="6" fillId="73" borderId="46" xfId="0" applyFont="1" applyFill="1" applyBorder="1" applyAlignment="1">
      <alignment horizontal="center" vertical="center"/>
    </xf>
    <xf numFmtId="0" fontId="6" fillId="60" borderId="46" xfId="0" applyFont="1" applyFill="1" applyBorder="1" applyAlignment="1">
      <alignment horizontal="center" vertical="center"/>
    </xf>
    <xf numFmtId="49" fontId="6" fillId="68" borderId="92" xfId="0" applyNumberFormat="1" applyFont="1" applyFill="1" applyBorder="1" applyAlignment="1">
      <alignment horizontal="center" vertical="center"/>
    </xf>
    <xf numFmtId="49" fontId="6" fillId="72" borderId="92" xfId="0" applyNumberFormat="1" applyFont="1" applyFill="1" applyBorder="1" applyAlignment="1">
      <alignment horizontal="center" vertical="center"/>
    </xf>
    <xf numFmtId="49" fontId="5" fillId="52" borderId="137" xfId="0" applyNumberFormat="1" applyFont="1" applyFill="1" applyBorder="1" applyAlignment="1">
      <alignment horizontal="center" vertical="center"/>
    </xf>
    <xf numFmtId="0" fontId="6" fillId="58" borderId="44" xfId="0" applyFont="1" applyFill="1" applyBorder="1" applyAlignment="1">
      <alignment horizontal="center" vertical="center"/>
    </xf>
    <xf numFmtId="0" fontId="0" fillId="43" borderId="97" xfId="0" applyFill="1" applyBorder="1" applyAlignment="1" applyProtection="1">
      <alignment horizontal="center"/>
      <protection locked="0"/>
    </xf>
    <xf numFmtId="0" fontId="52" fillId="0" borderId="97" xfId="0" applyFont="1" applyBorder="1"/>
    <xf numFmtId="49" fontId="6" fillId="52" borderId="97" xfId="0" applyNumberFormat="1" applyFont="1" applyFill="1" applyBorder="1" applyAlignment="1">
      <alignment horizontal="center" vertical="center"/>
    </xf>
    <xf numFmtId="0" fontId="6" fillId="52" borderId="97" xfId="0" applyFont="1" applyFill="1" applyBorder="1" applyAlignment="1">
      <alignment horizontal="center" vertical="center"/>
    </xf>
    <xf numFmtId="0" fontId="6" fillId="52" borderId="157" xfId="0" applyFont="1" applyFill="1" applyBorder="1" applyAlignment="1">
      <alignment horizontal="center" vertical="center"/>
    </xf>
    <xf numFmtId="0" fontId="8" fillId="0" borderId="95" xfId="0" applyFont="1" applyBorder="1" applyAlignment="1">
      <alignment horizontal="center" vertical="center" wrapText="1"/>
    </xf>
    <xf numFmtId="0" fontId="64" fillId="0" borderId="95" xfId="0" applyFont="1" applyBorder="1"/>
    <xf numFmtId="0" fontId="6" fillId="62" borderId="49" xfId="0" applyFont="1" applyFill="1" applyBorder="1" applyAlignment="1">
      <alignment horizontal="center" vertical="center"/>
    </xf>
    <xf numFmtId="0" fontId="6" fillId="54" borderId="46" xfId="0" applyFont="1" applyFill="1" applyBorder="1" applyAlignment="1">
      <alignment horizontal="center" vertical="center"/>
    </xf>
    <xf numFmtId="0" fontId="6" fillId="57" borderId="34" xfId="0" applyFont="1" applyFill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55" borderId="46" xfId="0" applyFont="1" applyFill="1" applyBorder="1" applyAlignment="1">
      <alignment horizontal="center"/>
    </xf>
    <xf numFmtId="0" fontId="3" fillId="0" borderId="17" xfId="0" applyFont="1" applyBorder="1" applyAlignment="1" applyProtection="1">
      <alignment horizontal="center"/>
      <protection locked="0"/>
    </xf>
    <xf numFmtId="0" fontId="3" fillId="0" borderId="44" xfId="0" applyFont="1" applyBorder="1" applyAlignment="1" applyProtection="1">
      <alignment horizontal="center"/>
      <protection locked="0"/>
    </xf>
    <xf numFmtId="0" fontId="6" fillId="55" borderId="76" xfId="0" applyFont="1" applyFill="1" applyBorder="1" applyAlignment="1">
      <alignment horizontal="center"/>
    </xf>
    <xf numFmtId="0" fontId="6" fillId="52" borderId="76" xfId="0" applyFont="1" applyFill="1" applyBorder="1" applyAlignment="1">
      <alignment horizontal="center"/>
    </xf>
    <xf numFmtId="0" fontId="6" fillId="52" borderId="150" xfId="0" applyFont="1" applyFill="1" applyBorder="1" applyAlignment="1">
      <alignment horizontal="center"/>
    </xf>
    <xf numFmtId="0" fontId="0" fillId="0" borderId="95" xfId="0" applyBorder="1" applyAlignment="1">
      <alignment horizontal="left"/>
    </xf>
    <xf numFmtId="0" fontId="0" fillId="0" borderId="95" xfId="0" applyBorder="1" applyAlignment="1">
      <alignment horizontal="left" vertical="center"/>
    </xf>
    <xf numFmtId="0" fontId="47" fillId="0" borderId="95" xfId="33" applyFont="1" applyBorder="1"/>
    <xf numFmtId="0" fontId="6" fillId="57" borderId="11" xfId="0" applyFont="1" applyFill="1" applyBorder="1" applyAlignment="1">
      <alignment horizontal="center" vertical="center"/>
    </xf>
    <xf numFmtId="0" fontId="6" fillId="65" borderId="76" xfId="0" applyFont="1" applyFill="1" applyBorder="1" applyAlignment="1">
      <alignment horizontal="center" vertical="center"/>
    </xf>
    <xf numFmtId="0" fontId="6" fillId="74" borderId="46" xfId="0" applyFont="1" applyFill="1" applyBorder="1" applyAlignment="1">
      <alignment horizontal="center" vertical="center"/>
    </xf>
    <xf numFmtId="0" fontId="6" fillId="62" borderId="46" xfId="0" applyFont="1" applyFill="1" applyBorder="1" applyAlignment="1">
      <alignment horizontal="center"/>
    </xf>
    <xf numFmtId="0" fontId="6" fillId="57" borderId="35" xfId="0" applyFont="1" applyFill="1" applyBorder="1" applyAlignment="1">
      <alignment horizontal="center" vertical="center"/>
    </xf>
    <xf numFmtId="0" fontId="6" fillId="62" borderId="76" xfId="0" applyFont="1" applyFill="1" applyBorder="1" applyAlignment="1">
      <alignment horizontal="center" vertical="center"/>
    </xf>
    <xf numFmtId="0" fontId="6" fillId="56" borderId="0" xfId="0" applyFont="1" applyFill="1" applyAlignment="1">
      <alignment horizontal="center" vertical="center"/>
    </xf>
    <xf numFmtId="0" fontId="6" fillId="56" borderId="20" xfId="0" applyFont="1" applyFill="1" applyBorder="1" applyAlignment="1">
      <alignment horizontal="center" vertical="center"/>
    </xf>
    <xf numFmtId="0" fontId="6" fillId="57" borderId="15" xfId="0" applyFont="1" applyFill="1" applyBorder="1" applyAlignment="1">
      <alignment horizontal="center"/>
    </xf>
    <xf numFmtId="0" fontId="45" fillId="0" borderId="97" xfId="0" applyFont="1" applyBorder="1"/>
    <xf numFmtId="0" fontId="65" fillId="52" borderId="95" xfId="0" applyFont="1" applyFill="1" applyBorder="1" applyAlignment="1">
      <alignment wrapText="1"/>
    </xf>
    <xf numFmtId="0" fontId="20" fillId="0" borderId="101" xfId="0" applyFont="1" applyBorder="1"/>
    <xf numFmtId="0" fontId="14" fillId="52" borderId="95" xfId="0" applyFont="1" applyFill="1" applyBorder="1" applyAlignment="1">
      <alignment wrapText="1"/>
    </xf>
    <xf numFmtId="0" fontId="14" fillId="0" borderId="95" xfId="0" applyFont="1" applyBorder="1" applyAlignment="1">
      <alignment wrapText="1"/>
    </xf>
    <xf numFmtId="0" fontId="20" fillId="0" borderId="108" xfId="0" applyFont="1" applyBorder="1"/>
    <xf numFmtId="0" fontId="20" fillId="0" borderId="124" xfId="0" applyFont="1" applyBorder="1"/>
    <xf numFmtId="0" fontId="20" fillId="0" borderId="106" xfId="0" applyFont="1" applyBorder="1"/>
    <xf numFmtId="0" fontId="20" fillId="0" borderId="104" xfId="0" applyFont="1" applyBorder="1"/>
    <xf numFmtId="0" fontId="20" fillId="0" borderId="121" xfId="0" applyFont="1" applyBorder="1"/>
    <xf numFmtId="0" fontId="45" fillId="0" borderId="15" xfId="0" applyFont="1" applyBorder="1" applyAlignment="1">
      <alignment horizontal="left"/>
    </xf>
    <xf numFmtId="0" fontId="45" fillId="0" borderId="46" xfId="0" applyFont="1" applyBorder="1" applyAlignment="1">
      <alignment horizontal="left"/>
    </xf>
    <xf numFmtId="0" fontId="45" fillId="0" borderId="46" xfId="0" applyFont="1" applyBorder="1"/>
    <xf numFmtId="49" fontId="6" fillId="65" borderId="137" xfId="0" applyNumberFormat="1" applyFont="1" applyFill="1" applyBorder="1" applyAlignment="1">
      <alignment horizontal="center" vertical="center"/>
    </xf>
    <xf numFmtId="0" fontId="0" fillId="62" borderId="95" xfId="0" applyFill="1" applyBorder="1"/>
    <xf numFmtId="0" fontId="6" fillId="57" borderId="41" xfId="0" applyFont="1" applyFill="1" applyBorder="1" applyAlignment="1">
      <alignment horizontal="center" vertical="center"/>
    </xf>
    <xf numFmtId="49" fontId="6" fillId="52" borderId="152" xfId="0" applyNumberFormat="1" applyFont="1" applyFill="1" applyBorder="1" applyAlignment="1">
      <alignment horizontal="center" vertical="center"/>
    </xf>
    <xf numFmtId="49" fontId="6" fillId="65" borderId="152" xfId="0" applyNumberFormat="1" applyFont="1" applyFill="1" applyBorder="1" applyAlignment="1">
      <alignment horizontal="center" vertical="center"/>
    </xf>
    <xf numFmtId="49" fontId="6" fillId="62" borderId="30" xfId="0" applyNumberFormat="1" applyFont="1" applyFill="1" applyBorder="1" applyAlignment="1">
      <alignment horizontal="center" vertical="center"/>
    </xf>
    <xf numFmtId="49" fontId="56" fillId="52" borderId="152" xfId="0" applyNumberFormat="1" applyFont="1" applyFill="1" applyBorder="1" applyAlignment="1">
      <alignment horizontal="center" vertical="center"/>
    </xf>
    <xf numFmtId="0" fontId="6" fillId="57" borderId="152" xfId="0" applyFont="1" applyFill="1" applyBorder="1" applyAlignment="1">
      <alignment horizontal="center" vertical="center"/>
    </xf>
    <xf numFmtId="0" fontId="6" fillId="56" borderId="152" xfId="0" applyFont="1" applyFill="1" applyBorder="1" applyAlignment="1">
      <alignment horizontal="center" vertical="center"/>
    </xf>
    <xf numFmtId="49" fontId="6" fillId="52" borderId="102" xfId="0" applyNumberFormat="1" applyFont="1" applyFill="1" applyBorder="1" applyAlignment="1">
      <alignment horizontal="center" vertical="center"/>
    </xf>
    <xf numFmtId="0" fontId="6" fillId="52" borderId="102" xfId="0" applyFont="1" applyFill="1" applyBorder="1" applyAlignment="1">
      <alignment horizontal="center" vertical="center"/>
    </xf>
    <xf numFmtId="49" fontId="6" fillId="62" borderId="95" xfId="0" applyNumberFormat="1" applyFont="1" applyFill="1" applyBorder="1" applyAlignment="1">
      <alignment horizontal="center" vertical="center"/>
    </xf>
    <xf numFmtId="49" fontId="6" fillId="52" borderId="96" xfId="0" applyNumberFormat="1" applyFont="1" applyFill="1" applyBorder="1" applyAlignment="1">
      <alignment horizontal="center" vertical="center"/>
    </xf>
    <xf numFmtId="0" fontId="0" fillId="52" borderId="44" xfId="0" applyFill="1" applyBorder="1"/>
    <xf numFmtId="0" fontId="0" fillId="0" borderId="92" xfId="0" applyBorder="1"/>
    <xf numFmtId="0" fontId="6" fillId="62" borderId="158" xfId="0" applyFont="1" applyFill="1" applyBorder="1" applyAlignment="1">
      <alignment horizontal="center" vertical="center"/>
    </xf>
    <xf numFmtId="0" fontId="6" fillId="62" borderId="159" xfId="0" applyFont="1" applyFill="1" applyBorder="1" applyAlignment="1">
      <alignment horizontal="center" vertical="center"/>
    </xf>
    <xf numFmtId="0" fontId="6" fillId="52" borderId="159" xfId="0" applyFont="1" applyFill="1" applyBorder="1" applyAlignment="1">
      <alignment horizontal="center" vertical="center"/>
    </xf>
    <xf numFmtId="0" fontId="6" fillId="52" borderId="160" xfId="0" applyFont="1" applyFill="1" applyBorder="1" applyAlignment="1">
      <alignment horizontal="center" vertical="center"/>
    </xf>
    <xf numFmtId="0" fontId="6" fillId="52" borderId="161" xfId="0" applyFont="1" applyFill="1" applyBorder="1" applyAlignment="1">
      <alignment horizontal="center" vertical="center"/>
    </xf>
    <xf numFmtId="0" fontId="6" fillId="60" borderId="161" xfId="0" applyFont="1" applyFill="1" applyBorder="1" applyAlignment="1">
      <alignment horizontal="center" vertical="center"/>
    </xf>
    <xf numFmtId="0" fontId="6" fillId="56" borderId="161" xfId="0" applyFont="1" applyFill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65" borderId="161" xfId="0" applyFont="1" applyFill="1" applyBorder="1" applyAlignment="1">
      <alignment horizontal="center" vertical="center"/>
    </xf>
    <xf numFmtId="0" fontId="6" fillId="66" borderId="161" xfId="0" applyFont="1" applyFill="1" applyBorder="1" applyAlignment="1">
      <alignment horizontal="center" vertical="center"/>
    </xf>
    <xf numFmtId="0" fontId="6" fillId="52" borderId="143" xfId="0" applyFont="1" applyFill="1" applyBorder="1" applyAlignment="1">
      <alignment horizontal="center" vertical="center"/>
    </xf>
    <xf numFmtId="0" fontId="6" fillId="52" borderId="162" xfId="0" applyFont="1" applyFill="1" applyBorder="1" applyAlignment="1">
      <alignment horizontal="center" vertical="center"/>
    </xf>
    <xf numFmtId="0" fontId="6" fillId="62" borderId="137" xfId="0" applyFont="1" applyFill="1" applyBorder="1" applyAlignment="1">
      <alignment horizontal="center" vertical="center"/>
    </xf>
    <xf numFmtId="49" fontId="6" fillId="68" borderId="46" xfId="0" applyNumberFormat="1" applyFont="1" applyFill="1" applyBorder="1" applyAlignment="1">
      <alignment horizontal="center" vertical="center"/>
    </xf>
    <xf numFmtId="49" fontId="6" fillId="56" borderId="49" xfId="0" applyNumberFormat="1" applyFont="1" applyFill="1" applyBorder="1" applyAlignment="1">
      <alignment horizontal="center" vertical="center"/>
    </xf>
    <xf numFmtId="49" fontId="6" fillId="59" borderId="49" xfId="0" applyNumberFormat="1" applyFont="1" applyFill="1" applyBorder="1" applyAlignment="1">
      <alignment horizontal="center" vertical="center"/>
    </xf>
    <xf numFmtId="49" fontId="6" fillId="56" borderId="96" xfId="0" applyNumberFormat="1" applyFont="1" applyFill="1" applyBorder="1" applyAlignment="1">
      <alignment horizontal="center" vertical="center"/>
    </xf>
    <xf numFmtId="0" fontId="6" fillId="56" borderId="96" xfId="0" applyFont="1" applyFill="1" applyBorder="1" applyAlignment="1">
      <alignment horizontal="center" vertical="center"/>
    </xf>
    <xf numFmtId="0" fontId="6" fillId="57" borderId="18" xfId="0" applyFont="1" applyFill="1" applyBorder="1" applyAlignment="1">
      <alignment horizontal="center" vertical="center"/>
    </xf>
    <xf numFmtId="0" fontId="6" fillId="62" borderId="161" xfId="0" applyFont="1" applyFill="1" applyBorder="1" applyAlignment="1">
      <alignment horizontal="center" vertical="center"/>
    </xf>
    <xf numFmtId="0" fontId="6" fillId="54" borderId="15" xfId="0" applyFont="1" applyFill="1" applyBorder="1" applyAlignment="1">
      <alignment horizontal="center" vertical="center"/>
    </xf>
    <xf numFmtId="49" fontId="6" fillId="65" borderId="30" xfId="0" applyNumberFormat="1" applyFont="1" applyFill="1" applyBorder="1" applyAlignment="1">
      <alignment horizontal="center" vertical="center"/>
    </xf>
    <xf numFmtId="0" fontId="6" fillId="57" borderId="161" xfId="0" applyFont="1" applyFill="1" applyBorder="1" applyAlignment="1">
      <alignment horizontal="center" vertical="center"/>
    </xf>
    <xf numFmtId="0" fontId="6" fillId="76" borderId="95" xfId="0" applyFont="1" applyFill="1" applyBorder="1" applyAlignment="1">
      <alignment horizontal="center"/>
    </xf>
    <xf numFmtId="0" fontId="6" fillId="76" borderId="46" xfId="0" applyFont="1" applyFill="1" applyBorder="1" applyAlignment="1">
      <alignment horizontal="center"/>
    </xf>
    <xf numFmtId="0" fontId="6" fillId="65" borderId="46" xfId="0" applyFont="1" applyFill="1" applyBorder="1" applyAlignment="1">
      <alignment horizontal="center"/>
    </xf>
    <xf numFmtId="49" fontId="6" fillId="58" borderId="152" xfId="0" applyNumberFormat="1" applyFont="1" applyFill="1" applyBorder="1" applyAlignment="1">
      <alignment horizontal="center" vertical="center"/>
    </xf>
    <xf numFmtId="49" fontId="6" fillId="0" borderId="152" xfId="0" applyNumberFormat="1" applyFont="1" applyBorder="1" applyAlignment="1">
      <alignment horizontal="center" vertical="center"/>
    </xf>
    <xf numFmtId="0" fontId="6" fillId="63" borderId="137" xfId="0" applyFont="1" applyFill="1" applyBorder="1" applyAlignment="1">
      <alignment horizontal="center"/>
    </xf>
    <xf numFmtId="49" fontId="6" fillId="52" borderId="150" xfId="0" applyNumberFormat="1" applyFont="1" applyFill="1" applyBorder="1" applyAlignment="1">
      <alignment horizontal="center" vertical="center"/>
    </xf>
    <xf numFmtId="0" fontId="6" fillId="75" borderId="15" xfId="0" applyFont="1" applyFill="1" applyBorder="1" applyAlignment="1">
      <alignment horizontal="center" vertical="center"/>
    </xf>
    <xf numFmtId="0" fontId="6" fillId="75" borderId="46" xfId="0" applyFont="1" applyFill="1" applyBorder="1" applyAlignment="1">
      <alignment horizontal="center" vertical="center"/>
    </xf>
    <xf numFmtId="0" fontId="6" fillId="75" borderId="30" xfId="0" applyFont="1" applyFill="1" applyBorder="1" applyAlignment="1">
      <alignment horizontal="center" vertical="center"/>
    </xf>
    <xf numFmtId="0" fontId="6" fillId="75" borderId="46" xfId="0" applyFont="1" applyFill="1" applyBorder="1" applyAlignment="1">
      <alignment horizontal="center"/>
    </xf>
    <xf numFmtId="0" fontId="6" fillId="62" borderId="13" xfId="0" applyFont="1" applyFill="1" applyBorder="1" applyAlignment="1">
      <alignment horizontal="center" vertical="center"/>
    </xf>
    <xf numFmtId="49" fontId="6" fillId="62" borderId="152" xfId="0" applyNumberFormat="1" applyFont="1" applyFill="1" applyBorder="1" applyAlignment="1">
      <alignment horizontal="center" vertical="center"/>
    </xf>
    <xf numFmtId="0" fontId="6" fillId="0" borderId="159" xfId="0" applyFont="1" applyBorder="1" applyAlignment="1">
      <alignment horizontal="center" vertical="center"/>
    </xf>
    <xf numFmtId="49" fontId="56" fillId="62" borderId="152" xfId="0" applyNumberFormat="1" applyFont="1" applyFill="1" applyBorder="1" applyAlignment="1">
      <alignment horizontal="center" vertical="center"/>
    </xf>
    <xf numFmtId="0" fontId="6" fillId="62" borderId="152" xfId="0" applyFont="1" applyFill="1" applyBorder="1" applyAlignment="1">
      <alignment horizontal="center" vertical="center"/>
    </xf>
    <xf numFmtId="0" fontId="6" fillId="62" borderId="153" xfId="0" applyFont="1" applyFill="1" applyBorder="1" applyAlignment="1">
      <alignment horizontal="center" vertical="center"/>
    </xf>
    <xf numFmtId="49" fontId="56" fillId="62" borderId="46" xfId="0" applyNumberFormat="1" applyFont="1" applyFill="1" applyBorder="1" applyAlignment="1">
      <alignment horizontal="center" vertical="center"/>
    </xf>
    <xf numFmtId="0" fontId="6" fillId="52" borderId="92" xfId="0" applyFont="1" applyFill="1" applyBorder="1" applyAlignment="1">
      <alignment horizontal="center" vertical="center"/>
    </xf>
    <xf numFmtId="0" fontId="6" fillId="58" borderId="41" xfId="0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62" borderId="92" xfId="0" applyFont="1" applyFill="1" applyBorder="1" applyAlignment="1">
      <alignment horizontal="center" vertical="center"/>
    </xf>
    <xf numFmtId="49" fontId="6" fillId="67" borderId="137" xfId="0" applyNumberFormat="1" applyFont="1" applyFill="1" applyBorder="1" applyAlignment="1">
      <alignment horizontal="center" vertical="center"/>
    </xf>
    <xf numFmtId="49" fontId="66" fillId="52" borderId="15" xfId="0" applyNumberFormat="1" applyFont="1" applyFill="1" applyBorder="1" applyAlignment="1">
      <alignment horizontal="center" vertical="center"/>
    </xf>
    <xf numFmtId="49" fontId="8" fillId="52" borderId="46" xfId="0" applyNumberFormat="1" applyFont="1" applyFill="1" applyBorder="1" applyAlignment="1">
      <alignment horizontal="center" vertical="center"/>
    </xf>
    <xf numFmtId="0" fontId="6" fillId="54" borderId="30" xfId="0" applyFont="1" applyFill="1" applyBorder="1" applyAlignment="1">
      <alignment horizontal="center" vertical="center"/>
    </xf>
    <xf numFmtId="0" fontId="8" fillId="52" borderId="0" xfId="0" applyFont="1" applyFill="1" applyAlignment="1">
      <alignment horizontal="center" vertical="center"/>
    </xf>
    <xf numFmtId="0" fontId="8" fillId="52" borderId="95" xfId="0" applyFont="1" applyFill="1" applyBorder="1" applyAlignment="1">
      <alignment horizontal="center" vertical="center"/>
    </xf>
    <xf numFmtId="0" fontId="6" fillId="56" borderId="59" xfId="0" applyFont="1" applyFill="1" applyBorder="1" applyAlignment="1">
      <alignment horizontal="center" vertical="center"/>
    </xf>
    <xf numFmtId="0" fontId="6" fillId="62" borderId="0" xfId="0" applyFont="1" applyFill="1" applyAlignment="1">
      <alignment horizontal="center" vertical="center"/>
    </xf>
    <xf numFmtId="49" fontId="6" fillId="62" borderId="49" xfId="0" applyNumberFormat="1" applyFont="1" applyFill="1" applyBorder="1" applyAlignment="1">
      <alignment horizontal="center" vertical="center"/>
    </xf>
    <xf numFmtId="49" fontId="6" fillId="77" borderId="92" xfId="0" applyNumberFormat="1" applyFont="1" applyFill="1" applyBorder="1" applyAlignment="1">
      <alignment horizontal="center" vertical="center"/>
    </xf>
    <xf numFmtId="0" fontId="6" fillId="79" borderId="137" xfId="0" applyFont="1" applyFill="1" applyBorder="1" applyAlignment="1">
      <alignment horizontal="center" vertical="center"/>
    </xf>
    <xf numFmtId="49" fontId="6" fillId="60" borderId="15" xfId="0" applyNumberFormat="1" applyFont="1" applyFill="1" applyBorder="1" applyAlignment="1">
      <alignment horizontal="center" vertical="center"/>
    </xf>
    <xf numFmtId="49" fontId="6" fillId="78" borderId="92" xfId="0" applyNumberFormat="1" applyFont="1" applyFill="1" applyBorder="1" applyAlignment="1">
      <alignment horizontal="center" vertical="center"/>
    </xf>
    <xf numFmtId="49" fontId="6" fillId="61" borderId="46" xfId="0" applyNumberFormat="1" applyFont="1" applyFill="1" applyBorder="1" applyAlignment="1">
      <alignment horizontal="center" vertical="center"/>
    </xf>
    <xf numFmtId="0" fontId="6" fillId="77" borderId="15" xfId="0" applyFont="1" applyFill="1" applyBorder="1" applyAlignment="1">
      <alignment horizontal="center" vertical="center"/>
    </xf>
    <xf numFmtId="49" fontId="66" fillId="56" borderId="15" xfId="0" applyNumberFormat="1" applyFont="1" applyFill="1" applyBorder="1" applyAlignment="1">
      <alignment horizontal="center" vertical="center"/>
    </xf>
    <xf numFmtId="49" fontId="6" fillId="80" borderId="46" xfId="0" applyNumberFormat="1" applyFont="1" applyFill="1" applyBorder="1" applyAlignment="1">
      <alignment horizontal="center" vertical="center"/>
    </xf>
    <xf numFmtId="49" fontId="6" fillId="54" borderId="46" xfId="0" applyNumberFormat="1" applyFont="1" applyFill="1" applyBorder="1" applyAlignment="1">
      <alignment horizontal="center" vertical="center"/>
    </xf>
    <xf numFmtId="49" fontId="6" fillId="66" borderId="92" xfId="0" applyNumberFormat="1" applyFont="1" applyFill="1" applyBorder="1" applyAlignment="1">
      <alignment horizontal="center" vertical="center"/>
    </xf>
    <xf numFmtId="49" fontId="6" fillId="58" borderId="15" xfId="0" applyNumberFormat="1" applyFont="1" applyFill="1" applyBorder="1" applyAlignment="1">
      <alignment horizontal="center" vertical="center"/>
    </xf>
    <xf numFmtId="49" fontId="6" fillId="80" borderId="137" xfId="0" applyNumberFormat="1" applyFont="1" applyFill="1" applyBorder="1" applyAlignment="1">
      <alignment horizontal="center" vertical="center"/>
    </xf>
    <xf numFmtId="0" fontId="6" fillId="81" borderId="137" xfId="0" applyFont="1" applyFill="1" applyBorder="1" applyAlignment="1">
      <alignment horizontal="center" vertical="center"/>
    </xf>
    <xf numFmtId="14" fontId="0" fillId="0" borderId="95" xfId="0" applyNumberFormat="1" applyBorder="1"/>
    <xf numFmtId="49" fontId="6" fillId="52" borderId="78" xfId="0" applyNumberFormat="1" applyFont="1" applyFill="1" applyBorder="1" applyAlignment="1">
      <alignment horizontal="center" vertical="center"/>
    </xf>
    <xf numFmtId="0" fontId="3" fillId="43" borderId="95" xfId="0" applyFont="1" applyFill="1" applyBorder="1" applyAlignment="1">
      <alignment horizontal="center"/>
    </xf>
    <xf numFmtId="49" fontId="6" fillId="65" borderId="15" xfId="0" applyNumberFormat="1" applyFont="1" applyFill="1" applyBorder="1" applyAlignment="1">
      <alignment horizontal="center" vertical="center"/>
    </xf>
    <xf numFmtId="0" fontId="0" fillId="52" borderId="0" xfId="0" applyFill="1"/>
    <xf numFmtId="0" fontId="6" fillId="81" borderId="46" xfId="0" applyFont="1" applyFill="1" applyBorder="1" applyAlignment="1">
      <alignment horizontal="center" vertical="center"/>
    </xf>
    <xf numFmtId="0" fontId="3" fillId="43" borderId="49" xfId="0" applyFont="1" applyFill="1" applyBorder="1" applyAlignment="1">
      <alignment horizontal="center"/>
    </xf>
    <xf numFmtId="173" fontId="45" fillId="0" borderId="95" xfId="0" applyNumberFormat="1" applyFont="1" applyBorder="1"/>
    <xf numFmtId="49" fontId="66" fillId="52" borderId="137" xfId="0" applyNumberFormat="1" applyFont="1" applyFill="1" applyBorder="1" applyAlignment="1">
      <alignment horizontal="center" vertical="center"/>
    </xf>
    <xf numFmtId="49" fontId="66" fillId="65" borderId="137" xfId="0" applyNumberFormat="1" applyFont="1" applyFill="1" applyBorder="1" applyAlignment="1">
      <alignment horizontal="center" vertical="center"/>
    </xf>
    <xf numFmtId="0" fontId="8" fillId="0" borderId="163" xfId="0" applyFont="1" applyBorder="1" applyAlignment="1">
      <alignment horizontal="center" vertical="center"/>
    </xf>
    <xf numFmtId="0" fontId="8" fillId="0" borderId="164" xfId="0" applyFont="1" applyBorder="1" applyAlignment="1">
      <alignment horizontal="center" vertical="center"/>
    </xf>
    <xf numFmtId="0" fontId="6" fillId="52" borderId="0" xfId="0" applyFont="1" applyFill="1" applyAlignment="1">
      <alignment horizontal="center"/>
    </xf>
    <xf numFmtId="0" fontId="6" fillId="52" borderId="165" xfId="0" applyFont="1" applyFill="1" applyBorder="1" applyAlignment="1">
      <alignment horizontal="center"/>
    </xf>
    <xf numFmtId="49" fontId="6" fillId="63" borderId="137" xfId="0" applyNumberFormat="1" applyFont="1" applyFill="1" applyBorder="1" applyAlignment="1">
      <alignment horizontal="center" vertical="center"/>
    </xf>
    <xf numFmtId="49" fontId="6" fillId="69" borderId="92" xfId="0" applyNumberFormat="1" applyFont="1" applyFill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76" xfId="0" applyFont="1" applyBorder="1" applyAlignment="1">
      <alignment horizontal="center" vertical="center"/>
    </xf>
    <xf numFmtId="49" fontId="6" fillId="59" borderId="125" xfId="0" applyNumberFormat="1" applyFont="1" applyFill="1" applyBorder="1" applyAlignment="1">
      <alignment horizontal="center" vertical="center"/>
    </xf>
    <xf numFmtId="0" fontId="6" fillId="60" borderId="15" xfId="0" applyFont="1" applyFill="1" applyBorder="1" applyAlignment="1">
      <alignment horizontal="center" vertical="center"/>
    </xf>
    <xf numFmtId="49" fontId="6" fillId="54" borderId="49" xfId="0" applyNumberFormat="1" applyFont="1" applyFill="1" applyBorder="1" applyAlignment="1">
      <alignment horizontal="center" vertical="center"/>
    </xf>
    <xf numFmtId="0" fontId="6" fillId="59" borderId="95" xfId="0" applyFont="1" applyFill="1" applyBorder="1" applyAlignment="1">
      <alignment horizontal="center" vertical="center"/>
    </xf>
    <xf numFmtId="0" fontId="6" fillId="54" borderId="95" xfId="0" applyFont="1" applyFill="1" applyBorder="1" applyAlignment="1">
      <alignment horizontal="center" vertical="center"/>
    </xf>
    <xf numFmtId="0" fontId="6" fillId="26" borderId="15" xfId="0" applyFont="1" applyFill="1" applyBorder="1" applyAlignment="1">
      <alignment horizontal="center" vertical="center"/>
    </xf>
    <xf numFmtId="49" fontId="6" fillId="57" borderId="49" xfId="0" applyNumberFormat="1" applyFont="1" applyFill="1" applyBorder="1" applyAlignment="1">
      <alignment horizontal="center" vertical="center"/>
    </xf>
    <xf numFmtId="49" fontId="6" fillId="54" borderId="95" xfId="0" applyNumberFormat="1" applyFont="1" applyFill="1" applyBorder="1" applyAlignment="1">
      <alignment horizontal="center" vertical="center"/>
    </xf>
    <xf numFmtId="49" fontId="6" fillId="53" borderId="46" xfId="0" applyNumberFormat="1" applyFont="1" applyFill="1" applyBorder="1" applyAlignment="1">
      <alignment horizontal="center" vertical="center"/>
    </xf>
    <xf numFmtId="0" fontId="6" fillId="0" borderId="152" xfId="0" applyFont="1" applyBorder="1" applyAlignment="1">
      <alignment horizontal="center" vertical="center"/>
    </xf>
    <xf numFmtId="49" fontId="6" fillId="59" borderId="15" xfId="0" applyNumberFormat="1" applyFont="1" applyFill="1" applyBorder="1" applyAlignment="1">
      <alignment horizontal="center" vertical="center"/>
    </xf>
    <xf numFmtId="0" fontId="6" fillId="56" borderId="95" xfId="0" applyFont="1" applyFill="1" applyBorder="1" applyAlignment="1">
      <alignment horizontal="center" vertical="center"/>
    </xf>
    <xf numFmtId="0" fontId="0" fillId="82" borderId="16" xfId="0" applyFill="1" applyBorder="1"/>
    <xf numFmtId="49" fontId="6" fillId="78" borderId="95" xfId="0" applyNumberFormat="1" applyFont="1" applyFill="1" applyBorder="1" applyAlignment="1">
      <alignment horizontal="center" vertical="center"/>
    </xf>
    <xf numFmtId="0" fontId="6" fillId="66" borderId="15" xfId="0" applyFont="1" applyFill="1" applyBorder="1" applyAlignment="1">
      <alignment horizontal="center"/>
    </xf>
    <xf numFmtId="0" fontId="6" fillId="66" borderId="46" xfId="0" applyFont="1" applyFill="1" applyBorder="1" applyAlignment="1">
      <alignment horizontal="center"/>
    </xf>
    <xf numFmtId="49" fontId="6" fillId="81" borderId="46" xfId="0" applyNumberFormat="1" applyFont="1" applyFill="1" applyBorder="1" applyAlignment="1">
      <alignment horizontal="center" vertical="center"/>
    </xf>
    <xf numFmtId="0" fontId="6" fillId="81" borderId="95" xfId="0" applyFont="1" applyFill="1" applyBorder="1" applyAlignment="1">
      <alignment horizontal="center" vertical="center"/>
    </xf>
    <xf numFmtId="0" fontId="6" fillId="80" borderId="46" xfId="0" applyFont="1" applyFill="1" applyBorder="1" applyAlignment="1">
      <alignment horizontal="center" vertical="center"/>
    </xf>
    <xf numFmtId="0" fontId="6" fillId="58" borderId="15" xfId="0" applyFont="1" applyFill="1" applyBorder="1" applyAlignment="1">
      <alignment horizontal="center"/>
    </xf>
    <xf numFmtId="0" fontId="0" fillId="0" borderId="75" xfId="0" applyBorder="1" applyAlignment="1" applyProtection="1">
      <alignment horizontal="center"/>
      <protection locked="0"/>
    </xf>
    <xf numFmtId="0" fontId="12" fillId="0" borderId="97" xfId="0" applyFont="1" applyBorder="1" applyAlignment="1">
      <alignment horizontal="left" vertical="center"/>
    </xf>
    <xf numFmtId="0" fontId="0" fillId="0" borderId="95" xfId="0" applyBorder="1" applyAlignment="1" applyProtection="1">
      <alignment horizontal="center"/>
      <protection locked="0"/>
    </xf>
    <xf numFmtId="0" fontId="6" fillId="0" borderId="95" xfId="0" applyFont="1" applyBorder="1"/>
    <xf numFmtId="0" fontId="6" fillId="64" borderId="95" xfId="0" applyFont="1" applyFill="1" applyBorder="1" applyAlignment="1">
      <alignment horizontal="center" vertical="center"/>
    </xf>
    <xf numFmtId="0" fontId="6" fillId="62" borderId="34" xfId="0" applyFont="1" applyFill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49" fontId="6" fillId="59" borderId="95" xfId="0" applyNumberFormat="1" applyFont="1" applyFill="1" applyBorder="1" applyAlignment="1">
      <alignment horizontal="center" vertical="center"/>
    </xf>
    <xf numFmtId="49" fontId="6" fillId="54" borderId="137" xfId="0" applyNumberFormat="1" applyFont="1" applyFill="1" applyBorder="1" applyAlignment="1">
      <alignment horizontal="center" vertical="center"/>
    </xf>
    <xf numFmtId="0" fontId="6" fillId="54" borderId="137" xfId="0" applyFont="1" applyFill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6" fillId="59" borderId="30" xfId="0" applyFont="1" applyFill="1" applyBorder="1" applyAlignment="1">
      <alignment horizontal="center" vertical="center"/>
    </xf>
    <xf numFmtId="0" fontId="6" fillId="59" borderId="35" xfId="0" applyFont="1" applyFill="1" applyBorder="1" applyAlignment="1">
      <alignment horizontal="center" vertical="center"/>
    </xf>
    <xf numFmtId="0" fontId="6" fillId="64" borderId="46" xfId="0" applyFont="1" applyFill="1" applyBorder="1" applyAlignment="1">
      <alignment horizontal="center" vertical="center"/>
    </xf>
    <xf numFmtId="0" fontId="3" fillId="0" borderId="95" xfId="33" applyFont="1" applyBorder="1"/>
    <xf numFmtId="0" fontId="6" fillId="58" borderId="11" xfId="0" applyFont="1" applyFill="1" applyBorder="1" applyAlignment="1">
      <alignment horizontal="center" vertical="center"/>
    </xf>
    <xf numFmtId="49" fontId="6" fillId="83" borderId="46" xfId="0" applyNumberFormat="1" applyFont="1" applyFill="1" applyBorder="1" applyAlignment="1">
      <alignment horizontal="center" vertical="center"/>
    </xf>
    <xf numFmtId="49" fontId="6" fillId="65" borderId="95" xfId="0" applyNumberFormat="1" applyFont="1" applyFill="1" applyBorder="1" applyAlignment="1">
      <alignment horizontal="center" vertical="center"/>
    </xf>
    <xf numFmtId="49" fontId="6" fillId="65" borderId="113" xfId="0" applyNumberFormat="1" applyFont="1" applyFill="1" applyBorder="1" applyAlignment="1">
      <alignment horizontal="center" vertical="center"/>
    </xf>
    <xf numFmtId="49" fontId="6" fillId="66" borderId="15" xfId="0" applyNumberFormat="1" applyFont="1" applyFill="1" applyBorder="1" applyAlignment="1">
      <alignment horizontal="center" vertical="center"/>
    </xf>
    <xf numFmtId="49" fontId="6" fillId="74" borderId="15" xfId="0" applyNumberFormat="1" applyFont="1" applyFill="1" applyBorder="1" applyAlignment="1">
      <alignment horizontal="center" vertical="center"/>
    </xf>
    <xf numFmtId="49" fontId="6" fillId="84" borderId="92" xfId="0" applyNumberFormat="1" applyFont="1" applyFill="1" applyBorder="1" applyAlignment="1">
      <alignment horizontal="center" vertical="center"/>
    </xf>
    <xf numFmtId="49" fontId="6" fillId="83" borderId="92" xfId="0" applyNumberFormat="1" applyFont="1" applyFill="1" applyBorder="1" applyAlignment="1">
      <alignment horizontal="center" vertical="center"/>
    </xf>
    <xf numFmtId="49" fontId="6" fillId="57" borderId="92" xfId="0" applyNumberFormat="1" applyFont="1" applyFill="1" applyBorder="1" applyAlignment="1">
      <alignment horizontal="center" vertical="center"/>
    </xf>
    <xf numFmtId="0" fontId="6" fillId="65" borderId="12" xfId="0" applyFont="1" applyFill="1" applyBorder="1" applyAlignment="1">
      <alignment horizontal="center" vertical="center"/>
    </xf>
    <xf numFmtId="49" fontId="6" fillId="59" borderId="137" xfId="0" applyNumberFormat="1" applyFont="1" applyFill="1" applyBorder="1" applyAlignment="1">
      <alignment horizontal="center" vertical="center"/>
    </xf>
    <xf numFmtId="0" fontId="45" fillId="0" borderId="95" xfId="33" applyFont="1" applyBorder="1" applyAlignment="1">
      <alignment horizontal="center"/>
    </xf>
    <xf numFmtId="0" fontId="45" fillId="0" borderId="0" xfId="33" applyFont="1"/>
    <xf numFmtId="0" fontId="23" fillId="0" borderId="0" xfId="33" applyFont="1"/>
    <xf numFmtId="0" fontId="45" fillId="0" borderId="0" xfId="33" applyFont="1" applyAlignment="1">
      <alignment horizontal="center"/>
    </xf>
    <xf numFmtId="0" fontId="19" fillId="0" borderId="21" xfId="0" applyFont="1" applyBorder="1" applyAlignment="1">
      <alignment horizontal="center"/>
    </xf>
  </cellXfs>
  <cellStyles count="46">
    <cellStyle name="20 % - Farve1" xfId="1" builtinId="30" customBuiltin="1"/>
    <cellStyle name="20 % - Farve2" xfId="2" builtinId="34" customBuiltin="1"/>
    <cellStyle name="20 % - Farve3" xfId="3" builtinId="38" customBuiltin="1"/>
    <cellStyle name="20 % - Farve4" xfId="4" builtinId="42" customBuiltin="1"/>
    <cellStyle name="20 % - Farve5" xfId="5" builtinId="46" customBuiltin="1"/>
    <cellStyle name="20 % - Farve6" xfId="6" builtinId="50" customBuiltin="1"/>
    <cellStyle name="40 % - Farve1" xfId="7" builtinId="31" customBuiltin="1"/>
    <cellStyle name="40 % - Farve2" xfId="8" builtinId="35" customBuiltin="1"/>
    <cellStyle name="40 % - Farve3" xfId="9" builtinId="39" customBuiltin="1"/>
    <cellStyle name="40 % - Farve4" xfId="10" builtinId="43" customBuiltin="1"/>
    <cellStyle name="40 % - Farve5" xfId="11" builtinId="47" customBuiltin="1"/>
    <cellStyle name="40 % - Farve6" xfId="12" builtinId="51" customBuiltin="1"/>
    <cellStyle name="60 % - Farve1" xfId="13" builtinId="32" customBuiltin="1"/>
    <cellStyle name="60 % - Farve2" xfId="14" builtinId="36" customBuiltin="1"/>
    <cellStyle name="60 % - Farve3" xfId="15" builtinId="40" customBuiltin="1"/>
    <cellStyle name="60 % - Farve4" xfId="16" builtinId="44" customBuiltin="1"/>
    <cellStyle name="60 % - Farve5" xfId="17" builtinId="48" customBuiltin="1"/>
    <cellStyle name="60 % - Farve6" xfId="18" builtinId="52" customBuiltin="1"/>
    <cellStyle name="Advarselstekst" xfId="19" builtinId="11" customBuiltin="1"/>
    <cellStyle name="Bemærk!" xfId="20" builtinId="10" customBuiltin="1"/>
    <cellStyle name="Beregning" xfId="21" builtinId="22" customBuiltin="1"/>
    <cellStyle name="Farve1" xfId="26" builtinId="29" customBuiltin="1"/>
    <cellStyle name="Farve2" xfId="27" builtinId="33" customBuiltin="1"/>
    <cellStyle name="Farve3" xfId="28" builtinId="37" customBuiltin="1"/>
    <cellStyle name="Farve4" xfId="29" builtinId="41" customBuiltin="1"/>
    <cellStyle name="Farve5" xfId="30" builtinId="45" customBuiltin="1"/>
    <cellStyle name="Farve6" xfId="31" builtinId="49" customBuiltin="1"/>
    <cellStyle name="Forklarende tekst" xfId="22" builtinId="53" customBuiltin="1"/>
    <cellStyle name="God" xfId="23" builtinId="26" customBuiltin="1"/>
    <cellStyle name="Input" xfId="24" builtinId="20" customBuiltin="1"/>
    <cellStyle name="Komma" xfId="44" builtinId="3"/>
    <cellStyle name="Kontrollér celle" xfId="25" builtinId="23" customBuiltin="1"/>
    <cellStyle name="Neutral" xfId="32" builtinId="28" customBuiltin="1"/>
    <cellStyle name="Normal" xfId="0" builtinId="0"/>
    <cellStyle name="Normal 2" xfId="43" xr:uid="{00000000-0005-0000-0000-000022000000}"/>
    <cellStyle name="Normal 3" xfId="45" xr:uid="{00000000-0005-0000-0000-000023000000}"/>
    <cellStyle name="Normal_Tj PL  Juni-Sept " xfId="33" xr:uid="{00000000-0005-0000-0000-000024000000}"/>
    <cellStyle name="Output" xfId="34" builtinId="21" customBuiltin="1"/>
    <cellStyle name="Overskrift 1" xfId="35" builtinId="16" customBuiltin="1"/>
    <cellStyle name="Overskrift 2" xfId="36" builtinId="17" customBuiltin="1"/>
    <cellStyle name="Overskrift 3" xfId="37" builtinId="18" customBuiltin="1"/>
    <cellStyle name="Overskrift 4" xfId="38" builtinId="19" customBuiltin="1"/>
    <cellStyle name="Sammenkædet celle" xfId="39" builtinId="24" customBuiltin="1"/>
    <cellStyle name="Titel" xfId="40" builtinId="15" customBuiltin="1"/>
    <cellStyle name="Total" xfId="41" builtinId="25" customBuiltin="1"/>
    <cellStyle name="Ugyldig" xfId="42" builtinId="27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0909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CC00"/>
      <color rgb="FFFFFF00"/>
      <color rgb="FFFF9900"/>
      <color rgb="FFCC00CC"/>
      <color rgb="FFFF7C80"/>
      <color rgb="FFFFCC99"/>
      <color rgb="FFFFFF99"/>
      <color rgb="FF0000FF"/>
      <color rgb="FFCC0099"/>
      <color rgb="FF99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485775</xdr:colOff>
      <xdr:row>88</xdr:row>
      <xdr:rowOff>19050</xdr:rowOff>
    </xdr:from>
    <xdr:to>
      <xdr:col>6</xdr:col>
      <xdr:colOff>76200</xdr:colOff>
      <xdr:row>89</xdr:row>
      <xdr:rowOff>85725</xdr:rowOff>
    </xdr:to>
    <xdr:sp macro="" textlink="">
      <xdr:nvSpPr>
        <xdr:cNvPr id="2143" name="Oval 1">
          <a:extLst>
            <a:ext uri="{FF2B5EF4-FFF2-40B4-BE49-F238E27FC236}">
              <a16:creationId xmlns:a16="http://schemas.microsoft.com/office/drawing/2014/main" id="{00000000-0008-0000-0100-00005F080000}"/>
            </a:ext>
          </a:extLst>
        </xdr:cNvPr>
        <xdr:cNvSpPr>
          <a:spLocks noChangeArrowheads="1"/>
        </xdr:cNvSpPr>
      </xdr:nvSpPr>
      <xdr:spPr bwMode="auto">
        <a:xfrm>
          <a:off x="5591175" y="20574000"/>
          <a:ext cx="409575" cy="2857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125</xdr:row>
      <xdr:rowOff>19050</xdr:rowOff>
    </xdr:from>
    <xdr:to>
      <xdr:col>6</xdr:col>
      <xdr:colOff>76200</xdr:colOff>
      <xdr:row>126</xdr:row>
      <xdr:rowOff>85725</xdr:rowOff>
    </xdr:to>
    <xdr:sp macro="" textlink="">
      <xdr:nvSpPr>
        <xdr:cNvPr id="2144" name="Oval 2">
          <a:extLst>
            <a:ext uri="{FF2B5EF4-FFF2-40B4-BE49-F238E27FC236}">
              <a16:creationId xmlns:a16="http://schemas.microsoft.com/office/drawing/2014/main" id="{00000000-0008-0000-0100-000060080000}"/>
            </a:ext>
          </a:extLst>
        </xdr:cNvPr>
        <xdr:cNvSpPr>
          <a:spLocks noChangeArrowheads="1"/>
        </xdr:cNvSpPr>
      </xdr:nvSpPr>
      <xdr:spPr bwMode="auto">
        <a:xfrm>
          <a:off x="5591175" y="28679775"/>
          <a:ext cx="409575" cy="2857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514350</xdr:colOff>
      <xdr:row>51</xdr:row>
      <xdr:rowOff>28575</xdr:rowOff>
    </xdr:from>
    <xdr:to>
      <xdr:col>5</xdr:col>
      <xdr:colOff>809625</xdr:colOff>
      <xdr:row>52</xdr:row>
      <xdr:rowOff>57150</xdr:rowOff>
    </xdr:to>
    <xdr:sp macro="" textlink="">
      <xdr:nvSpPr>
        <xdr:cNvPr id="3167" name="Oval 1">
          <a:extLst>
            <a:ext uri="{FF2B5EF4-FFF2-40B4-BE49-F238E27FC236}">
              <a16:creationId xmlns:a16="http://schemas.microsoft.com/office/drawing/2014/main" id="{00000000-0008-0000-0200-00005F0C0000}"/>
            </a:ext>
          </a:extLst>
        </xdr:cNvPr>
        <xdr:cNvSpPr>
          <a:spLocks noChangeArrowheads="1"/>
        </xdr:cNvSpPr>
      </xdr:nvSpPr>
      <xdr:spPr bwMode="auto">
        <a:xfrm>
          <a:off x="5619750" y="11763375"/>
          <a:ext cx="295275" cy="2476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80</xdr:row>
      <xdr:rowOff>19050</xdr:rowOff>
    </xdr:from>
    <xdr:to>
      <xdr:col>6</xdr:col>
      <xdr:colOff>76200</xdr:colOff>
      <xdr:row>80</xdr:row>
      <xdr:rowOff>219075</xdr:rowOff>
    </xdr:to>
    <xdr:sp macro="" textlink="">
      <xdr:nvSpPr>
        <xdr:cNvPr id="3168" name="Oval 2">
          <a:extLst>
            <a:ext uri="{FF2B5EF4-FFF2-40B4-BE49-F238E27FC236}">
              <a16:creationId xmlns:a16="http://schemas.microsoft.com/office/drawing/2014/main" id="{00000000-0008-0000-0200-0000600C0000}"/>
            </a:ext>
          </a:extLst>
        </xdr:cNvPr>
        <xdr:cNvSpPr>
          <a:spLocks noChangeArrowheads="1"/>
        </xdr:cNvSpPr>
      </xdr:nvSpPr>
      <xdr:spPr bwMode="auto">
        <a:xfrm>
          <a:off x="5591175" y="18049875"/>
          <a:ext cx="409575" cy="19050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514350</xdr:colOff>
      <xdr:row>51</xdr:row>
      <xdr:rowOff>28575</xdr:rowOff>
    </xdr:from>
    <xdr:to>
      <xdr:col>5</xdr:col>
      <xdr:colOff>809625</xdr:colOff>
      <xdr:row>52</xdr:row>
      <xdr:rowOff>57150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5619750" y="11763375"/>
          <a:ext cx="295275" cy="2476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80</xdr:row>
      <xdr:rowOff>19050</xdr:rowOff>
    </xdr:from>
    <xdr:to>
      <xdr:col>6</xdr:col>
      <xdr:colOff>76200</xdr:colOff>
      <xdr:row>80</xdr:row>
      <xdr:rowOff>219075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rrowheads="1"/>
        </xdr:cNvSpPr>
      </xdr:nvSpPr>
      <xdr:spPr bwMode="auto">
        <a:xfrm>
          <a:off x="5591175" y="18049875"/>
          <a:ext cx="409575" cy="19050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N160"/>
  <sheetViews>
    <sheetView zoomScale="67" zoomScaleNormal="67" workbookViewId="0">
      <selection activeCell="Q25" sqref="Q25"/>
    </sheetView>
  </sheetViews>
  <sheetFormatPr defaultRowHeight="12.75"/>
  <cols>
    <col min="1" max="1" width="23.85546875" customWidth="1"/>
    <col min="2" max="2" width="13" customWidth="1"/>
    <col min="3" max="3" width="10.85546875" customWidth="1"/>
    <col min="4" max="4" width="12.7109375" customWidth="1"/>
    <col min="5" max="5" width="11.85546875" customWidth="1"/>
    <col min="6" max="8" width="10.85546875" customWidth="1"/>
    <col min="9" max="9" width="13" customWidth="1"/>
    <col min="10" max="10" width="25" customWidth="1"/>
  </cols>
  <sheetData>
    <row r="1" spans="1:10" ht="20.100000000000001" customHeight="1">
      <c r="A1" s="1" t="s">
        <v>0</v>
      </c>
      <c r="B1" s="1"/>
      <c r="D1" s="2"/>
      <c r="E1" s="2"/>
    </row>
    <row r="2" spans="1:10" ht="20.100000000000001" customHeight="1">
      <c r="A2" s="3" t="s">
        <v>1</v>
      </c>
      <c r="B2" s="4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6" t="s">
        <v>8</v>
      </c>
      <c r="I2" s="7" t="s">
        <v>9</v>
      </c>
      <c r="J2" s="8" t="s">
        <v>10</v>
      </c>
    </row>
    <row r="3" spans="1:10" ht="20.100000000000001" customHeight="1">
      <c r="A3" s="9"/>
      <c r="B3" s="10" t="s">
        <v>11</v>
      </c>
      <c r="C3" s="10" t="s">
        <v>11</v>
      </c>
      <c r="D3" s="10" t="s">
        <v>11</v>
      </c>
      <c r="E3" s="10" t="s">
        <v>11</v>
      </c>
      <c r="F3" s="11" t="s">
        <v>12</v>
      </c>
      <c r="G3" s="12"/>
      <c r="H3" s="13"/>
      <c r="I3" s="14"/>
      <c r="J3" s="15"/>
    </row>
    <row r="4" spans="1:10" ht="20.100000000000001" customHeight="1">
      <c r="A4" s="16" t="s">
        <v>13</v>
      </c>
      <c r="B4" s="17">
        <v>7.75</v>
      </c>
      <c r="C4" s="17">
        <v>7.75</v>
      </c>
      <c r="D4" s="17">
        <v>7.75</v>
      </c>
      <c r="E4" s="17">
        <v>7.75</v>
      </c>
      <c r="F4" s="18">
        <v>6</v>
      </c>
      <c r="G4" s="19"/>
      <c r="H4" s="20"/>
      <c r="I4" s="21">
        <f>SUM(B4:H4)</f>
        <v>37</v>
      </c>
      <c r="J4" s="22"/>
    </row>
    <row r="5" spans="1:10" ht="20.100000000000001" customHeight="1"/>
    <row r="6" spans="1:10" ht="20.100000000000001" customHeight="1">
      <c r="A6" s="1" t="s">
        <v>14</v>
      </c>
      <c r="B6" s="1"/>
      <c r="D6" s="2"/>
      <c r="E6" s="2"/>
    </row>
    <row r="7" spans="1:10" ht="18" customHeight="1">
      <c r="A7" s="23" t="s">
        <v>15</v>
      </c>
      <c r="B7" s="24" t="s">
        <v>2</v>
      </c>
      <c r="C7" s="25" t="s">
        <v>3</v>
      </c>
      <c r="D7" s="25" t="s">
        <v>4</v>
      </c>
      <c r="E7" s="25" t="s">
        <v>5</v>
      </c>
      <c r="F7" s="25" t="s">
        <v>6</v>
      </c>
      <c r="G7" s="25" t="s">
        <v>7</v>
      </c>
      <c r="H7" s="26" t="s">
        <v>8</v>
      </c>
      <c r="I7" s="27" t="s">
        <v>9</v>
      </c>
      <c r="J7" s="28" t="s">
        <v>10</v>
      </c>
    </row>
    <row r="8" spans="1:10" ht="18" customHeight="1">
      <c r="A8" s="29"/>
      <c r="B8" s="30" t="s">
        <v>16</v>
      </c>
      <c r="C8" s="30" t="s">
        <v>17</v>
      </c>
      <c r="D8" s="31" t="s">
        <v>18</v>
      </c>
      <c r="E8" s="31" t="s">
        <v>18</v>
      </c>
      <c r="F8" s="31" t="s">
        <v>18</v>
      </c>
      <c r="G8" s="31" t="s">
        <v>19</v>
      </c>
      <c r="H8" s="31" t="s">
        <v>19</v>
      </c>
      <c r="I8" s="7"/>
      <c r="J8" s="32"/>
    </row>
    <row r="9" spans="1:10" ht="18" customHeight="1">
      <c r="A9" s="33" t="s">
        <v>20</v>
      </c>
      <c r="B9" s="34">
        <v>7.4</v>
      </c>
      <c r="C9" s="17">
        <v>8</v>
      </c>
      <c r="D9" s="18">
        <v>8</v>
      </c>
      <c r="E9" s="18">
        <v>8</v>
      </c>
      <c r="F9" s="18">
        <v>8</v>
      </c>
      <c r="G9" s="18">
        <v>12</v>
      </c>
      <c r="H9" s="35">
        <v>12</v>
      </c>
      <c r="I9" s="36">
        <f>SUM(B9:H9)</f>
        <v>63.4</v>
      </c>
      <c r="J9" s="37"/>
    </row>
    <row r="10" spans="1:10" ht="18" customHeight="1">
      <c r="A10" s="38"/>
      <c r="B10" s="10" t="s">
        <v>18</v>
      </c>
      <c r="C10" s="10" t="s">
        <v>18</v>
      </c>
      <c r="D10" s="30" t="s">
        <v>16</v>
      </c>
      <c r="E10" s="30" t="s">
        <v>16</v>
      </c>
      <c r="F10" s="30" t="s">
        <v>16</v>
      </c>
      <c r="G10" s="11"/>
      <c r="H10" s="39"/>
      <c r="I10" s="14"/>
      <c r="J10" s="40"/>
    </row>
    <row r="11" spans="1:10" ht="18" customHeight="1">
      <c r="A11" s="16" t="s">
        <v>21</v>
      </c>
      <c r="B11" s="17">
        <v>8</v>
      </c>
      <c r="C11" s="18">
        <v>8</v>
      </c>
      <c r="D11" s="34">
        <v>7.4</v>
      </c>
      <c r="E11" s="34">
        <v>7.4</v>
      </c>
      <c r="F11" s="34">
        <v>7.4</v>
      </c>
      <c r="G11" s="18"/>
      <c r="H11" s="35"/>
      <c r="I11" s="36">
        <f>SUM(B11:H11)</f>
        <v>38.199999999999996</v>
      </c>
      <c r="J11" s="37"/>
    </row>
    <row r="12" spans="1:10" ht="18" customHeight="1">
      <c r="A12" s="41"/>
      <c r="B12" s="30" t="s">
        <v>22</v>
      </c>
      <c r="C12" s="30" t="s">
        <v>22</v>
      </c>
      <c r="D12" s="30" t="s">
        <v>22</v>
      </c>
      <c r="E12" s="30" t="s">
        <v>22</v>
      </c>
      <c r="F12" s="30" t="s">
        <v>22</v>
      </c>
      <c r="G12" s="31"/>
      <c r="H12" s="42"/>
      <c r="I12" s="7"/>
      <c r="J12" s="32"/>
    </row>
    <row r="13" spans="1:10" ht="18" customHeight="1">
      <c r="A13" s="16" t="s">
        <v>23</v>
      </c>
      <c r="B13" s="17">
        <v>8</v>
      </c>
      <c r="C13" s="18">
        <v>8</v>
      </c>
      <c r="D13" s="18">
        <v>8</v>
      </c>
      <c r="E13" s="18">
        <v>8</v>
      </c>
      <c r="F13" s="18">
        <v>8</v>
      </c>
      <c r="G13" s="18"/>
      <c r="H13" s="35"/>
      <c r="I13" s="36">
        <f>SUM(B13:H13)</f>
        <v>40</v>
      </c>
      <c r="J13" s="37"/>
    </row>
    <row r="14" spans="1:10" ht="18" customHeight="1">
      <c r="A14" s="41"/>
      <c r="B14" s="30" t="s">
        <v>24</v>
      </c>
      <c r="C14" s="30" t="s">
        <v>24</v>
      </c>
      <c r="D14" s="30" t="s">
        <v>24</v>
      </c>
      <c r="E14" s="30" t="s">
        <v>24</v>
      </c>
      <c r="F14" s="43" t="s">
        <v>24</v>
      </c>
      <c r="G14" s="44" t="s">
        <v>25</v>
      </c>
      <c r="H14" s="45" t="s">
        <v>25</v>
      </c>
      <c r="I14" s="7"/>
      <c r="J14" s="46"/>
    </row>
    <row r="15" spans="1:10" ht="18" customHeight="1">
      <c r="A15" s="47" t="s">
        <v>26</v>
      </c>
      <c r="B15" s="34">
        <v>8</v>
      </c>
      <c r="C15" s="34">
        <v>8</v>
      </c>
      <c r="D15" s="34">
        <v>8</v>
      </c>
      <c r="E15" s="34">
        <v>8</v>
      </c>
      <c r="F15" s="34">
        <v>8</v>
      </c>
      <c r="G15" s="34">
        <v>12</v>
      </c>
      <c r="H15" s="48">
        <v>12</v>
      </c>
      <c r="I15" s="36">
        <f>SUM(B15:H15)</f>
        <v>64</v>
      </c>
      <c r="J15" s="49"/>
    </row>
    <row r="16" spans="1:10" ht="18" customHeight="1">
      <c r="A16" s="41"/>
      <c r="B16" s="30" t="s">
        <v>16</v>
      </c>
      <c r="C16" s="30" t="s">
        <v>16</v>
      </c>
      <c r="D16" s="30" t="s">
        <v>16</v>
      </c>
      <c r="E16" s="30" t="s">
        <v>16</v>
      </c>
      <c r="F16" s="30" t="s">
        <v>16</v>
      </c>
      <c r="G16" s="50"/>
      <c r="H16" s="51"/>
      <c r="I16" s="7"/>
      <c r="J16" s="46"/>
    </row>
    <row r="17" spans="1:14" ht="18" customHeight="1">
      <c r="A17" s="47" t="s">
        <v>27</v>
      </c>
      <c r="B17" s="34">
        <v>7.4</v>
      </c>
      <c r="C17" s="34">
        <v>7.4</v>
      </c>
      <c r="D17" s="34">
        <v>7.4</v>
      </c>
      <c r="E17" s="34">
        <v>7.4</v>
      </c>
      <c r="F17" s="34">
        <v>7.4</v>
      </c>
      <c r="G17" s="52"/>
      <c r="H17" s="53"/>
      <c r="I17" s="36">
        <f>SUM(B17:H17)</f>
        <v>37</v>
      </c>
      <c r="J17" s="49"/>
    </row>
    <row r="18" spans="1:14" ht="18" customHeight="1">
      <c r="A18" s="38"/>
      <c r="B18" s="10" t="s">
        <v>24</v>
      </c>
      <c r="C18" s="10" t="s">
        <v>24</v>
      </c>
      <c r="D18" s="10" t="s">
        <v>24</v>
      </c>
      <c r="E18" s="10" t="s">
        <v>24</v>
      </c>
      <c r="F18" s="10" t="s">
        <v>24</v>
      </c>
      <c r="G18" s="54"/>
      <c r="H18" s="55"/>
      <c r="I18" s="30" t="s">
        <v>28</v>
      </c>
      <c r="J18" s="56"/>
    </row>
    <row r="19" spans="1:14" ht="18" customHeight="1">
      <c r="A19" s="47" t="s">
        <v>29</v>
      </c>
      <c r="B19" s="34">
        <v>8</v>
      </c>
      <c r="C19" s="34">
        <v>8</v>
      </c>
      <c r="D19" s="34">
        <v>8</v>
      </c>
      <c r="E19" s="34">
        <v>8</v>
      </c>
      <c r="F19" s="34">
        <v>8</v>
      </c>
      <c r="G19" s="52"/>
      <c r="H19" s="57"/>
      <c r="I19" s="36">
        <f>SUM(B19:H19)</f>
        <v>40</v>
      </c>
      <c r="J19" s="49"/>
    </row>
    <row r="20" spans="1:14" ht="18" customHeight="1">
      <c r="A20" s="58" t="s">
        <v>30</v>
      </c>
      <c r="B20" s="58">
        <f t="shared" ref="B20:I20" si="0">SUM(B9,B11,B13,B15,B17,B19)</f>
        <v>46.8</v>
      </c>
      <c r="C20" s="58">
        <f t="shared" si="0"/>
        <v>47.4</v>
      </c>
      <c r="D20" s="58">
        <f t="shared" si="0"/>
        <v>46.8</v>
      </c>
      <c r="E20" s="58">
        <f t="shared" si="0"/>
        <v>46.8</v>
      </c>
      <c r="F20" s="58">
        <f t="shared" si="0"/>
        <v>46.8</v>
      </c>
      <c r="G20" s="58">
        <f t="shared" si="0"/>
        <v>24</v>
      </c>
      <c r="H20" s="58">
        <f t="shared" si="0"/>
        <v>24</v>
      </c>
      <c r="I20" s="58">
        <f t="shared" si="0"/>
        <v>282.60000000000002</v>
      </c>
      <c r="J20" s="59"/>
    </row>
    <row r="21" spans="1:14" ht="18" customHeight="1">
      <c r="D21" s="2"/>
      <c r="E21" s="2"/>
    </row>
    <row r="22" spans="1:14" ht="18" customHeight="1">
      <c r="A22" s="60" t="s">
        <v>31</v>
      </c>
      <c r="D22" s="2"/>
      <c r="E22" s="2"/>
    </row>
    <row r="23" spans="1:14" ht="18" customHeight="1">
      <c r="A23" s="61" t="s">
        <v>32</v>
      </c>
      <c r="B23" s="62" t="s">
        <v>2</v>
      </c>
      <c r="C23" s="63" t="s">
        <v>3</v>
      </c>
      <c r="D23" s="63" t="s">
        <v>4</v>
      </c>
      <c r="E23" s="63" t="s">
        <v>5</v>
      </c>
      <c r="F23" s="63" t="s">
        <v>6</v>
      </c>
      <c r="G23" s="63" t="s">
        <v>7</v>
      </c>
      <c r="H23" s="64" t="s">
        <v>8</v>
      </c>
      <c r="I23" s="65" t="s">
        <v>9</v>
      </c>
      <c r="J23" s="66" t="s">
        <v>10</v>
      </c>
    </row>
    <row r="24" spans="1:14" ht="18" customHeight="1">
      <c r="A24" s="41"/>
      <c r="B24" s="30" t="s">
        <v>33</v>
      </c>
      <c r="C24" s="30" t="s">
        <v>33</v>
      </c>
      <c r="D24" s="30" t="s">
        <v>33</v>
      </c>
      <c r="E24" s="30" t="s">
        <v>33</v>
      </c>
      <c r="F24" s="31" t="s">
        <v>34</v>
      </c>
      <c r="G24" s="31"/>
      <c r="H24" s="42"/>
      <c r="I24" s="7"/>
      <c r="J24" s="67"/>
    </row>
    <row r="25" spans="1:14" ht="18" customHeight="1">
      <c r="A25" s="16" t="s">
        <v>35</v>
      </c>
      <c r="B25" s="17">
        <v>7.75</v>
      </c>
      <c r="C25" s="17">
        <v>7.75</v>
      </c>
      <c r="D25" s="17">
        <v>7.75</v>
      </c>
      <c r="E25" s="17">
        <v>7.75</v>
      </c>
      <c r="F25" s="18">
        <v>6</v>
      </c>
      <c r="G25" s="18"/>
      <c r="H25" s="35"/>
      <c r="I25" s="36">
        <f>SUM(B25:H25)</f>
        <v>37</v>
      </c>
      <c r="J25" s="68"/>
    </row>
    <row r="26" spans="1:14" ht="18" customHeight="1">
      <c r="A26" s="41"/>
      <c r="B26" s="30" t="s">
        <v>33</v>
      </c>
      <c r="C26" s="30" t="s">
        <v>33</v>
      </c>
      <c r="D26" s="30" t="s">
        <v>33</v>
      </c>
      <c r="E26" s="30" t="s">
        <v>33</v>
      </c>
      <c r="F26" s="31" t="s">
        <v>34</v>
      </c>
      <c r="G26" s="31"/>
      <c r="H26" s="42"/>
      <c r="I26" s="7"/>
      <c r="J26" s="67"/>
    </row>
    <row r="27" spans="1:14" ht="18" customHeight="1">
      <c r="A27" s="16" t="s">
        <v>36</v>
      </c>
      <c r="B27" s="17">
        <v>7.75</v>
      </c>
      <c r="C27" s="17">
        <v>7.75</v>
      </c>
      <c r="D27" s="17">
        <v>7.75</v>
      </c>
      <c r="E27" s="17">
        <v>7.75</v>
      </c>
      <c r="F27" s="18">
        <v>6</v>
      </c>
      <c r="G27" s="18"/>
      <c r="H27" s="35"/>
      <c r="I27" s="36">
        <f>SUM(B27:H27)</f>
        <v>37</v>
      </c>
      <c r="J27" s="68"/>
      <c r="L27" s="69"/>
      <c r="M27" s="69"/>
      <c r="N27" s="69"/>
    </row>
    <row r="28" spans="1:14" ht="18" customHeight="1">
      <c r="A28" s="41"/>
      <c r="B28" s="30" t="s">
        <v>33</v>
      </c>
      <c r="C28" s="30" t="s">
        <v>33</v>
      </c>
      <c r="D28" s="30" t="s">
        <v>33</v>
      </c>
      <c r="E28" s="30" t="s">
        <v>33</v>
      </c>
      <c r="F28" s="31" t="s">
        <v>34</v>
      </c>
      <c r="G28" s="31"/>
      <c r="H28" s="42"/>
      <c r="I28" s="7"/>
      <c r="J28" s="67"/>
    </row>
    <row r="29" spans="1:14" ht="18" customHeight="1">
      <c r="A29" s="16" t="s">
        <v>37</v>
      </c>
      <c r="B29" s="17">
        <v>7.75</v>
      </c>
      <c r="C29" s="17">
        <v>7.75</v>
      </c>
      <c r="D29" s="17">
        <v>7.75</v>
      </c>
      <c r="E29" s="17">
        <v>7.75</v>
      </c>
      <c r="F29" s="18">
        <v>6</v>
      </c>
      <c r="G29" s="18"/>
      <c r="H29" s="35"/>
      <c r="I29" s="36">
        <f>SUM(B29:H29)</f>
        <v>37</v>
      </c>
      <c r="J29" s="68"/>
    </row>
    <row r="30" spans="1:14" ht="18" customHeight="1">
      <c r="A30" s="58" t="s">
        <v>30</v>
      </c>
      <c r="B30" s="58">
        <f t="shared" ref="B30:I30" si="1">SUM(B25,B27,B29)</f>
        <v>23.25</v>
      </c>
      <c r="C30" s="58">
        <f t="shared" si="1"/>
        <v>23.25</v>
      </c>
      <c r="D30" s="58">
        <f t="shared" si="1"/>
        <v>23.25</v>
      </c>
      <c r="E30" s="58">
        <f t="shared" si="1"/>
        <v>23.25</v>
      </c>
      <c r="F30" s="58">
        <f t="shared" si="1"/>
        <v>18</v>
      </c>
      <c r="G30" s="58">
        <f t="shared" si="1"/>
        <v>0</v>
      </c>
      <c r="H30" s="58">
        <f t="shared" si="1"/>
        <v>0</v>
      </c>
      <c r="I30" s="70">
        <f t="shared" si="1"/>
        <v>111</v>
      </c>
      <c r="J30" s="71"/>
    </row>
    <row r="31" spans="1:14" ht="18" customHeight="1">
      <c r="A31" s="72"/>
      <c r="B31" s="72"/>
      <c r="C31" s="72"/>
      <c r="D31" s="72"/>
      <c r="E31" s="72"/>
      <c r="F31" s="72"/>
      <c r="G31" s="72"/>
      <c r="H31" s="72"/>
      <c r="I31" s="72"/>
      <c r="J31" s="73"/>
    </row>
    <row r="32" spans="1:14" ht="18" customHeight="1">
      <c r="A32" s="72"/>
      <c r="B32" s="72"/>
      <c r="C32" s="72"/>
      <c r="D32" s="72"/>
      <c r="E32" s="72"/>
      <c r="F32" s="72"/>
      <c r="G32" s="72"/>
      <c r="H32" s="72"/>
      <c r="I32" s="72"/>
      <c r="J32" s="73"/>
    </row>
    <row r="33" spans="1:14" ht="18" customHeight="1">
      <c r="A33" s="1" t="s">
        <v>38</v>
      </c>
      <c r="B33" s="72"/>
      <c r="C33" s="72"/>
      <c r="D33" s="72"/>
      <c r="E33" s="72"/>
      <c r="F33" s="72"/>
    </row>
    <row r="34" spans="1:14" ht="18" customHeight="1">
      <c r="A34" s="3" t="s">
        <v>39</v>
      </c>
      <c r="B34" s="4" t="s">
        <v>2</v>
      </c>
      <c r="C34" s="5" t="s">
        <v>3</v>
      </c>
      <c r="D34" s="5" t="s">
        <v>4</v>
      </c>
      <c r="E34" s="5" t="s">
        <v>5</v>
      </c>
      <c r="F34" s="5" t="s">
        <v>6</v>
      </c>
      <c r="G34" s="5" t="s">
        <v>7</v>
      </c>
      <c r="H34" s="6" t="s">
        <v>8</v>
      </c>
      <c r="I34" s="7" t="s">
        <v>9</v>
      </c>
      <c r="J34" s="8" t="s">
        <v>10</v>
      </c>
    </row>
    <row r="35" spans="1:14" ht="18" customHeight="1">
      <c r="A35" s="74" t="s">
        <v>40</v>
      </c>
      <c r="B35" s="75" t="s">
        <v>41</v>
      </c>
      <c r="C35" s="75" t="s">
        <v>41</v>
      </c>
      <c r="D35" s="76" t="s">
        <v>18</v>
      </c>
      <c r="E35" s="76" t="s">
        <v>18</v>
      </c>
      <c r="F35" s="76" t="s">
        <v>18</v>
      </c>
      <c r="G35" s="77" t="s">
        <v>19</v>
      </c>
      <c r="H35" s="78" t="s">
        <v>18</v>
      </c>
      <c r="I35" s="14"/>
      <c r="J35" s="40"/>
      <c r="L35" s="79" t="s">
        <v>42</v>
      </c>
      <c r="M35" s="79"/>
    </row>
    <row r="36" spans="1:14" ht="18" customHeight="1">
      <c r="A36" s="80" t="s">
        <v>43</v>
      </c>
      <c r="B36" s="81">
        <v>7.75</v>
      </c>
      <c r="C36" s="81">
        <v>7.75</v>
      </c>
      <c r="D36" s="82">
        <v>8</v>
      </c>
      <c r="E36" s="82">
        <v>8</v>
      </c>
      <c r="F36" s="82">
        <v>8</v>
      </c>
      <c r="G36" s="83">
        <v>12</v>
      </c>
      <c r="H36" s="84">
        <v>8</v>
      </c>
      <c r="I36" s="36">
        <f>SUM(B36:H36)</f>
        <v>59.5</v>
      </c>
      <c r="J36" s="85"/>
      <c r="L36" s="86" t="s">
        <v>44</v>
      </c>
      <c r="M36" s="86"/>
    </row>
    <row r="37" spans="1:14" ht="18" customHeight="1">
      <c r="A37" s="87"/>
      <c r="B37" s="30" t="s">
        <v>17</v>
      </c>
      <c r="C37" s="31" t="s">
        <v>34</v>
      </c>
      <c r="D37" s="88" t="s">
        <v>45</v>
      </c>
      <c r="E37" s="88" t="s">
        <v>45</v>
      </c>
      <c r="F37" s="88" t="s">
        <v>45</v>
      </c>
      <c r="G37" s="88" t="s">
        <v>46</v>
      </c>
      <c r="H37" s="89" t="s">
        <v>45</v>
      </c>
      <c r="I37" s="7"/>
      <c r="J37" s="32"/>
      <c r="L37" s="90" t="s">
        <v>47</v>
      </c>
      <c r="M37" s="90"/>
    </row>
    <row r="38" spans="1:14" ht="18" customHeight="1">
      <c r="A38" s="80" t="s">
        <v>48</v>
      </c>
      <c r="B38" s="17">
        <v>8</v>
      </c>
      <c r="C38" s="18">
        <v>6</v>
      </c>
      <c r="D38" s="91">
        <v>7</v>
      </c>
      <c r="E38" s="91">
        <v>7</v>
      </c>
      <c r="F38" s="91">
        <v>7</v>
      </c>
      <c r="G38" s="91">
        <v>11</v>
      </c>
      <c r="H38" s="92">
        <v>7</v>
      </c>
      <c r="I38" s="36">
        <f>SUM(B38:H38)</f>
        <v>53</v>
      </c>
      <c r="J38" s="37"/>
    </row>
    <row r="39" spans="1:14" ht="18" customHeight="1">
      <c r="A39" s="87"/>
      <c r="B39" s="30" t="s">
        <v>16</v>
      </c>
      <c r="C39" s="30" t="s">
        <v>16</v>
      </c>
      <c r="D39" s="88" t="s">
        <v>45</v>
      </c>
      <c r="E39" s="88" t="s">
        <v>45</v>
      </c>
      <c r="F39" s="88" t="s">
        <v>45</v>
      </c>
      <c r="G39" s="88" t="s">
        <v>46</v>
      </c>
      <c r="H39" s="89" t="s">
        <v>45</v>
      </c>
      <c r="I39" s="7"/>
      <c r="J39" s="32"/>
      <c r="L39" s="93" t="s">
        <v>49</v>
      </c>
      <c r="M39" s="93" t="s">
        <v>50</v>
      </c>
    </row>
    <row r="40" spans="1:14" ht="18" customHeight="1">
      <c r="A40" s="80" t="s">
        <v>51</v>
      </c>
      <c r="B40" s="34">
        <v>7.4</v>
      </c>
      <c r="C40" s="34">
        <v>7.4</v>
      </c>
      <c r="D40" s="91">
        <v>7</v>
      </c>
      <c r="E40" s="91">
        <v>7</v>
      </c>
      <c r="F40" s="91">
        <v>7</v>
      </c>
      <c r="G40" s="91">
        <v>11</v>
      </c>
      <c r="H40" s="92">
        <v>7</v>
      </c>
      <c r="I40" s="36">
        <f>SUM(B40:H40)</f>
        <v>53.8</v>
      </c>
      <c r="J40" s="37"/>
    </row>
    <row r="41" spans="1:14" ht="18" customHeight="1">
      <c r="A41" s="94" t="s">
        <v>52</v>
      </c>
      <c r="B41" s="88" t="s">
        <v>45</v>
      </c>
      <c r="C41" s="88" t="s">
        <v>45</v>
      </c>
      <c r="D41" s="30" t="s">
        <v>16</v>
      </c>
      <c r="E41" s="30" t="s">
        <v>16</v>
      </c>
      <c r="F41" s="30" t="s">
        <v>16</v>
      </c>
      <c r="G41" s="45"/>
      <c r="H41" s="51"/>
      <c r="I41" s="7"/>
      <c r="J41" s="46"/>
    </row>
    <row r="42" spans="1:14" ht="18" customHeight="1">
      <c r="A42" s="80" t="s">
        <v>53</v>
      </c>
      <c r="B42" s="91">
        <v>7</v>
      </c>
      <c r="C42" s="91">
        <v>7</v>
      </c>
      <c r="D42" s="34">
        <v>7.4</v>
      </c>
      <c r="E42" s="34">
        <v>7.4</v>
      </c>
      <c r="F42" s="34">
        <v>7.4</v>
      </c>
      <c r="G42" s="52"/>
      <c r="H42" s="53"/>
      <c r="I42" s="36">
        <f>SUM(B42:H42)</f>
        <v>36.199999999999996</v>
      </c>
      <c r="J42" s="49"/>
    </row>
    <row r="43" spans="1:14" ht="18" customHeight="1">
      <c r="A43" s="87"/>
      <c r="B43" s="76" t="s">
        <v>18</v>
      </c>
      <c r="C43" s="76" t="s">
        <v>18</v>
      </c>
      <c r="D43" s="30" t="s">
        <v>16</v>
      </c>
      <c r="E43" s="30" t="s">
        <v>16</v>
      </c>
      <c r="F43" s="30" t="s">
        <v>16</v>
      </c>
      <c r="G43" s="50"/>
      <c r="H43" s="51"/>
      <c r="I43" s="7"/>
      <c r="J43" s="46"/>
    </row>
    <row r="44" spans="1:14" ht="18" customHeight="1">
      <c r="A44" s="95" t="s">
        <v>54</v>
      </c>
      <c r="B44" s="82">
        <v>8</v>
      </c>
      <c r="C44" s="82">
        <v>8</v>
      </c>
      <c r="D44" s="34">
        <v>7.4</v>
      </c>
      <c r="E44" s="34">
        <v>7.4</v>
      </c>
      <c r="F44" s="34">
        <v>7.4</v>
      </c>
      <c r="G44" s="52"/>
      <c r="H44" s="53"/>
      <c r="I44" s="36">
        <f>SUM(B44:H44)</f>
        <v>38.199999999999996</v>
      </c>
      <c r="J44" s="49"/>
      <c r="L44" s="96" t="s">
        <v>55</v>
      </c>
      <c r="M44" s="96"/>
      <c r="N44" s="96"/>
    </row>
    <row r="45" spans="1:14" ht="18" customHeight="1">
      <c r="A45" s="97"/>
      <c r="B45" s="88" t="s">
        <v>45</v>
      </c>
      <c r="C45" s="88" t="s">
        <v>45</v>
      </c>
      <c r="D45" s="30" t="s">
        <v>16</v>
      </c>
      <c r="E45" s="30" t="s">
        <v>16</v>
      </c>
      <c r="F45" s="30" t="s">
        <v>16</v>
      </c>
      <c r="G45" s="54"/>
      <c r="H45" s="55"/>
      <c r="I45" s="14"/>
      <c r="J45" s="56"/>
      <c r="L45" s="98" t="s">
        <v>56</v>
      </c>
      <c r="M45" s="98"/>
      <c r="N45" s="98"/>
    </row>
    <row r="46" spans="1:14" ht="18" customHeight="1">
      <c r="A46" s="95" t="s">
        <v>57</v>
      </c>
      <c r="B46" s="91">
        <v>7</v>
      </c>
      <c r="C46" s="91">
        <v>7</v>
      </c>
      <c r="D46" s="34">
        <v>7.4</v>
      </c>
      <c r="E46" s="34">
        <v>7.4</v>
      </c>
      <c r="F46" s="34">
        <v>7.4</v>
      </c>
      <c r="G46" s="52"/>
      <c r="H46" s="57"/>
      <c r="I46" s="36">
        <f>SUM(B46:H46)</f>
        <v>36.199999999999996</v>
      </c>
      <c r="J46" s="49"/>
      <c r="L46" s="99" t="s">
        <v>58</v>
      </c>
      <c r="M46" s="99"/>
      <c r="N46" s="99"/>
    </row>
    <row r="47" spans="1:14" ht="18" customHeight="1">
      <c r="A47" s="94" t="s">
        <v>59</v>
      </c>
      <c r="B47" s="100" t="s">
        <v>17</v>
      </c>
      <c r="C47" s="100" t="s">
        <v>17</v>
      </c>
      <c r="D47" s="100" t="s">
        <v>17</v>
      </c>
      <c r="E47" s="100" t="s">
        <v>17</v>
      </c>
      <c r="F47" s="100" t="s">
        <v>34</v>
      </c>
      <c r="G47" s="31"/>
      <c r="H47" s="42"/>
      <c r="I47" s="7"/>
      <c r="J47" s="32"/>
      <c r="L47" s="101" t="s">
        <v>60</v>
      </c>
      <c r="M47" s="101"/>
      <c r="N47" s="101"/>
    </row>
    <row r="48" spans="1:14" ht="18" customHeight="1">
      <c r="A48" s="95" t="s">
        <v>61</v>
      </c>
      <c r="B48" s="102">
        <v>8</v>
      </c>
      <c r="C48" s="102">
        <v>8</v>
      </c>
      <c r="D48" s="102">
        <v>8</v>
      </c>
      <c r="E48" s="102">
        <v>8</v>
      </c>
      <c r="F48" s="102">
        <v>6</v>
      </c>
      <c r="G48" s="18"/>
      <c r="H48" s="35"/>
      <c r="I48" s="36">
        <f>SUM(B48:H48)</f>
        <v>38</v>
      </c>
      <c r="J48" s="37"/>
    </row>
    <row r="49" spans="1:10" ht="18" customHeight="1">
      <c r="A49" s="87"/>
      <c r="B49" s="103" t="s">
        <v>17</v>
      </c>
      <c r="C49" s="103" t="s">
        <v>17</v>
      </c>
      <c r="D49" s="103" t="s">
        <v>17</v>
      </c>
      <c r="E49" s="103" t="s">
        <v>17</v>
      </c>
      <c r="F49" s="103" t="s">
        <v>34</v>
      </c>
      <c r="G49" s="45"/>
      <c r="H49" s="51"/>
      <c r="I49" s="7"/>
      <c r="J49" s="46"/>
    </row>
    <row r="50" spans="1:10" ht="18" customHeight="1">
      <c r="A50" s="80" t="s">
        <v>62</v>
      </c>
      <c r="B50" s="104">
        <v>8</v>
      </c>
      <c r="C50" s="104">
        <v>8</v>
      </c>
      <c r="D50" s="104">
        <v>8</v>
      </c>
      <c r="E50" s="104">
        <v>8</v>
      </c>
      <c r="F50" s="104">
        <v>6</v>
      </c>
      <c r="G50" s="52"/>
      <c r="H50" s="53"/>
      <c r="I50" s="36">
        <f>SUM(B50:H50)</f>
        <v>38</v>
      </c>
      <c r="J50" s="49"/>
    </row>
    <row r="51" spans="1:10" ht="18" customHeight="1">
      <c r="A51" s="87"/>
      <c r="B51" s="103" t="s">
        <v>17</v>
      </c>
      <c r="C51" s="103" t="s">
        <v>17</v>
      </c>
      <c r="D51" s="103" t="s">
        <v>17</v>
      </c>
      <c r="E51" s="103" t="s">
        <v>17</v>
      </c>
      <c r="F51" s="103" t="s">
        <v>34</v>
      </c>
      <c r="G51" s="50"/>
      <c r="H51" s="51"/>
      <c r="I51" s="7"/>
      <c r="J51" s="46"/>
    </row>
    <row r="52" spans="1:10" ht="18" customHeight="1">
      <c r="A52" s="80" t="s">
        <v>63</v>
      </c>
      <c r="B52" s="104">
        <v>8</v>
      </c>
      <c r="C52" s="104">
        <v>8</v>
      </c>
      <c r="D52" s="104">
        <v>8</v>
      </c>
      <c r="E52" s="104">
        <v>8</v>
      </c>
      <c r="F52" s="104">
        <v>6</v>
      </c>
      <c r="G52" s="52"/>
      <c r="H52" s="53"/>
      <c r="I52" s="36">
        <f>SUM(B52:H52)</f>
        <v>38</v>
      </c>
      <c r="J52" s="49"/>
    </row>
    <row r="53" spans="1:10" ht="18" customHeight="1">
      <c r="A53" s="74" t="s">
        <v>64</v>
      </c>
      <c r="B53" s="105" t="s">
        <v>65</v>
      </c>
      <c r="C53" s="105" t="s">
        <v>65</v>
      </c>
      <c r="D53" s="105" t="s">
        <v>65</v>
      </c>
      <c r="E53" s="105" t="s">
        <v>65</v>
      </c>
      <c r="F53" s="105" t="s">
        <v>65</v>
      </c>
      <c r="G53" s="54" t="s">
        <v>25</v>
      </c>
      <c r="H53" s="106" t="s">
        <v>65</v>
      </c>
      <c r="I53" s="14"/>
      <c r="J53" s="56"/>
    </row>
    <row r="54" spans="1:10" ht="18" customHeight="1">
      <c r="A54" s="80" t="s">
        <v>66</v>
      </c>
      <c r="B54" s="107">
        <v>7</v>
      </c>
      <c r="C54" s="107">
        <v>7</v>
      </c>
      <c r="D54" s="107">
        <v>7</v>
      </c>
      <c r="E54" s="107">
        <v>7</v>
      </c>
      <c r="F54" s="107">
        <v>7</v>
      </c>
      <c r="G54" s="34">
        <v>12</v>
      </c>
      <c r="H54" s="108">
        <v>7</v>
      </c>
      <c r="I54" s="36">
        <f>SUM(B54:H54)</f>
        <v>54</v>
      </c>
      <c r="J54" s="49"/>
    </row>
    <row r="55" spans="1:10" ht="18" customHeight="1">
      <c r="A55" s="87"/>
      <c r="B55" s="109" t="s">
        <v>24</v>
      </c>
      <c r="C55" s="109" t="s">
        <v>24</v>
      </c>
      <c r="D55" s="109" t="s">
        <v>24</v>
      </c>
      <c r="E55" s="109" t="s">
        <v>24</v>
      </c>
      <c r="F55" s="109" t="s">
        <v>24</v>
      </c>
      <c r="G55" s="31" t="s">
        <v>67</v>
      </c>
      <c r="H55" s="110" t="s">
        <v>24</v>
      </c>
      <c r="I55" s="7"/>
      <c r="J55" s="32"/>
    </row>
    <row r="56" spans="1:10" ht="18" customHeight="1">
      <c r="A56" s="111" t="s">
        <v>68</v>
      </c>
      <c r="B56" s="112">
        <v>8</v>
      </c>
      <c r="C56" s="112">
        <v>8</v>
      </c>
      <c r="D56" s="112">
        <v>8</v>
      </c>
      <c r="E56" s="112">
        <v>8</v>
      </c>
      <c r="F56" s="112">
        <v>8</v>
      </c>
      <c r="G56" s="18">
        <v>8</v>
      </c>
      <c r="H56" s="113">
        <v>8</v>
      </c>
      <c r="I56" s="36">
        <f>SUM(B56:H56)</f>
        <v>56</v>
      </c>
      <c r="J56" s="37"/>
    </row>
    <row r="57" spans="1:10" ht="18" customHeight="1">
      <c r="A57" s="87"/>
      <c r="B57" s="105" t="s">
        <v>65</v>
      </c>
      <c r="C57" s="105" t="s">
        <v>65</v>
      </c>
      <c r="D57" s="105" t="s">
        <v>65</v>
      </c>
      <c r="E57" s="105" t="s">
        <v>65</v>
      </c>
      <c r="F57" s="105" t="s">
        <v>65</v>
      </c>
      <c r="G57" s="54" t="s">
        <v>25</v>
      </c>
      <c r="H57" s="106" t="s">
        <v>65</v>
      </c>
      <c r="I57" s="7"/>
      <c r="J57" s="46"/>
    </row>
    <row r="58" spans="1:10" ht="18" customHeight="1">
      <c r="A58" s="80" t="s">
        <v>69</v>
      </c>
      <c r="B58" s="107">
        <v>7</v>
      </c>
      <c r="C58" s="107">
        <v>7</v>
      </c>
      <c r="D58" s="107">
        <v>7</v>
      </c>
      <c r="E58" s="107">
        <v>7</v>
      </c>
      <c r="F58" s="107">
        <v>7</v>
      </c>
      <c r="G58" s="34">
        <v>12</v>
      </c>
      <c r="H58" s="108">
        <v>7</v>
      </c>
      <c r="I58" s="36">
        <f>SUM(B58:H58)</f>
        <v>54</v>
      </c>
      <c r="J58" s="49"/>
    </row>
    <row r="59" spans="1:10" ht="18" customHeight="1">
      <c r="A59" s="94" t="s">
        <v>70</v>
      </c>
      <c r="B59" s="30" t="s">
        <v>16</v>
      </c>
      <c r="C59" s="30" t="s">
        <v>16</v>
      </c>
      <c r="D59" s="103" t="s">
        <v>17</v>
      </c>
      <c r="E59" s="103" t="s">
        <v>17</v>
      </c>
      <c r="F59" s="103" t="s">
        <v>34</v>
      </c>
      <c r="G59" s="50"/>
      <c r="H59" s="51"/>
      <c r="I59" s="7"/>
      <c r="J59" s="46"/>
    </row>
    <row r="60" spans="1:10" ht="18" customHeight="1">
      <c r="A60" s="95" t="s">
        <v>71</v>
      </c>
      <c r="B60" s="34">
        <v>7.4</v>
      </c>
      <c r="C60" s="34">
        <v>7.4</v>
      </c>
      <c r="D60" s="104">
        <v>8</v>
      </c>
      <c r="E60" s="104">
        <v>8</v>
      </c>
      <c r="F60" s="104">
        <v>6</v>
      </c>
      <c r="G60" s="52"/>
      <c r="H60" s="53"/>
      <c r="I60" s="36">
        <f>SUM(B60:H60)</f>
        <v>36.799999999999997</v>
      </c>
      <c r="J60" s="49"/>
    </row>
    <row r="61" spans="1:10" ht="18" customHeight="1">
      <c r="A61" s="87"/>
      <c r="B61" s="30" t="s">
        <v>16</v>
      </c>
      <c r="C61" s="30" t="s">
        <v>16</v>
      </c>
      <c r="D61" s="114" t="s">
        <v>17</v>
      </c>
      <c r="E61" s="114" t="s">
        <v>17</v>
      </c>
      <c r="F61" s="114" t="s">
        <v>34</v>
      </c>
      <c r="G61" s="50"/>
      <c r="H61" s="51"/>
      <c r="I61" s="7"/>
      <c r="J61" s="46"/>
    </row>
    <row r="62" spans="1:10" ht="18" customHeight="1">
      <c r="A62" s="115" t="s">
        <v>72</v>
      </c>
      <c r="B62" s="34">
        <v>7.4</v>
      </c>
      <c r="C62" s="34">
        <v>7.4</v>
      </c>
      <c r="D62" s="116">
        <v>8</v>
      </c>
      <c r="E62" s="116">
        <v>8</v>
      </c>
      <c r="F62" s="116">
        <v>6</v>
      </c>
      <c r="G62" s="52"/>
      <c r="H62" s="53"/>
      <c r="I62" s="36">
        <f>SUM(B62:H62)</f>
        <v>36.799999999999997</v>
      </c>
      <c r="J62" s="49"/>
    </row>
    <row r="63" spans="1:10" ht="18" customHeight="1">
      <c r="A63" s="97"/>
      <c r="B63" s="30" t="s">
        <v>16</v>
      </c>
      <c r="C63" s="30" t="s">
        <v>16</v>
      </c>
      <c r="D63" s="75" t="s">
        <v>41</v>
      </c>
      <c r="E63" s="75" t="s">
        <v>41</v>
      </c>
      <c r="F63" s="75" t="s">
        <v>41</v>
      </c>
      <c r="G63" s="54"/>
      <c r="H63" s="55"/>
      <c r="I63" s="14"/>
      <c r="J63" s="56"/>
    </row>
    <row r="64" spans="1:10" ht="18" customHeight="1">
      <c r="A64" s="80" t="s">
        <v>73</v>
      </c>
      <c r="B64" s="34">
        <v>7.4</v>
      </c>
      <c r="C64" s="34">
        <v>7.4</v>
      </c>
      <c r="D64" s="117">
        <v>7.75</v>
      </c>
      <c r="E64" s="117">
        <v>7.75</v>
      </c>
      <c r="F64" s="117">
        <v>7.75</v>
      </c>
      <c r="G64" s="52"/>
      <c r="H64" s="57"/>
      <c r="I64" s="36">
        <f>SUM(B64:H64)</f>
        <v>38.049999999999997</v>
      </c>
      <c r="J64" s="49"/>
    </row>
    <row r="65" spans="1:10" ht="18" customHeight="1">
      <c r="A65" s="58" t="s">
        <v>30</v>
      </c>
      <c r="B65" s="58">
        <f t="shared" ref="B65:I65" si="2">SUM(B36,B38,B40,B42,B44,B46,B48,B50,B52,B54,B56,B58,B60,B62,B64)</f>
        <v>113.35000000000002</v>
      </c>
      <c r="C65" s="58">
        <f t="shared" si="2"/>
        <v>111.35000000000002</v>
      </c>
      <c r="D65" s="58">
        <f t="shared" si="2"/>
        <v>113.94999999999999</v>
      </c>
      <c r="E65" s="58">
        <f t="shared" si="2"/>
        <v>113.94999999999999</v>
      </c>
      <c r="F65" s="58">
        <f t="shared" si="2"/>
        <v>103.94999999999999</v>
      </c>
      <c r="G65" s="58">
        <f t="shared" si="2"/>
        <v>66</v>
      </c>
      <c r="H65" s="58">
        <f t="shared" si="2"/>
        <v>44</v>
      </c>
      <c r="I65" s="70">
        <f t="shared" si="2"/>
        <v>666.54999999999984</v>
      </c>
      <c r="J65" s="59"/>
    </row>
    <row r="66" spans="1:10" ht="18" customHeight="1">
      <c r="A66" s="1" t="s">
        <v>74</v>
      </c>
      <c r="B66" s="72"/>
      <c r="C66" s="72"/>
      <c r="D66" s="72"/>
      <c r="E66" s="72"/>
      <c r="F66" s="72"/>
    </row>
    <row r="67" spans="1:10" ht="18" customHeight="1">
      <c r="A67" s="61" t="s">
        <v>75</v>
      </c>
      <c r="B67" s="62" t="s">
        <v>2</v>
      </c>
      <c r="C67" s="63" t="s">
        <v>3</v>
      </c>
      <c r="D67" s="63" t="s">
        <v>4</v>
      </c>
      <c r="E67" s="63" t="s">
        <v>5</v>
      </c>
      <c r="F67" s="63" t="s">
        <v>6</v>
      </c>
      <c r="G67" s="63" t="s">
        <v>7</v>
      </c>
      <c r="H67" s="64" t="s">
        <v>8</v>
      </c>
      <c r="I67" s="65" t="s">
        <v>9</v>
      </c>
      <c r="J67" s="66" t="s">
        <v>10</v>
      </c>
    </row>
    <row r="68" spans="1:10" ht="18" customHeight="1">
      <c r="A68" s="41" t="s">
        <v>76</v>
      </c>
      <c r="B68" s="118" t="s">
        <v>77</v>
      </c>
      <c r="C68" s="118" t="s">
        <v>77</v>
      </c>
      <c r="D68" s="118" t="s">
        <v>77</v>
      </c>
      <c r="E68" s="118" t="s">
        <v>77</v>
      </c>
      <c r="F68" s="118" t="s">
        <v>77</v>
      </c>
      <c r="G68" s="5"/>
      <c r="H68" s="119"/>
      <c r="I68" s="118"/>
      <c r="J68" s="32"/>
    </row>
    <row r="69" spans="1:10" ht="18" customHeight="1">
      <c r="A69" s="120"/>
      <c r="B69" s="17">
        <v>7</v>
      </c>
      <c r="C69" s="17">
        <v>7</v>
      </c>
      <c r="D69" s="17">
        <v>7</v>
      </c>
      <c r="E69" s="17">
        <v>7</v>
      </c>
      <c r="F69" s="18">
        <v>7</v>
      </c>
      <c r="G69" s="19"/>
      <c r="H69" s="20"/>
      <c r="I69" s="36">
        <f>SUM(B69:H69)</f>
        <v>35</v>
      </c>
      <c r="J69" s="37"/>
    </row>
    <row r="70" spans="1:10" ht="18" customHeight="1">
      <c r="A70" s="38" t="s">
        <v>78</v>
      </c>
      <c r="B70" s="121" t="s">
        <v>79</v>
      </c>
      <c r="C70" s="121" t="s">
        <v>79</v>
      </c>
      <c r="D70" s="121" t="s">
        <v>79</v>
      </c>
      <c r="E70" s="121" t="s">
        <v>79</v>
      </c>
      <c r="F70" s="121" t="s">
        <v>80</v>
      </c>
      <c r="G70" s="12"/>
      <c r="H70" s="13"/>
      <c r="I70" s="122"/>
      <c r="J70" s="40"/>
    </row>
    <row r="71" spans="1:10" ht="18" customHeight="1">
      <c r="A71" s="123"/>
      <c r="B71" s="124">
        <v>7</v>
      </c>
      <c r="C71" s="124">
        <v>7</v>
      </c>
      <c r="D71" s="124">
        <v>7</v>
      </c>
      <c r="E71" s="124">
        <v>7</v>
      </c>
      <c r="F71" s="125">
        <v>6</v>
      </c>
      <c r="G71" s="126"/>
      <c r="H71" s="127"/>
      <c r="I71" s="36">
        <f>SUM(B71:H71)</f>
        <v>34</v>
      </c>
      <c r="J71" s="85"/>
    </row>
    <row r="72" spans="1:10" ht="18" customHeight="1">
      <c r="A72" s="41" t="s">
        <v>81</v>
      </c>
      <c r="B72" s="118" t="s">
        <v>82</v>
      </c>
      <c r="C72" s="118" t="s">
        <v>82</v>
      </c>
      <c r="D72" s="118" t="s">
        <v>82</v>
      </c>
      <c r="E72" s="118" t="s">
        <v>83</v>
      </c>
      <c r="F72" s="118" t="s">
        <v>84</v>
      </c>
      <c r="G72" s="118"/>
      <c r="H72" s="118" t="s">
        <v>22</v>
      </c>
      <c r="I72" s="118"/>
      <c r="J72" s="32"/>
    </row>
    <row r="73" spans="1:10" ht="18" customHeight="1">
      <c r="A73" s="16"/>
      <c r="B73" s="17">
        <v>6.5</v>
      </c>
      <c r="C73" s="17">
        <v>6.5</v>
      </c>
      <c r="D73" s="17">
        <v>6.5</v>
      </c>
      <c r="E73" s="18">
        <v>5.5</v>
      </c>
      <c r="F73" s="18">
        <v>7.25</v>
      </c>
      <c r="G73" s="18"/>
      <c r="H73" s="35">
        <v>8</v>
      </c>
      <c r="I73" s="36">
        <f>SUM(B73:H73)</f>
        <v>40.25</v>
      </c>
      <c r="J73" s="37"/>
    </row>
    <row r="74" spans="1:10" ht="18" customHeight="1">
      <c r="A74" s="58" t="s">
        <v>30</v>
      </c>
      <c r="B74" s="58">
        <f t="shared" ref="B74:I74" si="3">SUM(B69,B71,B73)</f>
        <v>20.5</v>
      </c>
      <c r="C74" s="58">
        <f t="shared" si="3"/>
        <v>20.5</v>
      </c>
      <c r="D74" s="58">
        <f t="shared" si="3"/>
        <v>20.5</v>
      </c>
      <c r="E74" s="58">
        <f t="shared" si="3"/>
        <v>19.5</v>
      </c>
      <c r="F74" s="58">
        <f t="shared" si="3"/>
        <v>20.25</v>
      </c>
      <c r="G74" s="58">
        <f t="shared" si="3"/>
        <v>0</v>
      </c>
      <c r="H74" s="58">
        <f t="shared" si="3"/>
        <v>8</v>
      </c>
      <c r="I74" s="70">
        <f t="shared" si="3"/>
        <v>109.25</v>
      </c>
      <c r="J74" s="71"/>
    </row>
    <row r="75" spans="1:10" ht="18" customHeight="1">
      <c r="A75" s="1" t="s">
        <v>85</v>
      </c>
      <c r="B75" s="72"/>
      <c r="C75" s="72"/>
      <c r="D75" s="72"/>
      <c r="E75" s="72"/>
      <c r="F75" s="72"/>
    </row>
    <row r="76" spans="1:10" ht="18" customHeight="1">
      <c r="A76" s="61" t="s">
        <v>86</v>
      </c>
      <c r="B76" s="62" t="s">
        <v>2</v>
      </c>
      <c r="C76" s="63" t="s">
        <v>3</v>
      </c>
      <c r="D76" s="63" t="s">
        <v>4</v>
      </c>
      <c r="E76" s="63" t="s">
        <v>5</v>
      </c>
      <c r="F76" s="63" t="s">
        <v>6</v>
      </c>
      <c r="G76" s="63" t="s">
        <v>7</v>
      </c>
      <c r="H76" s="64" t="s">
        <v>8</v>
      </c>
      <c r="I76" s="65" t="s">
        <v>9</v>
      </c>
      <c r="J76" s="66" t="s">
        <v>10</v>
      </c>
    </row>
    <row r="77" spans="1:10" ht="18" customHeight="1">
      <c r="A77" s="38" t="s">
        <v>87</v>
      </c>
      <c r="B77" s="121" t="s">
        <v>88</v>
      </c>
      <c r="C77" s="128" t="s">
        <v>88</v>
      </c>
      <c r="D77" s="122" t="s">
        <v>88</v>
      </c>
      <c r="E77" s="128" t="s">
        <v>88</v>
      </c>
      <c r="F77" s="121" t="s">
        <v>89</v>
      </c>
      <c r="G77" s="12"/>
      <c r="H77" s="13"/>
      <c r="I77" s="122"/>
      <c r="J77" s="40" t="s">
        <v>90</v>
      </c>
    </row>
    <row r="78" spans="1:10" ht="18" customHeight="1">
      <c r="A78" s="123"/>
      <c r="B78" s="124">
        <v>8</v>
      </c>
      <c r="C78" s="124">
        <v>8</v>
      </c>
      <c r="D78" s="124">
        <v>8</v>
      </c>
      <c r="E78" s="124">
        <v>8</v>
      </c>
      <c r="F78" s="125">
        <v>7</v>
      </c>
      <c r="G78" s="126"/>
      <c r="H78" s="127"/>
      <c r="I78" s="36">
        <f>SUM(B78:H78)</f>
        <v>39</v>
      </c>
      <c r="J78" s="85"/>
    </row>
    <row r="79" spans="1:10" ht="18" customHeight="1">
      <c r="A79" s="41" t="s">
        <v>91</v>
      </c>
      <c r="B79" s="118" t="s">
        <v>92</v>
      </c>
      <c r="C79" s="118" t="s">
        <v>92</v>
      </c>
      <c r="D79" s="118" t="s">
        <v>92</v>
      </c>
      <c r="E79" s="118" t="s">
        <v>92</v>
      </c>
      <c r="F79" s="118" t="s">
        <v>93</v>
      </c>
      <c r="G79" s="5"/>
      <c r="H79" s="119"/>
      <c r="I79" s="118"/>
      <c r="J79" s="32"/>
    </row>
    <row r="80" spans="1:10" ht="18" customHeight="1">
      <c r="A80" s="123"/>
      <c r="B80" s="124">
        <v>6.5</v>
      </c>
      <c r="C80" s="124">
        <v>6.5</v>
      </c>
      <c r="D80" s="124">
        <v>6.5</v>
      </c>
      <c r="E80" s="124">
        <v>6.5</v>
      </c>
      <c r="F80" s="125">
        <v>7</v>
      </c>
      <c r="G80" s="126"/>
      <c r="H80" s="127"/>
      <c r="I80" s="36">
        <f>SUM(B80:H80)</f>
        <v>33</v>
      </c>
      <c r="J80" s="85"/>
    </row>
    <row r="81" spans="1:10" ht="18" customHeight="1">
      <c r="A81" s="41" t="s">
        <v>94</v>
      </c>
      <c r="B81" s="30" t="s">
        <v>95</v>
      </c>
      <c r="C81" s="118" t="s">
        <v>96</v>
      </c>
      <c r="D81" s="118" t="s">
        <v>95</v>
      </c>
      <c r="E81" s="118" t="s">
        <v>95</v>
      </c>
      <c r="F81" s="118" t="s">
        <v>97</v>
      </c>
      <c r="G81" s="118" t="s">
        <v>98</v>
      </c>
      <c r="H81" s="31"/>
      <c r="I81" s="118"/>
      <c r="J81" s="32" t="s">
        <v>99</v>
      </c>
    </row>
    <row r="82" spans="1:10" ht="18" customHeight="1">
      <c r="A82" s="16"/>
      <c r="B82" s="17">
        <v>7</v>
      </c>
      <c r="C82" s="18">
        <v>4</v>
      </c>
      <c r="D82" s="18">
        <v>7</v>
      </c>
      <c r="E82" s="18">
        <v>7</v>
      </c>
      <c r="F82" s="18">
        <v>6.25</v>
      </c>
      <c r="G82" s="18">
        <v>6.5</v>
      </c>
      <c r="H82" s="35"/>
      <c r="I82" s="36">
        <f>SUM(B82:H82)</f>
        <v>37.75</v>
      </c>
      <c r="J82" s="37"/>
    </row>
    <row r="83" spans="1:10" ht="18" customHeight="1">
      <c r="A83" s="129" t="s">
        <v>100</v>
      </c>
      <c r="B83" s="130" t="s">
        <v>88</v>
      </c>
      <c r="C83" s="131" t="s">
        <v>88</v>
      </c>
      <c r="D83" s="122" t="s">
        <v>88</v>
      </c>
      <c r="E83" s="128" t="s">
        <v>88</v>
      </c>
      <c r="F83" s="128" t="s">
        <v>89</v>
      </c>
      <c r="G83" s="45"/>
      <c r="H83" s="51"/>
      <c r="I83" s="118"/>
      <c r="J83" s="40" t="s">
        <v>90</v>
      </c>
    </row>
    <row r="84" spans="1:10" ht="18" customHeight="1">
      <c r="A84" s="47"/>
      <c r="B84" s="34">
        <v>8</v>
      </c>
      <c r="C84" s="34">
        <v>8</v>
      </c>
      <c r="D84" s="34">
        <v>8</v>
      </c>
      <c r="E84" s="34">
        <v>8</v>
      </c>
      <c r="F84" s="34">
        <v>7</v>
      </c>
      <c r="G84" s="52"/>
      <c r="H84" s="53"/>
      <c r="I84" s="36">
        <f>SUM(B84:H84)</f>
        <v>39</v>
      </c>
      <c r="J84" s="49"/>
    </row>
    <row r="85" spans="1:10" ht="18" customHeight="1">
      <c r="A85" s="129" t="s">
        <v>101</v>
      </c>
      <c r="B85" s="122" t="s">
        <v>92</v>
      </c>
      <c r="C85" s="128" t="s">
        <v>92</v>
      </c>
      <c r="D85" s="128" t="s">
        <v>92</v>
      </c>
      <c r="E85" s="130" t="s">
        <v>92</v>
      </c>
      <c r="F85" s="128" t="s">
        <v>93</v>
      </c>
      <c r="G85" s="50"/>
      <c r="H85" s="51"/>
      <c r="I85" s="118"/>
      <c r="J85" s="46"/>
    </row>
    <row r="86" spans="1:10" ht="18" customHeight="1">
      <c r="A86" s="132"/>
      <c r="B86" s="133">
        <v>6.5</v>
      </c>
      <c r="C86" s="133">
        <v>6.5</v>
      </c>
      <c r="D86" s="133">
        <v>6.5</v>
      </c>
      <c r="E86" s="133">
        <v>6.5</v>
      </c>
      <c r="F86" s="133">
        <v>7</v>
      </c>
      <c r="G86" s="134"/>
      <c r="H86" s="135"/>
      <c r="I86" s="36">
        <f>SUM(B86:H86)</f>
        <v>33</v>
      </c>
      <c r="J86" s="136"/>
    </row>
    <row r="87" spans="1:10" ht="18" customHeight="1">
      <c r="A87" s="137" t="s">
        <v>102</v>
      </c>
      <c r="B87" s="118" t="s">
        <v>77</v>
      </c>
      <c r="C87" s="30" t="s">
        <v>77</v>
      </c>
      <c r="D87" s="118" t="s">
        <v>77</v>
      </c>
      <c r="E87" s="118" t="s">
        <v>77</v>
      </c>
      <c r="F87" s="30" t="s">
        <v>16</v>
      </c>
      <c r="G87" s="118"/>
      <c r="H87" s="30" t="s">
        <v>22</v>
      </c>
      <c r="I87" s="118"/>
      <c r="J87" s="46"/>
    </row>
    <row r="88" spans="1:10" ht="18" customHeight="1">
      <c r="A88" s="16"/>
      <c r="B88" s="17">
        <v>7</v>
      </c>
      <c r="C88" s="17">
        <v>7</v>
      </c>
      <c r="D88" s="17">
        <v>7</v>
      </c>
      <c r="E88" s="17">
        <v>7</v>
      </c>
      <c r="F88" s="34">
        <v>7.4</v>
      </c>
      <c r="G88" s="138"/>
      <c r="H88" s="36">
        <v>8</v>
      </c>
      <c r="I88" s="36">
        <f>SUM(B88:H88)</f>
        <v>43.4</v>
      </c>
      <c r="J88" s="49"/>
    </row>
    <row r="89" spans="1:10" ht="18" customHeight="1">
      <c r="A89" s="58" t="s">
        <v>30</v>
      </c>
      <c r="B89" s="58">
        <f t="shared" ref="B89:I89" si="4">SUM(B78,B80,B82,B84,B86,B88)</f>
        <v>43</v>
      </c>
      <c r="C89" s="58">
        <f t="shared" si="4"/>
        <v>40</v>
      </c>
      <c r="D89" s="58">
        <f t="shared" si="4"/>
        <v>43</v>
      </c>
      <c r="E89" s="58">
        <f t="shared" si="4"/>
        <v>43</v>
      </c>
      <c r="F89" s="58">
        <f t="shared" si="4"/>
        <v>41.65</v>
      </c>
      <c r="G89" s="58">
        <f t="shared" si="4"/>
        <v>6.5</v>
      </c>
      <c r="H89" s="58">
        <f t="shared" si="4"/>
        <v>8</v>
      </c>
      <c r="I89" s="70">
        <f t="shared" si="4"/>
        <v>225.15</v>
      </c>
      <c r="J89" s="59"/>
    </row>
    <row r="90" spans="1:10" ht="18" customHeight="1">
      <c r="A90" s="1" t="s">
        <v>103</v>
      </c>
      <c r="B90" s="72"/>
      <c r="C90" s="72"/>
      <c r="D90" s="72"/>
      <c r="E90" s="72"/>
      <c r="F90" s="72"/>
    </row>
    <row r="91" spans="1:10" ht="18" customHeight="1">
      <c r="A91" s="61" t="s">
        <v>104</v>
      </c>
      <c r="B91" s="62" t="s">
        <v>2</v>
      </c>
      <c r="C91" s="63" t="s">
        <v>3</v>
      </c>
      <c r="D91" s="63" t="s">
        <v>4</v>
      </c>
      <c r="E91" s="63" t="s">
        <v>5</v>
      </c>
      <c r="F91" s="63" t="s">
        <v>6</v>
      </c>
      <c r="G91" s="63" t="s">
        <v>7</v>
      </c>
      <c r="H91" s="64" t="s">
        <v>8</v>
      </c>
      <c r="I91" s="65" t="s">
        <v>9</v>
      </c>
      <c r="J91" s="66" t="s">
        <v>10</v>
      </c>
    </row>
    <row r="92" spans="1:10" ht="18" customHeight="1">
      <c r="A92" s="41" t="s">
        <v>105</v>
      </c>
      <c r="B92" s="118" t="s">
        <v>89</v>
      </c>
      <c r="C92" s="118" t="s">
        <v>89</v>
      </c>
      <c r="D92" s="118" t="s">
        <v>89</v>
      </c>
      <c r="E92" s="118" t="s">
        <v>89</v>
      </c>
      <c r="F92" s="118" t="s">
        <v>77</v>
      </c>
      <c r="G92" s="5"/>
      <c r="H92" s="119"/>
      <c r="I92" s="118"/>
      <c r="J92" s="32"/>
    </row>
    <row r="93" spans="1:10" ht="18" customHeight="1">
      <c r="A93" s="120"/>
      <c r="B93" s="17">
        <v>7.5</v>
      </c>
      <c r="C93" s="17">
        <v>7.5</v>
      </c>
      <c r="D93" s="17">
        <v>7.5</v>
      </c>
      <c r="E93" s="17">
        <v>7.5</v>
      </c>
      <c r="F93" s="18">
        <v>7</v>
      </c>
      <c r="G93" s="19"/>
      <c r="H93" s="20"/>
      <c r="I93" s="36">
        <f>SUM(B93:H93)</f>
        <v>37</v>
      </c>
      <c r="J93" s="37"/>
    </row>
    <row r="94" spans="1:10" ht="18" customHeight="1">
      <c r="A94" s="129" t="s">
        <v>106</v>
      </c>
      <c r="B94" s="128" t="s">
        <v>107</v>
      </c>
      <c r="C94" s="128" t="s">
        <v>107</v>
      </c>
      <c r="D94" s="128" t="s">
        <v>107</v>
      </c>
      <c r="E94" s="128" t="s">
        <v>107</v>
      </c>
      <c r="F94" s="128" t="s">
        <v>80</v>
      </c>
      <c r="G94" s="12"/>
      <c r="H94" s="13"/>
      <c r="I94" s="122"/>
      <c r="J94" s="40"/>
    </row>
    <row r="95" spans="1:10" ht="18" customHeight="1">
      <c r="A95" s="123"/>
      <c r="B95" s="124">
        <v>7.5</v>
      </c>
      <c r="C95" s="124">
        <v>7.5</v>
      </c>
      <c r="D95" s="124">
        <v>7.5</v>
      </c>
      <c r="E95" s="124">
        <v>7.5</v>
      </c>
      <c r="F95" s="125">
        <v>6</v>
      </c>
      <c r="G95" s="126"/>
      <c r="H95" s="127"/>
      <c r="I95" s="36">
        <f>SUM(B95:H95)</f>
        <v>36</v>
      </c>
      <c r="J95" s="85"/>
    </row>
    <row r="96" spans="1:10" ht="18" customHeight="1">
      <c r="A96" s="29" t="s">
        <v>108</v>
      </c>
      <c r="B96" s="118" t="s">
        <v>109</v>
      </c>
      <c r="C96" s="118" t="s">
        <v>109</v>
      </c>
      <c r="D96" s="118" t="s">
        <v>109</v>
      </c>
      <c r="E96" s="118" t="s">
        <v>109</v>
      </c>
      <c r="F96" s="118" t="s">
        <v>110</v>
      </c>
      <c r="G96" s="118"/>
      <c r="H96" s="118"/>
      <c r="I96" s="118"/>
      <c r="J96" s="32"/>
    </row>
    <row r="97" spans="1:10" ht="18" customHeight="1">
      <c r="A97" s="16"/>
      <c r="B97" s="17">
        <v>7.5</v>
      </c>
      <c r="C97" s="17">
        <v>7.5</v>
      </c>
      <c r="D97" s="17">
        <v>7.5</v>
      </c>
      <c r="E97" s="17">
        <v>7.5</v>
      </c>
      <c r="F97" s="18">
        <v>6</v>
      </c>
      <c r="G97" s="18"/>
      <c r="H97" s="35"/>
      <c r="I97" s="36">
        <f>SUM(B97:H97)</f>
        <v>36</v>
      </c>
      <c r="J97" s="37"/>
    </row>
    <row r="98" spans="1:10" ht="18" customHeight="1">
      <c r="A98" s="58" t="s">
        <v>30</v>
      </c>
      <c r="B98" s="58">
        <f t="shared" ref="B98:I98" si="5">SUM(B93,B95,B97)</f>
        <v>22.5</v>
      </c>
      <c r="C98" s="58">
        <f t="shared" si="5"/>
        <v>22.5</v>
      </c>
      <c r="D98" s="58">
        <f t="shared" si="5"/>
        <v>22.5</v>
      </c>
      <c r="E98" s="58">
        <f t="shared" si="5"/>
        <v>22.5</v>
      </c>
      <c r="F98" s="58">
        <f t="shared" si="5"/>
        <v>19</v>
      </c>
      <c r="G98" s="58">
        <f t="shared" si="5"/>
        <v>0</v>
      </c>
      <c r="H98" s="58">
        <f t="shared" si="5"/>
        <v>0</v>
      </c>
      <c r="I98" s="70">
        <f t="shared" si="5"/>
        <v>109</v>
      </c>
      <c r="J98" s="71"/>
    </row>
    <row r="99" spans="1:10" ht="18" customHeight="1">
      <c r="A99" s="1" t="s">
        <v>111</v>
      </c>
      <c r="B99" s="72"/>
      <c r="C99" s="72"/>
      <c r="D99" s="72"/>
      <c r="E99" s="72"/>
      <c r="F99" s="72"/>
    </row>
    <row r="100" spans="1:10" ht="18" customHeight="1">
      <c r="A100" s="23" t="s">
        <v>32</v>
      </c>
      <c r="B100" s="24" t="s">
        <v>2</v>
      </c>
      <c r="C100" s="25" t="s">
        <v>3</v>
      </c>
      <c r="D100" s="25" t="s">
        <v>4</v>
      </c>
      <c r="E100" s="25" t="s">
        <v>5</v>
      </c>
      <c r="F100" s="25" t="s">
        <v>6</v>
      </c>
      <c r="G100" s="25" t="s">
        <v>7</v>
      </c>
      <c r="H100" s="26" t="s">
        <v>8</v>
      </c>
      <c r="I100" s="27" t="s">
        <v>9</v>
      </c>
      <c r="J100" s="28" t="s">
        <v>10</v>
      </c>
    </row>
    <row r="101" spans="1:10" ht="18" customHeight="1">
      <c r="A101" s="3"/>
      <c r="B101" s="30" t="s">
        <v>33</v>
      </c>
      <c r="C101" s="30" t="s">
        <v>33</v>
      </c>
      <c r="D101" s="30" t="s">
        <v>33</v>
      </c>
      <c r="E101" s="30" t="s">
        <v>33</v>
      </c>
      <c r="F101" s="30" t="s">
        <v>34</v>
      </c>
      <c r="G101" s="5"/>
      <c r="H101" s="119"/>
      <c r="I101" s="7"/>
      <c r="J101" s="8"/>
    </row>
    <row r="102" spans="1:10" ht="18" customHeight="1">
      <c r="A102" s="16" t="s">
        <v>112</v>
      </c>
      <c r="B102" s="17">
        <v>7.75</v>
      </c>
      <c r="C102" s="17">
        <v>7.75</v>
      </c>
      <c r="D102" s="17">
        <v>7.75</v>
      </c>
      <c r="E102" s="17">
        <v>7.75</v>
      </c>
      <c r="F102" s="17">
        <v>6</v>
      </c>
      <c r="G102" s="19"/>
      <c r="H102" s="20"/>
      <c r="I102" s="21">
        <f>SUM(B102:H102)</f>
        <v>37</v>
      </c>
      <c r="J102" s="22"/>
    </row>
    <row r="103" spans="1:10" ht="18" customHeight="1"/>
    <row r="104" spans="1:10" ht="18" customHeight="1">
      <c r="A104" s="1" t="s">
        <v>113</v>
      </c>
      <c r="B104" s="72"/>
      <c r="C104" s="72"/>
      <c r="D104" s="72"/>
      <c r="E104" s="72"/>
      <c r="F104" s="72"/>
    </row>
    <row r="105" spans="1:10" ht="18" customHeight="1">
      <c r="A105" s="23" t="s">
        <v>114</v>
      </c>
      <c r="B105" s="24" t="s">
        <v>2</v>
      </c>
      <c r="C105" s="25" t="s">
        <v>3</v>
      </c>
      <c r="D105" s="25" t="s">
        <v>4</v>
      </c>
      <c r="E105" s="25" t="s">
        <v>5</v>
      </c>
      <c r="F105" s="25" t="s">
        <v>6</v>
      </c>
      <c r="G105" s="25" t="s">
        <v>7</v>
      </c>
      <c r="H105" s="26" t="s">
        <v>8</v>
      </c>
      <c r="I105" s="27" t="s">
        <v>9</v>
      </c>
      <c r="J105" s="28" t="s">
        <v>10</v>
      </c>
    </row>
    <row r="106" spans="1:10" ht="18" customHeight="1">
      <c r="A106" s="3"/>
      <c r="B106" s="30" t="s">
        <v>115</v>
      </c>
      <c r="C106" s="30" t="s">
        <v>115</v>
      </c>
      <c r="D106" s="30" t="s">
        <v>22</v>
      </c>
      <c r="E106" s="30" t="s">
        <v>22</v>
      </c>
      <c r="F106" s="30" t="s">
        <v>116</v>
      </c>
      <c r="G106" s="31"/>
      <c r="H106" s="42"/>
      <c r="I106" s="7"/>
      <c r="J106" s="32"/>
    </row>
    <row r="107" spans="1:10" ht="18" customHeight="1">
      <c r="A107" s="16" t="s">
        <v>117</v>
      </c>
      <c r="B107" s="17">
        <v>7.5</v>
      </c>
      <c r="C107" s="18">
        <v>7.5</v>
      </c>
      <c r="D107" s="18">
        <v>8</v>
      </c>
      <c r="E107" s="18">
        <v>8</v>
      </c>
      <c r="F107" s="18">
        <v>6</v>
      </c>
      <c r="G107" s="18"/>
      <c r="H107" s="35"/>
      <c r="I107" s="21">
        <f>SUM(B107:H107)</f>
        <v>37</v>
      </c>
      <c r="J107" s="37"/>
    </row>
    <row r="108" spans="1:10" ht="18" customHeight="1"/>
    <row r="109" spans="1:10" ht="18" customHeight="1">
      <c r="A109" s="1" t="s">
        <v>118</v>
      </c>
      <c r="B109" s="72"/>
      <c r="C109" s="72"/>
      <c r="D109" s="72"/>
      <c r="E109" s="72"/>
      <c r="F109" s="72"/>
    </row>
    <row r="110" spans="1:10" ht="18" customHeight="1">
      <c r="A110" s="23" t="s">
        <v>32</v>
      </c>
      <c r="B110" s="24" t="s">
        <v>2</v>
      </c>
      <c r="C110" s="25" t="s">
        <v>3</v>
      </c>
      <c r="D110" s="25" t="s">
        <v>4</v>
      </c>
      <c r="E110" s="25" t="s">
        <v>5</v>
      </c>
      <c r="F110" s="25" t="s">
        <v>6</v>
      </c>
      <c r="G110" s="25" t="s">
        <v>7</v>
      </c>
      <c r="H110" s="26" t="s">
        <v>8</v>
      </c>
      <c r="I110" s="27" t="s">
        <v>9</v>
      </c>
      <c r="J110" s="28" t="s">
        <v>10</v>
      </c>
    </row>
    <row r="111" spans="1:10" ht="18" customHeight="1">
      <c r="A111" s="41"/>
      <c r="B111" s="30" t="s">
        <v>33</v>
      </c>
      <c r="C111" s="30" t="s">
        <v>33</v>
      </c>
      <c r="D111" s="30" t="s">
        <v>33</v>
      </c>
      <c r="E111" s="30" t="s">
        <v>33</v>
      </c>
      <c r="F111" s="30" t="s">
        <v>34</v>
      </c>
      <c r="G111" s="31"/>
      <c r="H111" s="42"/>
      <c r="I111" s="7"/>
      <c r="J111" s="32"/>
    </row>
    <row r="112" spans="1:10" ht="18" customHeight="1">
      <c r="A112" s="16" t="s">
        <v>119</v>
      </c>
      <c r="B112" s="17">
        <v>7.75</v>
      </c>
      <c r="C112" s="17">
        <v>7.75</v>
      </c>
      <c r="D112" s="17">
        <v>7.75</v>
      </c>
      <c r="E112" s="17">
        <v>7.75</v>
      </c>
      <c r="F112" s="17">
        <v>6</v>
      </c>
      <c r="G112" s="18"/>
      <c r="H112" s="35"/>
      <c r="I112" s="36">
        <f>SUM(B112:H112)</f>
        <v>37</v>
      </c>
      <c r="J112" s="37"/>
    </row>
    <row r="113" spans="1:10" ht="18" customHeight="1">
      <c r="A113" s="41"/>
      <c r="B113" s="30" t="s">
        <v>33</v>
      </c>
      <c r="C113" s="30" t="s">
        <v>33</v>
      </c>
      <c r="D113" s="30" t="s">
        <v>33</v>
      </c>
      <c r="E113" s="30" t="s">
        <v>33</v>
      </c>
      <c r="F113" s="30" t="s">
        <v>34</v>
      </c>
      <c r="G113" s="31"/>
      <c r="H113" s="42"/>
      <c r="I113" s="7"/>
      <c r="J113" s="32"/>
    </row>
    <row r="114" spans="1:10" ht="18" customHeight="1">
      <c r="A114" s="16" t="s">
        <v>120</v>
      </c>
      <c r="B114" s="17">
        <v>7.75</v>
      </c>
      <c r="C114" s="17">
        <v>7.75</v>
      </c>
      <c r="D114" s="17">
        <v>7.75</v>
      </c>
      <c r="E114" s="17">
        <v>7.75</v>
      </c>
      <c r="F114" s="17">
        <v>6</v>
      </c>
      <c r="G114" s="18"/>
      <c r="H114" s="35"/>
      <c r="I114" s="36">
        <f>SUM(B114:H114)</f>
        <v>37</v>
      </c>
      <c r="J114" s="37"/>
    </row>
    <row r="115" spans="1:10" ht="18" customHeight="1">
      <c r="A115" s="41"/>
      <c r="B115" s="30" t="s">
        <v>33</v>
      </c>
      <c r="C115" s="30" t="s">
        <v>33</v>
      </c>
      <c r="D115" s="30" t="s">
        <v>33</v>
      </c>
      <c r="E115" s="30" t="s">
        <v>33</v>
      </c>
      <c r="F115" s="30" t="s">
        <v>34</v>
      </c>
      <c r="G115" s="31"/>
      <c r="H115" s="42"/>
      <c r="I115" s="7"/>
      <c r="J115" s="32"/>
    </row>
    <row r="116" spans="1:10" ht="18" customHeight="1">
      <c r="A116" s="16" t="s">
        <v>121</v>
      </c>
      <c r="B116" s="17">
        <v>7.75</v>
      </c>
      <c r="C116" s="17">
        <v>7.75</v>
      </c>
      <c r="D116" s="17">
        <v>7.75</v>
      </c>
      <c r="E116" s="17">
        <v>7.75</v>
      </c>
      <c r="F116" s="17">
        <v>6</v>
      </c>
      <c r="G116" s="18"/>
      <c r="H116" s="35"/>
      <c r="I116" s="36">
        <f>SUM(B116:H116)</f>
        <v>37</v>
      </c>
      <c r="J116" s="37"/>
    </row>
    <row r="117" spans="1:10" ht="18" customHeight="1">
      <c r="A117" s="58" t="s">
        <v>30</v>
      </c>
      <c r="B117" s="58">
        <f t="shared" ref="B117:I117" si="6">SUM(B112,B114,B116)</f>
        <v>23.25</v>
      </c>
      <c r="C117" s="58">
        <f t="shared" si="6"/>
        <v>23.25</v>
      </c>
      <c r="D117" s="58">
        <f t="shared" si="6"/>
        <v>23.25</v>
      </c>
      <c r="E117" s="58">
        <f t="shared" si="6"/>
        <v>23.25</v>
      </c>
      <c r="F117" s="58">
        <f t="shared" si="6"/>
        <v>18</v>
      </c>
      <c r="G117" s="58">
        <f t="shared" si="6"/>
        <v>0</v>
      </c>
      <c r="H117" s="58">
        <f t="shared" si="6"/>
        <v>0</v>
      </c>
      <c r="I117" s="70">
        <f t="shared" si="6"/>
        <v>111</v>
      </c>
      <c r="J117" s="71"/>
    </row>
    <row r="118" spans="1:10" ht="18" customHeight="1">
      <c r="A118" s="72"/>
      <c r="B118" s="72"/>
      <c r="C118" s="72"/>
      <c r="D118" s="72"/>
      <c r="E118" s="72"/>
      <c r="F118" s="72"/>
      <c r="G118" s="139"/>
      <c r="H118" s="139"/>
      <c r="I118" s="72"/>
      <c r="J118" s="73"/>
    </row>
    <row r="119" spans="1:10" ht="18" customHeight="1">
      <c r="A119" s="1" t="s">
        <v>122</v>
      </c>
      <c r="B119" s="72"/>
      <c r="C119" s="72"/>
      <c r="D119" s="72"/>
      <c r="E119" s="72"/>
      <c r="F119" s="72"/>
    </row>
    <row r="120" spans="1:10" ht="18" customHeight="1">
      <c r="A120" s="23" t="s">
        <v>123</v>
      </c>
      <c r="B120" s="24" t="s">
        <v>2</v>
      </c>
      <c r="C120" s="25" t="s">
        <v>3</v>
      </c>
      <c r="D120" s="25" t="s">
        <v>4</v>
      </c>
      <c r="E120" s="25" t="s">
        <v>5</v>
      </c>
      <c r="F120" s="25" t="s">
        <v>6</v>
      </c>
      <c r="G120" s="25" t="s">
        <v>7</v>
      </c>
      <c r="H120" s="26" t="s">
        <v>8</v>
      </c>
      <c r="I120" s="27" t="s">
        <v>9</v>
      </c>
      <c r="J120" s="28" t="s">
        <v>10</v>
      </c>
    </row>
    <row r="121" spans="1:10" ht="18" customHeight="1">
      <c r="A121" s="29" t="s">
        <v>28</v>
      </c>
      <c r="B121" s="30" t="s">
        <v>124</v>
      </c>
      <c r="C121" s="30" t="s">
        <v>124</v>
      </c>
      <c r="D121" s="30" t="s">
        <v>124</v>
      </c>
      <c r="E121" s="30" t="s">
        <v>124</v>
      </c>
      <c r="F121" s="31" t="s">
        <v>125</v>
      </c>
      <c r="G121" s="31"/>
      <c r="H121" s="31"/>
      <c r="I121" s="7"/>
      <c r="J121" s="32"/>
    </row>
    <row r="122" spans="1:10" ht="18" customHeight="1">
      <c r="A122" s="33" t="s">
        <v>126</v>
      </c>
      <c r="B122" s="34">
        <v>7.75</v>
      </c>
      <c r="C122" s="34">
        <v>7.75</v>
      </c>
      <c r="D122" s="34">
        <v>7.75</v>
      </c>
      <c r="E122" s="34">
        <v>7.75</v>
      </c>
      <c r="F122" s="140">
        <v>6</v>
      </c>
      <c r="G122" s="140"/>
      <c r="H122" s="140"/>
      <c r="I122" s="141">
        <f>SUM(B122:H122)</f>
        <v>37</v>
      </c>
      <c r="J122" s="142"/>
    </row>
    <row r="123" spans="1:10" ht="18" customHeight="1">
      <c r="A123" s="143"/>
      <c r="B123" s="124"/>
      <c r="C123" s="124"/>
      <c r="D123" s="124"/>
      <c r="E123" s="124"/>
      <c r="F123" s="125"/>
      <c r="G123" s="125"/>
      <c r="H123" s="139"/>
      <c r="I123" s="144"/>
      <c r="J123" s="145"/>
    </row>
    <row r="124" spans="1:10" ht="18" customHeight="1">
      <c r="A124" s="146" t="s">
        <v>127</v>
      </c>
      <c r="B124" s="124"/>
      <c r="C124" s="124"/>
      <c r="D124" s="124"/>
      <c r="E124" s="124"/>
      <c r="F124" s="125"/>
      <c r="G124" s="125"/>
      <c r="H124" s="139"/>
      <c r="I124" s="144"/>
      <c r="J124" s="145"/>
    </row>
    <row r="125" spans="1:10" ht="18" customHeight="1">
      <c r="A125" s="61" t="s">
        <v>128</v>
      </c>
      <c r="B125" s="62" t="s">
        <v>2</v>
      </c>
      <c r="C125" s="63" t="s">
        <v>3</v>
      </c>
      <c r="D125" s="63" t="s">
        <v>4</v>
      </c>
      <c r="E125" s="63" t="s">
        <v>5</v>
      </c>
      <c r="F125" s="63" t="s">
        <v>6</v>
      </c>
      <c r="G125" s="63" t="s">
        <v>7</v>
      </c>
      <c r="H125" s="64" t="s">
        <v>8</v>
      </c>
      <c r="I125" s="65" t="s">
        <v>9</v>
      </c>
      <c r="J125" s="66" t="s">
        <v>10</v>
      </c>
    </row>
    <row r="126" spans="1:10" ht="18" customHeight="1">
      <c r="A126" s="147" t="s">
        <v>28</v>
      </c>
      <c r="B126" s="10" t="s">
        <v>129</v>
      </c>
      <c r="C126" s="10" t="s">
        <v>129</v>
      </c>
      <c r="D126" s="10" t="s">
        <v>129</v>
      </c>
      <c r="E126" s="10" t="s">
        <v>129</v>
      </c>
      <c r="F126" s="11" t="s">
        <v>89</v>
      </c>
      <c r="G126" s="11"/>
      <c r="H126" s="11"/>
      <c r="I126" s="14"/>
      <c r="J126" s="40"/>
    </row>
    <row r="127" spans="1:10" ht="18" customHeight="1">
      <c r="A127" s="33" t="s">
        <v>130</v>
      </c>
      <c r="B127" s="34">
        <v>7.5</v>
      </c>
      <c r="C127" s="34">
        <v>7.5</v>
      </c>
      <c r="D127" s="34">
        <v>7.5</v>
      </c>
      <c r="E127" s="34">
        <v>7.5</v>
      </c>
      <c r="F127" s="140">
        <v>7</v>
      </c>
      <c r="G127" s="140"/>
      <c r="H127" s="140"/>
      <c r="I127" s="148">
        <f>SUM(B127:H127)</f>
        <v>37</v>
      </c>
      <c r="J127" s="37" t="s">
        <v>99</v>
      </c>
    </row>
    <row r="128" spans="1:10" ht="18" customHeight="1">
      <c r="A128" s="72"/>
      <c r="B128" s="72"/>
      <c r="C128" s="72"/>
      <c r="D128" s="72"/>
      <c r="E128" s="72"/>
      <c r="F128" s="139"/>
      <c r="G128" s="139"/>
      <c r="H128" s="139"/>
      <c r="I128" s="72"/>
      <c r="J128" s="73"/>
    </row>
    <row r="129" spans="1:10" ht="18" customHeight="1">
      <c r="A129" s="72"/>
      <c r="B129" s="72"/>
      <c r="C129" s="72"/>
      <c r="D129" s="72"/>
      <c r="E129" s="72"/>
      <c r="F129" s="139"/>
      <c r="G129" s="139"/>
      <c r="H129" s="139"/>
      <c r="I129" s="72"/>
      <c r="J129" s="73"/>
    </row>
    <row r="130" spans="1:10" ht="18" customHeight="1">
      <c r="A130" s="72"/>
      <c r="B130" s="72"/>
      <c r="C130" s="72"/>
      <c r="D130" s="72"/>
      <c r="E130" s="72"/>
      <c r="F130" s="139"/>
      <c r="G130" s="139"/>
      <c r="H130" s="139"/>
      <c r="I130" s="72"/>
      <c r="J130" s="73"/>
    </row>
    <row r="131" spans="1:10" ht="18" customHeight="1">
      <c r="A131" s="72"/>
      <c r="B131" s="72"/>
      <c r="C131" s="72"/>
      <c r="D131" s="72"/>
      <c r="E131" s="72"/>
      <c r="F131" s="139"/>
      <c r="G131" s="139"/>
      <c r="H131" s="139"/>
      <c r="I131" s="72"/>
      <c r="J131" s="73"/>
    </row>
    <row r="132" spans="1:10" ht="18" customHeight="1">
      <c r="A132" s="149" t="s">
        <v>131</v>
      </c>
      <c r="B132" s="72"/>
      <c r="C132" s="72"/>
      <c r="D132" s="72"/>
      <c r="E132" s="72"/>
      <c r="F132" s="139"/>
      <c r="G132" s="139"/>
      <c r="H132" s="139"/>
      <c r="I132" s="72"/>
      <c r="J132" s="73"/>
    </row>
    <row r="133" spans="1:10" ht="18" customHeight="1">
      <c r="A133" s="123" t="s">
        <v>128</v>
      </c>
      <c r="B133" s="24" t="s">
        <v>2</v>
      </c>
      <c r="C133" s="25" t="s">
        <v>3</v>
      </c>
      <c r="D133" s="25" t="s">
        <v>4</v>
      </c>
      <c r="E133" s="25" t="s">
        <v>5</v>
      </c>
      <c r="F133" s="25" t="s">
        <v>6</v>
      </c>
      <c r="G133" s="25" t="s">
        <v>7</v>
      </c>
      <c r="H133" s="26" t="s">
        <v>8</v>
      </c>
      <c r="I133" s="27" t="s">
        <v>9</v>
      </c>
      <c r="J133" s="28" t="s">
        <v>10</v>
      </c>
    </row>
    <row r="134" spans="1:10" ht="18" customHeight="1">
      <c r="A134" s="29" t="s">
        <v>28</v>
      </c>
      <c r="B134" s="30" t="s">
        <v>129</v>
      </c>
      <c r="C134" s="30" t="s">
        <v>129</v>
      </c>
      <c r="D134" s="30" t="s">
        <v>129</v>
      </c>
      <c r="E134" s="30" t="s">
        <v>129</v>
      </c>
      <c r="F134" s="31" t="s">
        <v>89</v>
      </c>
      <c r="G134" s="31"/>
      <c r="H134" s="31"/>
      <c r="I134" s="7"/>
      <c r="J134" s="32"/>
    </row>
    <row r="135" spans="1:10" ht="18" customHeight="1">
      <c r="A135" s="33" t="s">
        <v>132</v>
      </c>
      <c r="B135" s="34">
        <v>7.5</v>
      </c>
      <c r="C135" s="34">
        <v>7.5</v>
      </c>
      <c r="D135" s="34">
        <v>7.5</v>
      </c>
      <c r="E135" s="34">
        <v>7.5</v>
      </c>
      <c r="F135" s="140">
        <v>7</v>
      </c>
      <c r="G135" s="140"/>
      <c r="H135" s="140"/>
      <c r="I135" s="34">
        <f>SUM(B135:H135)</f>
        <v>37</v>
      </c>
      <c r="J135" s="37" t="s">
        <v>99</v>
      </c>
    </row>
    <row r="136" spans="1:10" ht="18" customHeight="1">
      <c r="A136" s="29" t="s">
        <v>28</v>
      </c>
      <c r="B136" s="30" t="s">
        <v>129</v>
      </c>
      <c r="C136" s="30" t="s">
        <v>129</v>
      </c>
      <c r="D136" s="30" t="s">
        <v>129</v>
      </c>
      <c r="E136" s="30" t="s">
        <v>129</v>
      </c>
      <c r="F136" s="31" t="s">
        <v>89</v>
      </c>
      <c r="G136" s="31"/>
      <c r="H136" s="31"/>
      <c r="I136" s="7"/>
      <c r="J136" s="32"/>
    </row>
    <row r="137" spans="1:10" ht="18" customHeight="1">
      <c r="A137" s="33" t="s">
        <v>133</v>
      </c>
      <c r="B137" s="34">
        <v>7.5</v>
      </c>
      <c r="C137" s="34">
        <v>7.5</v>
      </c>
      <c r="D137" s="34">
        <v>7.5</v>
      </c>
      <c r="E137" s="34">
        <v>7.5</v>
      </c>
      <c r="F137" s="140">
        <v>7</v>
      </c>
      <c r="G137" s="140"/>
      <c r="H137" s="140"/>
      <c r="I137" s="34">
        <f>SUM(B137:H137)</f>
        <v>37</v>
      </c>
      <c r="J137" s="37" t="s">
        <v>99</v>
      </c>
    </row>
    <row r="138" spans="1:10" ht="18" customHeight="1">
      <c r="A138" s="29" t="s">
        <v>28</v>
      </c>
      <c r="B138" s="30" t="s">
        <v>129</v>
      </c>
      <c r="C138" s="30" t="s">
        <v>129</v>
      </c>
      <c r="D138" s="30" t="s">
        <v>129</v>
      </c>
      <c r="E138" s="30" t="s">
        <v>129</v>
      </c>
      <c r="F138" s="31" t="s">
        <v>89</v>
      </c>
      <c r="G138" s="31"/>
      <c r="H138" s="31"/>
      <c r="I138" s="7"/>
      <c r="J138" s="32"/>
    </row>
    <row r="139" spans="1:10" ht="18" customHeight="1">
      <c r="A139" s="33" t="s">
        <v>134</v>
      </c>
      <c r="B139" s="34">
        <v>7.5</v>
      </c>
      <c r="C139" s="34">
        <v>7.5</v>
      </c>
      <c r="D139" s="34">
        <v>7.5</v>
      </c>
      <c r="E139" s="34">
        <v>7.5</v>
      </c>
      <c r="F139" s="140">
        <v>7</v>
      </c>
      <c r="G139" s="140"/>
      <c r="H139" s="140"/>
      <c r="I139" s="34">
        <f>SUM(B139:H139)</f>
        <v>37</v>
      </c>
      <c r="J139" s="37" t="s">
        <v>99</v>
      </c>
    </row>
    <row r="140" spans="1:10" ht="18" customHeight="1">
      <c r="A140" s="29" t="s">
        <v>28</v>
      </c>
      <c r="B140" s="30" t="s">
        <v>129</v>
      </c>
      <c r="C140" s="30" t="s">
        <v>129</v>
      </c>
      <c r="D140" s="30" t="s">
        <v>129</v>
      </c>
      <c r="E140" s="30" t="s">
        <v>129</v>
      </c>
      <c r="F140" s="31" t="s">
        <v>89</v>
      </c>
      <c r="G140" s="31"/>
      <c r="H140" s="31"/>
      <c r="I140" s="7"/>
      <c r="J140" s="32"/>
    </row>
    <row r="141" spans="1:10" ht="18" customHeight="1">
      <c r="A141" s="33" t="s">
        <v>135</v>
      </c>
      <c r="B141" s="34">
        <v>7.5</v>
      </c>
      <c r="C141" s="34">
        <v>7.5</v>
      </c>
      <c r="D141" s="34">
        <v>7.5</v>
      </c>
      <c r="E141" s="34">
        <v>7.5</v>
      </c>
      <c r="F141" s="140">
        <v>7</v>
      </c>
      <c r="G141" s="140"/>
      <c r="H141" s="140"/>
      <c r="I141" s="34">
        <f>SUM(B141:H141)</f>
        <v>37</v>
      </c>
      <c r="J141" s="37" t="s">
        <v>99</v>
      </c>
    </row>
    <row r="142" spans="1:10" ht="18" customHeight="1">
      <c r="A142" s="29" t="s">
        <v>28</v>
      </c>
      <c r="B142" s="30" t="s">
        <v>129</v>
      </c>
      <c r="C142" s="30" t="s">
        <v>129</v>
      </c>
      <c r="D142" s="30" t="s">
        <v>129</v>
      </c>
      <c r="E142" s="30" t="s">
        <v>129</v>
      </c>
      <c r="F142" s="31" t="s">
        <v>89</v>
      </c>
      <c r="G142" s="31"/>
      <c r="H142" s="31"/>
      <c r="I142" s="7"/>
      <c r="J142" s="32"/>
    </row>
    <row r="143" spans="1:10" ht="18" customHeight="1">
      <c r="A143" s="33" t="s">
        <v>136</v>
      </c>
      <c r="B143" s="34">
        <v>7.5</v>
      </c>
      <c r="C143" s="34">
        <v>7.5</v>
      </c>
      <c r="D143" s="34">
        <v>7.5</v>
      </c>
      <c r="E143" s="34">
        <v>7.5</v>
      </c>
      <c r="F143" s="140">
        <v>7</v>
      </c>
      <c r="G143" s="140"/>
      <c r="H143" s="140"/>
      <c r="I143" s="34">
        <f>SUM(B143:H143)</f>
        <v>37</v>
      </c>
      <c r="J143" s="37" t="s">
        <v>99</v>
      </c>
    </row>
    <row r="144" spans="1:10" ht="18" customHeight="1">
      <c r="A144" s="58" t="s">
        <v>30</v>
      </c>
      <c r="B144" s="58">
        <f t="shared" ref="B144:I144" si="7">SUM(B135,B137,B139,B141,B143)</f>
        <v>37.5</v>
      </c>
      <c r="C144" s="58">
        <f t="shared" si="7"/>
        <v>37.5</v>
      </c>
      <c r="D144" s="58">
        <f t="shared" si="7"/>
        <v>37.5</v>
      </c>
      <c r="E144" s="58">
        <f t="shared" si="7"/>
        <v>37.5</v>
      </c>
      <c r="F144" s="58">
        <f t="shared" si="7"/>
        <v>35</v>
      </c>
      <c r="G144" s="58">
        <f t="shared" si="7"/>
        <v>0</v>
      </c>
      <c r="H144" s="58">
        <f t="shared" si="7"/>
        <v>0</v>
      </c>
      <c r="I144" s="70">
        <f t="shared" si="7"/>
        <v>185</v>
      </c>
      <c r="J144" s="71"/>
    </row>
    <row r="145" spans="1:10" ht="18" customHeight="1">
      <c r="A145" s="72"/>
      <c r="B145" s="72"/>
      <c r="C145" s="72"/>
      <c r="D145" s="72"/>
      <c r="E145" s="72"/>
      <c r="F145" s="139"/>
      <c r="G145" s="139"/>
      <c r="H145" s="139"/>
      <c r="I145" s="72"/>
      <c r="J145" s="73"/>
    </row>
    <row r="146" spans="1:10" ht="18" customHeight="1">
      <c r="A146" s="72"/>
      <c r="B146" s="72"/>
      <c r="C146" s="72"/>
      <c r="D146" s="72"/>
      <c r="E146" s="72"/>
      <c r="F146" s="139"/>
      <c r="G146" s="139"/>
      <c r="H146" s="139"/>
      <c r="I146" s="72"/>
      <c r="J146" s="73"/>
    </row>
    <row r="147" spans="1:10" ht="20.100000000000001" customHeight="1">
      <c r="B147" s="150" t="s">
        <v>2</v>
      </c>
      <c r="C147" s="63" t="s">
        <v>3</v>
      </c>
      <c r="D147" s="63" t="s">
        <v>4</v>
      </c>
      <c r="E147" s="63" t="s">
        <v>5</v>
      </c>
      <c r="F147" s="63" t="s">
        <v>6</v>
      </c>
      <c r="G147" s="63" t="s">
        <v>7</v>
      </c>
      <c r="H147" s="151" t="s">
        <v>8</v>
      </c>
      <c r="I147" s="152" t="s">
        <v>137</v>
      </c>
      <c r="J147" s="139" t="s">
        <v>28</v>
      </c>
    </row>
    <row r="148" spans="1:10" ht="20.100000000000001" customHeight="1">
      <c r="A148" s="153" t="s">
        <v>138</v>
      </c>
      <c r="B148" s="10">
        <f t="shared" ref="B148:I148" si="8">SUM(B4,B20,B30,B65,B74,B89,B98,B102,B107,B117,B122,B127,B144)</f>
        <v>368.40000000000003</v>
      </c>
      <c r="C148" s="10">
        <f t="shared" si="8"/>
        <v>364</v>
      </c>
      <c r="D148" s="10">
        <f t="shared" si="8"/>
        <v>369.5</v>
      </c>
      <c r="E148" s="10">
        <f t="shared" si="8"/>
        <v>368.5</v>
      </c>
      <c r="F148" s="10">
        <f t="shared" si="8"/>
        <v>333.65</v>
      </c>
      <c r="G148" s="10">
        <f t="shared" si="8"/>
        <v>96.5</v>
      </c>
      <c r="H148" s="10">
        <f t="shared" si="8"/>
        <v>84</v>
      </c>
      <c r="I148" s="10">
        <f t="shared" si="8"/>
        <v>1984.55</v>
      </c>
      <c r="J148" s="144" t="s">
        <v>28</v>
      </c>
    </row>
    <row r="149" spans="1:10" ht="20.100000000000001" customHeight="1">
      <c r="A149" s="153" t="s">
        <v>139</v>
      </c>
      <c r="B149" s="130">
        <f>SUM(G148)*4</f>
        <v>386</v>
      </c>
      <c r="C149" s="130">
        <f>SUM(G148)*1</f>
        <v>96.5</v>
      </c>
      <c r="D149" s="130">
        <f>SUM(G148)*0</f>
        <v>0</v>
      </c>
      <c r="E149" s="130">
        <f>SUM(G148)*2</f>
        <v>193</v>
      </c>
      <c r="F149" s="130">
        <f>SUM(G148)*2</f>
        <v>193</v>
      </c>
      <c r="G149" s="130">
        <f>SUM(G148)*0</f>
        <v>0</v>
      </c>
      <c r="H149" s="130">
        <f>SUM(G148)*0</f>
        <v>0</v>
      </c>
      <c r="I149" s="10">
        <f>SUM(B149:H149)</f>
        <v>868.5</v>
      </c>
    </row>
    <row r="150" spans="1:10" ht="20.100000000000001" customHeight="1">
      <c r="A150" s="153" t="s">
        <v>140</v>
      </c>
      <c r="B150" s="10">
        <f>SUM(B148*48)+B149</f>
        <v>18069.2</v>
      </c>
      <c r="C150" s="10">
        <f>SUM(C148*51)+C149</f>
        <v>18660.5</v>
      </c>
      <c r="D150" s="10">
        <f>SUM(D148*52)+D149</f>
        <v>19214</v>
      </c>
      <c r="E150" s="10">
        <f>SUM(E148*52)+E149</f>
        <v>19355</v>
      </c>
      <c r="F150" s="10">
        <f>SUM(F148*52)+F149</f>
        <v>17542.8</v>
      </c>
      <c r="G150" s="10">
        <f>SUM(G148*52)+G149</f>
        <v>5018</v>
      </c>
      <c r="H150" s="10">
        <f>SUM(H148*52)+H149</f>
        <v>4368</v>
      </c>
      <c r="I150" s="154">
        <f>SUM(B150:H150)</f>
        <v>102227.5</v>
      </c>
    </row>
    <row r="151" spans="1:10" ht="20.100000000000001" customHeight="1"/>
    <row r="152" spans="1:10" ht="20.100000000000001" customHeight="1"/>
    <row r="153" spans="1:10" ht="20.100000000000001" customHeight="1">
      <c r="A153" s="153" t="s">
        <v>141</v>
      </c>
      <c r="B153" s="153"/>
      <c r="C153" s="153"/>
      <c r="D153" s="153"/>
      <c r="E153" s="130">
        <v>56</v>
      </c>
      <c r="F153" s="153"/>
      <c r="G153" s="153"/>
      <c r="H153" s="155"/>
      <c r="I153" s="156">
        <f>SUM(E153)*52</f>
        <v>2912</v>
      </c>
    </row>
    <row r="154" spans="1:10" ht="20.100000000000001" customHeight="1">
      <c r="A154" s="157" t="s">
        <v>142</v>
      </c>
      <c r="B154" s="157"/>
      <c r="C154" s="157"/>
      <c r="D154" s="157"/>
      <c r="E154" s="157"/>
      <c r="F154" s="157"/>
      <c r="G154" s="157"/>
      <c r="H154" s="157"/>
      <c r="I154" s="156">
        <f>SUM(I153*2)</f>
        <v>5824</v>
      </c>
    </row>
    <row r="155" spans="1:10" ht="20.100000000000001" customHeight="1">
      <c r="A155" s="153" t="s">
        <v>143</v>
      </c>
      <c r="B155" s="153"/>
      <c r="C155" s="155"/>
      <c r="D155" s="157"/>
      <c r="E155" s="157"/>
      <c r="F155" s="157"/>
      <c r="G155" s="157"/>
      <c r="H155" s="157"/>
      <c r="I155" s="156">
        <f>48*12</f>
        <v>576</v>
      </c>
    </row>
    <row r="156" spans="1:10" ht="20.100000000000001" customHeight="1">
      <c r="A156" s="158" t="s">
        <v>137</v>
      </c>
      <c r="B156" s="158"/>
      <c r="C156" s="158"/>
      <c r="D156" s="158"/>
      <c r="E156" s="158"/>
      <c r="F156" s="158"/>
      <c r="G156" s="158"/>
      <c r="H156" s="158"/>
      <c r="I156" s="159">
        <f>SUM(I153:I155)</f>
        <v>9312</v>
      </c>
    </row>
    <row r="157" spans="1:10" ht="20.100000000000001" customHeight="1">
      <c r="I157" s="160"/>
    </row>
    <row r="158" spans="1:10" ht="20.100000000000001" customHeight="1">
      <c r="I158" s="160"/>
    </row>
    <row r="159" spans="1:10" ht="20.100000000000001" customHeight="1">
      <c r="A159" s="158" t="s">
        <v>144</v>
      </c>
      <c r="B159" s="158"/>
      <c r="C159" s="158"/>
      <c r="D159" s="158"/>
      <c r="E159" s="158"/>
      <c r="F159" s="158"/>
      <c r="G159" s="158"/>
      <c r="H159" s="158"/>
      <c r="I159" s="161">
        <f>SUM(I150:I156)</f>
        <v>120851.5</v>
      </c>
      <c r="J159" t="s">
        <v>145</v>
      </c>
    </row>
    <row r="160" spans="1:10" ht="20.100000000000001" customHeight="1"/>
  </sheetData>
  <sheetProtection password="CC44" sheet="1" objects="1" scenarios="1"/>
  <phoneticPr fontId="8" type="noConversion"/>
  <pageMargins left="0" right="0" top="0.39305555555555555" bottom="0.19652777777777777" header="0.19652777777777777" footer="0.51180555555555551"/>
  <pageSetup paperSize="9" scale="95" firstPageNumber="0" pageOrder="overThenDown" orientation="landscape" horizontalDpi="300" verticalDpi="300" r:id="rId1"/>
  <headerFooter alignWithMargins="0">
    <oddHeader>&amp;C&amp;"Arial,fed"Vagtplans nøgler&amp;ROpdateret &amp;D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J297"/>
  <sheetViews>
    <sheetView topLeftCell="A67" zoomScale="67" zoomScaleNormal="67" workbookViewId="0">
      <selection activeCell="B256" sqref="B256"/>
    </sheetView>
  </sheetViews>
  <sheetFormatPr defaultRowHeight="12.75"/>
  <cols>
    <col min="1" max="1" width="26.28515625" customWidth="1"/>
    <col min="2" max="2" width="13" customWidth="1"/>
    <col min="3" max="3" width="12.85546875" customWidth="1"/>
    <col min="4" max="4" width="12.28515625" customWidth="1"/>
    <col min="5" max="5" width="12.140625" customWidth="1"/>
    <col min="6" max="6" width="12.28515625" customWidth="1"/>
    <col min="7" max="7" width="13.28515625" customWidth="1"/>
    <col min="8" max="8" width="13.140625" customWidth="1"/>
    <col min="9" max="9" width="12.5703125" customWidth="1"/>
    <col min="10" max="10" width="26" customWidth="1"/>
  </cols>
  <sheetData>
    <row r="1" spans="1:10" ht="20.100000000000001" customHeight="1">
      <c r="A1" s="1" t="s">
        <v>0</v>
      </c>
      <c r="B1" s="1"/>
      <c r="D1" s="2"/>
      <c r="E1" s="2"/>
    </row>
    <row r="2" spans="1:10" ht="20.100000000000001" customHeight="1">
      <c r="A2" s="3" t="s">
        <v>146</v>
      </c>
      <c r="B2" s="4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6" t="s">
        <v>8</v>
      </c>
      <c r="I2" s="7" t="s">
        <v>9</v>
      </c>
      <c r="J2" s="8" t="s">
        <v>10</v>
      </c>
    </row>
    <row r="3" spans="1:10" ht="20.100000000000001" customHeight="1">
      <c r="A3" s="9"/>
      <c r="B3" s="10" t="s">
        <v>147</v>
      </c>
      <c r="C3" s="10" t="s">
        <v>147</v>
      </c>
      <c r="D3" s="10" t="s">
        <v>147</v>
      </c>
      <c r="E3" s="10" t="s">
        <v>147</v>
      </c>
      <c r="F3" s="11" t="s">
        <v>148</v>
      </c>
      <c r="G3" s="12"/>
      <c r="H3" s="13"/>
      <c r="I3" s="14"/>
      <c r="J3" s="15"/>
    </row>
    <row r="4" spans="1:10" ht="20.100000000000001" customHeight="1">
      <c r="A4" s="143" t="s">
        <v>13</v>
      </c>
      <c r="B4" s="124">
        <v>7.75</v>
      </c>
      <c r="C4" s="124">
        <v>7.75</v>
      </c>
      <c r="D4" s="124">
        <v>7.75</v>
      </c>
      <c r="E4" s="124">
        <v>7.75</v>
      </c>
      <c r="F4" s="125">
        <v>6</v>
      </c>
      <c r="G4" s="126"/>
      <c r="H4" s="127"/>
      <c r="I4" s="144">
        <f>SUM(B4:H4)</f>
        <v>37</v>
      </c>
      <c r="J4" s="162"/>
    </row>
    <row r="5" spans="1:10" ht="20.100000000000001" customHeight="1">
      <c r="A5" s="163" t="s">
        <v>149</v>
      </c>
      <c r="B5" s="164" t="s">
        <v>150</v>
      </c>
      <c r="C5" s="164" t="s">
        <v>150</v>
      </c>
      <c r="D5" s="164" t="s">
        <v>150</v>
      </c>
      <c r="E5" s="164" t="s">
        <v>150</v>
      </c>
      <c r="F5" s="164" t="s">
        <v>151</v>
      </c>
      <c r="G5" s="165"/>
      <c r="H5" s="165"/>
      <c r="I5" s="34"/>
      <c r="J5" s="166"/>
    </row>
    <row r="6" spans="1:10" ht="20.100000000000001" customHeight="1">
      <c r="A6" s="72"/>
      <c r="E6" s="72"/>
      <c r="F6" s="139"/>
      <c r="G6" s="167" t="s">
        <v>152</v>
      </c>
      <c r="H6" s="167" t="s">
        <v>153</v>
      </c>
      <c r="I6" s="167" t="s">
        <v>154</v>
      </c>
      <c r="J6" s="168"/>
    </row>
    <row r="7" spans="1:10" ht="20.100000000000001" customHeight="1">
      <c r="A7" s="72"/>
      <c r="E7" s="72"/>
      <c r="F7" s="139"/>
      <c r="G7" s="130">
        <f>I4</f>
        <v>37</v>
      </c>
      <c r="H7" s="169">
        <f>SUM(G7*13/3)</f>
        <v>160.33333333333334</v>
      </c>
      <c r="I7" s="130">
        <f>SUM(H7*12)</f>
        <v>1924</v>
      </c>
      <c r="J7" s="168"/>
    </row>
    <row r="8" spans="1:10" ht="20.100000000000001" customHeight="1">
      <c r="A8" s="60" t="s">
        <v>155</v>
      </c>
      <c r="D8" s="2"/>
      <c r="E8" s="2"/>
    </row>
    <row r="9" spans="1:10" ht="20.100000000000001" customHeight="1">
      <c r="A9" s="23" t="s">
        <v>32</v>
      </c>
      <c r="B9" s="24" t="s">
        <v>2</v>
      </c>
      <c r="C9" s="25" t="s">
        <v>3</v>
      </c>
      <c r="D9" s="25" t="s">
        <v>4</v>
      </c>
      <c r="E9" s="25" t="s">
        <v>5</v>
      </c>
      <c r="F9" s="25" t="s">
        <v>6</v>
      </c>
      <c r="G9" s="25" t="s">
        <v>7</v>
      </c>
      <c r="H9" s="26" t="s">
        <v>8</v>
      </c>
      <c r="I9" s="27" t="s">
        <v>9</v>
      </c>
      <c r="J9" s="28" t="s">
        <v>10</v>
      </c>
    </row>
    <row r="10" spans="1:10" ht="20.100000000000001" customHeight="1">
      <c r="A10" s="29"/>
      <c r="B10" s="31" t="s">
        <v>33</v>
      </c>
      <c r="C10" s="31" t="s">
        <v>33</v>
      </c>
      <c r="D10" s="31" t="s">
        <v>33</v>
      </c>
      <c r="E10" s="31" t="s">
        <v>33</v>
      </c>
      <c r="F10" s="31" t="s">
        <v>34</v>
      </c>
      <c r="G10" s="31"/>
      <c r="H10" s="31"/>
      <c r="I10" s="170"/>
      <c r="J10" s="32"/>
    </row>
    <row r="11" spans="1:10" ht="20.100000000000001" customHeight="1">
      <c r="A11" s="171" t="s">
        <v>156</v>
      </c>
      <c r="B11" s="172">
        <v>7.75</v>
      </c>
      <c r="C11" s="172">
        <v>7.75</v>
      </c>
      <c r="D11" s="172">
        <v>7.75</v>
      </c>
      <c r="E11" s="172">
        <v>7.75</v>
      </c>
      <c r="F11" s="172">
        <v>6</v>
      </c>
      <c r="G11" s="172"/>
      <c r="H11" s="172"/>
      <c r="I11" s="172">
        <f>SUM(B11:H11)</f>
        <v>37</v>
      </c>
      <c r="J11" s="173"/>
    </row>
    <row r="12" spans="1:10" ht="20.100000000000001" customHeight="1">
      <c r="A12" s="163" t="s">
        <v>149</v>
      </c>
      <c r="B12" s="164" t="s">
        <v>157</v>
      </c>
      <c r="C12" s="164" t="s">
        <v>157</v>
      </c>
      <c r="D12" s="164" t="s">
        <v>157</v>
      </c>
      <c r="E12" s="164" t="s">
        <v>157</v>
      </c>
      <c r="F12" s="164" t="s">
        <v>158</v>
      </c>
      <c r="G12" s="140"/>
      <c r="H12" s="140"/>
      <c r="I12" s="140"/>
      <c r="J12" s="142"/>
    </row>
    <row r="13" spans="1:10" ht="20.100000000000001" customHeight="1">
      <c r="A13" s="72"/>
      <c r="E13" s="72"/>
      <c r="F13" s="139"/>
      <c r="G13" s="167" t="s">
        <v>152</v>
      </c>
      <c r="H13" s="167" t="s">
        <v>153</v>
      </c>
      <c r="I13" s="167" t="s">
        <v>154</v>
      </c>
      <c r="J13" s="168"/>
    </row>
    <row r="14" spans="1:10" ht="20.100000000000001" customHeight="1">
      <c r="A14" s="72"/>
      <c r="E14" s="72"/>
      <c r="F14" s="139"/>
      <c r="G14" s="130">
        <f>I11</f>
        <v>37</v>
      </c>
      <c r="H14" s="169">
        <f>SUM(G14*13/3)</f>
        <v>160.33333333333334</v>
      </c>
      <c r="I14" s="130">
        <f>SUM(H14*12)</f>
        <v>1924</v>
      </c>
      <c r="J14" s="168"/>
    </row>
    <row r="15" spans="1:10" ht="20.100000000000001" customHeight="1">
      <c r="A15" s="72"/>
      <c r="E15" s="72"/>
      <c r="F15" s="139"/>
      <c r="G15" s="72"/>
      <c r="H15" s="174"/>
      <c r="I15" s="72"/>
      <c r="J15" s="168"/>
    </row>
    <row r="16" spans="1:10" ht="20.100000000000001" customHeight="1">
      <c r="A16" s="72"/>
      <c r="E16" s="72"/>
      <c r="F16" s="139"/>
      <c r="G16" s="72"/>
      <c r="H16" s="174"/>
      <c r="I16" s="72"/>
      <c r="J16" s="168"/>
    </row>
    <row r="17" spans="1:10" ht="20.100000000000001" customHeight="1">
      <c r="A17" s="72"/>
      <c r="E17" s="72"/>
      <c r="F17" s="139"/>
      <c r="G17" s="72"/>
      <c r="H17" s="174"/>
      <c r="I17" s="72"/>
      <c r="J17" s="168"/>
    </row>
    <row r="18" spans="1:10" ht="20.100000000000001" customHeight="1">
      <c r="A18" s="72"/>
      <c r="E18" s="72"/>
      <c r="F18" s="139"/>
      <c r="G18" s="72"/>
      <c r="H18" s="174"/>
      <c r="I18" s="72"/>
      <c r="J18" s="168"/>
    </row>
    <row r="19" spans="1:10" ht="20.100000000000001" customHeight="1">
      <c r="A19" s="72"/>
      <c r="E19" s="72"/>
      <c r="F19" s="139"/>
      <c r="G19" s="72"/>
      <c r="H19" s="174"/>
      <c r="I19" s="72"/>
      <c r="J19" s="168"/>
    </row>
    <row r="20" spans="1:10" ht="20.100000000000001" customHeight="1">
      <c r="A20" s="72"/>
      <c r="E20" s="72"/>
      <c r="F20" s="139"/>
      <c r="G20" s="72"/>
      <c r="H20" s="174"/>
      <c r="I20" s="72"/>
      <c r="J20" s="168"/>
    </row>
    <row r="21" spans="1:10" ht="20.100000000000001" customHeight="1">
      <c r="A21" s="72"/>
      <c r="E21" s="72"/>
      <c r="F21" s="139"/>
      <c r="G21" s="72"/>
      <c r="H21" s="174"/>
      <c r="I21" s="72"/>
      <c r="J21" s="168"/>
    </row>
    <row r="22" spans="1:10" ht="20.100000000000001" customHeight="1">
      <c r="A22" s="72"/>
      <c r="E22" s="72"/>
      <c r="F22" s="139"/>
      <c r="G22" s="72"/>
      <c r="H22" s="174"/>
      <c r="I22" s="72"/>
      <c r="J22" s="168"/>
    </row>
    <row r="23" spans="1:10" ht="20.100000000000001" customHeight="1">
      <c r="A23" s="72"/>
      <c r="E23" s="72"/>
      <c r="F23" s="139"/>
      <c r="G23" s="72"/>
      <c r="H23" s="174"/>
      <c r="I23" s="72"/>
      <c r="J23" s="168"/>
    </row>
    <row r="24" spans="1:10" ht="20.100000000000001" customHeight="1">
      <c r="A24" s="72"/>
      <c r="E24" s="72"/>
      <c r="F24" s="139"/>
      <c r="G24" s="72"/>
      <c r="H24" s="174"/>
      <c r="I24" s="72"/>
      <c r="J24" s="168"/>
    </row>
    <row r="25" spans="1:10" ht="20.100000000000001" customHeight="1">
      <c r="A25" s="72"/>
      <c r="E25" s="72"/>
      <c r="F25" s="139"/>
      <c r="G25" s="72"/>
      <c r="H25" s="174"/>
      <c r="I25" s="72"/>
      <c r="J25" s="168"/>
    </row>
    <row r="26" spans="1:10" ht="20.100000000000001" customHeight="1">
      <c r="A26" s="72"/>
      <c r="E26" s="72"/>
      <c r="F26" s="139"/>
      <c r="G26" s="72"/>
      <c r="H26" s="174"/>
      <c r="I26" s="72"/>
      <c r="J26" s="168"/>
    </row>
    <row r="27" spans="1:10" ht="20.100000000000001" customHeight="1">
      <c r="A27" s="72"/>
      <c r="E27" s="72"/>
      <c r="F27" s="139"/>
      <c r="G27" s="72"/>
      <c r="H27" s="174"/>
      <c r="I27" s="72"/>
      <c r="J27" s="168"/>
    </row>
    <row r="28" spans="1:10" ht="20.100000000000001" customHeight="1">
      <c r="A28" s="72"/>
      <c r="E28" s="72"/>
      <c r="F28" s="139"/>
      <c r="G28" s="72"/>
      <c r="H28" s="174"/>
      <c r="I28" s="72"/>
      <c r="J28" s="168"/>
    </row>
    <row r="29" spans="1:10" ht="20.100000000000001" customHeight="1">
      <c r="A29" s="72"/>
      <c r="E29" s="72"/>
      <c r="F29" s="139"/>
      <c r="G29" s="72"/>
      <c r="H29" s="174"/>
      <c r="I29" s="72"/>
      <c r="J29" s="168"/>
    </row>
    <row r="30" spans="1:10" ht="20.100000000000001" customHeight="1">
      <c r="A30" s="72"/>
      <c r="E30" s="72"/>
      <c r="F30" s="139"/>
      <c r="G30" s="72"/>
      <c r="H30" s="174"/>
      <c r="I30" s="72"/>
      <c r="J30" s="168"/>
    </row>
    <row r="31" spans="1:10" ht="20.100000000000001" customHeight="1">
      <c r="A31" s="72"/>
      <c r="E31" s="72"/>
      <c r="F31" s="139"/>
      <c r="G31" s="72"/>
      <c r="H31" s="174"/>
      <c r="I31" s="72"/>
      <c r="J31" s="168"/>
    </row>
    <row r="32" spans="1:10" ht="20.100000000000001" customHeight="1">
      <c r="A32" s="72"/>
      <c r="E32" s="72"/>
      <c r="F32" s="139"/>
      <c r="G32" s="72"/>
      <c r="H32" s="174"/>
      <c r="I32" s="72"/>
      <c r="J32" s="168"/>
    </row>
    <row r="33" spans="1:10" ht="20.100000000000001" customHeight="1">
      <c r="A33" s="1" t="s">
        <v>14</v>
      </c>
      <c r="B33" s="1"/>
      <c r="D33" s="2"/>
      <c r="E33" s="2"/>
    </row>
    <row r="34" spans="1:10" ht="18" customHeight="1">
      <c r="A34" s="23" t="s">
        <v>15</v>
      </c>
      <c r="B34" s="24" t="s">
        <v>2</v>
      </c>
      <c r="C34" s="25" t="s">
        <v>3</v>
      </c>
      <c r="D34" s="25" t="s">
        <v>4</v>
      </c>
      <c r="E34" s="25" t="s">
        <v>5</v>
      </c>
      <c r="F34" s="25" t="s">
        <v>6</v>
      </c>
      <c r="G34" s="25" t="s">
        <v>7</v>
      </c>
      <c r="H34" s="26" t="s">
        <v>8</v>
      </c>
      <c r="I34" s="27" t="s">
        <v>9</v>
      </c>
      <c r="J34" s="28" t="s">
        <v>10</v>
      </c>
    </row>
    <row r="35" spans="1:10" ht="18" customHeight="1">
      <c r="A35" s="175" t="s">
        <v>28</v>
      </c>
      <c r="B35" s="5" t="s">
        <v>159</v>
      </c>
      <c r="C35" s="5" t="s">
        <v>159</v>
      </c>
      <c r="D35" s="5" t="s">
        <v>159</v>
      </c>
      <c r="E35" s="5" t="s">
        <v>159</v>
      </c>
      <c r="F35" s="5" t="s">
        <v>159</v>
      </c>
      <c r="G35" s="5" t="s">
        <v>160</v>
      </c>
      <c r="H35" s="5" t="s">
        <v>160</v>
      </c>
      <c r="I35" s="170"/>
      <c r="J35" s="176" t="s">
        <v>161</v>
      </c>
    </row>
    <row r="36" spans="1:10" ht="18" customHeight="1">
      <c r="A36" s="177" t="s">
        <v>162</v>
      </c>
      <c r="B36" s="178">
        <v>8.25</v>
      </c>
      <c r="C36" s="178">
        <v>8.25</v>
      </c>
      <c r="D36" s="125">
        <v>8.25</v>
      </c>
      <c r="E36" s="125">
        <v>8.25</v>
      </c>
      <c r="F36" s="125">
        <v>8.25</v>
      </c>
      <c r="G36" s="125">
        <v>12.25</v>
      </c>
      <c r="H36" s="125">
        <v>12.25</v>
      </c>
      <c r="I36" s="179">
        <f>SUM(B36:H36)</f>
        <v>65.75</v>
      </c>
      <c r="J36" s="180" t="s">
        <v>163</v>
      </c>
    </row>
    <row r="37" spans="1:10" ht="18" customHeight="1">
      <c r="A37" s="181" t="s">
        <v>149</v>
      </c>
      <c r="B37" s="182" t="s">
        <v>164</v>
      </c>
      <c r="C37" s="182" t="s">
        <v>164</v>
      </c>
      <c r="D37" s="182" t="s">
        <v>164</v>
      </c>
      <c r="E37" s="182" t="s">
        <v>164</v>
      </c>
      <c r="F37" s="182" t="s">
        <v>164</v>
      </c>
      <c r="G37" s="182" t="s">
        <v>165</v>
      </c>
      <c r="H37" s="182" t="s">
        <v>166</v>
      </c>
      <c r="I37" s="178"/>
      <c r="J37" s="183"/>
    </row>
    <row r="38" spans="1:10" ht="18" customHeight="1">
      <c r="A38" s="175" t="s">
        <v>28</v>
      </c>
      <c r="B38" s="30" t="s">
        <v>167</v>
      </c>
      <c r="C38" s="30" t="s">
        <v>167</v>
      </c>
      <c r="D38" s="30" t="s">
        <v>167</v>
      </c>
      <c r="E38" s="30" t="s">
        <v>167</v>
      </c>
      <c r="F38" s="30" t="s">
        <v>167</v>
      </c>
      <c r="G38" s="170"/>
      <c r="H38" s="170"/>
      <c r="I38" s="170"/>
      <c r="J38" s="184" t="s">
        <v>168</v>
      </c>
    </row>
    <row r="39" spans="1:10" ht="18" customHeight="1">
      <c r="A39" s="185" t="s">
        <v>169</v>
      </c>
      <c r="B39" s="172"/>
      <c r="C39" s="172"/>
      <c r="D39" s="172"/>
      <c r="E39" s="172"/>
      <c r="F39" s="172"/>
      <c r="G39" s="186"/>
      <c r="H39" s="186"/>
      <c r="I39" s="172">
        <f>SUM(B39:H39)</f>
        <v>0</v>
      </c>
      <c r="J39" s="187" t="s">
        <v>170</v>
      </c>
    </row>
    <row r="40" spans="1:10" ht="18" customHeight="1">
      <c r="A40" s="181" t="s">
        <v>149</v>
      </c>
      <c r="B40" s="182" t="s">
        <v>171</v>
      </c>
      <c r="C40" s="182" t="s">
        <v>171</v>
      </c>
      <c r="D40" s="182" t="s">
        <v>171</v>
      </c>
      <c r="E40" s="182" t="s">
        <v>171</v>
      </c>
      <c r="F40" s="182" t="s">
        <v>171</v>
      </c>
      <c r="G40" s="188"/>
      <c r="H40" s="188"/>
      <c r="I40" s="178"/>
      <c r="J40" s="183"/>
    </row>
    <row r="41" spans="1:10" ht="18" customHeight="1">
      <c r="A41" s="175" t="s">
        <v>28</v>
      </c>
      <c r="B41" s="5" t="s">
        <v>172</v>
      </c>
      <c r="C41" s="5" t="s">
        <v>172</v>
      </c>
      <c r="D41" s="5" t="s">
        <v>172</v>
      </c>
      <c r="E41" s="5" t="s">
        <v>172</v>
      </c>
      <c r="F41" s="5" t="s">
        <v>172</v>
      </c>
      <c r="G41" s="189"/>
      <c r="H41" s="189"/>
      <c r="I41" s="170"/>
      <c r="J41" s="184" t="s">
        <v>173</v>
      </c>
    </row>
    <row r="42" spans="1:10" ht="18" customHeight="1">
      <c r="A42" s="190" t="s">
        <v>174</v>
      </c>
      <c r="B42" s="172">
        <v>8.25</v>
      </c>
      <c r="C42" s="172">
        <v>8.25</v>
      </c>
      <c r="D42" s="172">
        <v>8.25</v>
      </c>
      <c r="E42" s="172">
        <v>8.25</v>
      </c>
      <c r="F42" s="172">
        <v>8.25</v>
      </c>
      <c r="G42" s="172"/>
      <c r="H42" s="172"/>
      <c r="I42" s="172">
        <f>SUM(B42:H42)</f>
        <v>41.25</v>
      </c>
      <c r="J42" s="187"/>
    </row>
    <row r="43" spans="1:10" ht="18" customHeight="1">
      <c r="A43" s="181" t="s">
        <v>149</v>
      </c>
      <c r="B43" s="182" t="s">
        <v>175</v>
      </c>
      <c r="C43" s="182" t="s">
        <v>175</v>
      </c>
      <c r="D43" s="182" t="s">
        <v>175</v>
      </c>
      <c r="E43" s="182" t="s">
        <v>175</v>
      </c>
      <c r="F43" s="182" t="s">
        <v>175</v>
      </c>
      <c r="G43" s="178"/>
      <c r="H43" s="178"/>
      <c r="I43" s="178"/>
      <c r="J43" s="183" t="s">
        <v>176</v>
      </c>
    </row>
    <row r="44" spans="1:10" ht="18" customHeight="1">
      <c r="A44" s="175" t="s">
        <v>28</v>
      </c>
      <c r="B44" s="5" t="s">
        <v>177</v>
      </c>
      <c r="C44" s="5" t="s">
        <v>177</v>
      </c>
      <c r="D44" s="5" t="s">
        <v>177</v>
      </c>
      <c r="E44" s="5" t="s">
        <v>177</v>
      </c>
      <c r="F44" s="5" t="s">
        <v>177</v>
      </c>
      <c r="G44" s="189" t="s">
        <v>178</v>
      </c>
      <c r="H44" s="189" t="s">
        <v>178</v>
      </c>
      <c r="I44" s="170"/>
      <c r="J44" s="46"/>
    </row>
    <row r="45" spans="1:10" ht="18" customHeight="1">
      <c r="A45" s="185" t="s">
        <v>179</v>
      </c>
      <c r="B45" s="172">
        <v>8</v>
      </c>
      <c r="C45" s="172">
        <v>8</v>
      </c>
      <c r="D45" s="172">
        <v>8</v>
      </c>
      <c r="E45" s="172">
        <v>8</v>
      </c>
      <c r="F45" s="172">
        <v>8</v>
      </c>
      <c r="G45" s="172">
        <v>12.25</v>
      </c>
      <c r="H45" s="172">
        <v>12.25</v>
      </c>
      <c r="I45" s="172">
        <f>SUM(B45:H45)</f>
        <v>64.5</v>
      </c>
      <c r="J45" s="191"/>
    </row>
    <row r="46" spans="1:10" ht="18" customHeight="1">
      <c r="A46" s="181" t="s">
        <v>149</v>
      </c>
      <c r="B46" s="182" t="s">
        <v>180</v>
      </c>
      <c r="C46" s="182" t="s">
        <v>180</v>
      </c>
      <c r="D46" s="182" t="s">
        <v>180</v>
      </c>
      <c r="E46" s="182" t="s">
        <v>180</v>
      </c>
      <c r="F46" s="182" t="s">
        <v>180</v>
      </c>
      <c r="G46" s="182" t="s">
        <v>181</v>
      </c>
      <c r="H46" s="182" t="s">
        <v>181</v>
      </c>
      <c r="I46" s="178"/>
      <c r="J46" s="136"/>
    </row>
    <row r="47" spans="1:10" ht="18" customHeight="1">
      <c r="A47" s="175" t="s">
        <v>28</v>
      </c>
      <c r="B47" s="30" t="s">
        <v>167</v>
      </c>
      <c r="C47" s="30" t="s">
        <v>167</v>
      </c>
      <c r="D47" s="30" t="s">
        <v>167</v>
      </c>
      <c r="E47" s="30" t="s">
        <v>167</v>
      </c>
      <c r="F47" s="30" t="s">
        <v>167</v>
      </c>
      <c r="G47" s="192"/>
      <c r="H47" s="170"/>
      <c r="I47" s="170"/>
      <c r="J47" s="46"/>
    </row>
    <row r="48" spans="1:10" ht="18" customHeight="1">
      <c r="A48" s="185" t="s">
        <v>182</v>
      </c>
      <c r="B48" s="130"/>
      <c r="C48" s="130"/>
      <c r="D48" s="130"/>
      <c r="E48" s="130"/>
      <c r="F48" s="130"/>
      <c r="G48" s="193"/>
      <c r="H48" s="186"/>
      <c r="I48" s="172">
        <f>SUM(B48:H48)</f>
        <v>0</v>
      </c>
      <c r="J48" s="191"/>
    </row>
    <row r="49" spans="1:10" ht="18" customHeight="1">
      <c r="A49" s="181" t="s">
        <v>149</v>
      </c>
      <c r="B49" s="182" t="s">
        <v>171</v>
      </c>
      <c r="C49" s="182" t="s">
        <v>171</v>
      </c>
      <c r="D49" s="182" t="s">
        <v>171</v>
      </c>
      <c r="E49" s="182" t="s">
        <v>171</v>
      </c>
      <c r="F49" s="182" t="s">
        <v>171</v>
      </c>
      <c r="G49" s="188"/>
      <c r="H49" s="188"/>
      <c r="I49" s="178" t="s">
        <v>28</v>
      </c>
      <c r="J49" s="136"/>
    </row>
    <row r="50" spans="1:10" ht="18" customHeight="1">
      <c r="A50" s="175" t="s">
        <v>28</v>
      </c>
      <c r="B50" s="5" t="s">
        <v>183</v>
      </c>
      <c r="C50" s="5" t="s">
        <v>183</v>
      </c>
      <c r="D50" s="5" t="s">
        <v>183</v>
      </c>
      <c r="E50" s="5" t="s">
        <v>183</v>
      </c>
      <c r="F50" s="5" t="s">
        <v>183</v>
      </c>
      <c r="G50" s="170"/>
      <c r="H50" s="170"/>
      <c r="I50" s="170"/>
      <c r="J50" s="46"/>
    </row>
    <row r="51" spans="1:10" ht="18" customHeight="1">
      <c r="A51" s="185" t="s">
        <v>184</v>
      </c>
      <c r="B51" s="172">
        <v>7.25</v>
      </c>
      <c r="C51" s="172">
        <v>7.25</v>
      </c>
      <c r="D51" s="172">
        <v>7.25</v>
      </c>
      <c r="E51" s="172">
        <v>7.25</v>
      </c>
      <c r="F51" s="172">
        <v>7.25</v>
      </c>
      <c r="G51" s="186"/>
      <c r="H51" s="193"/>
      <c r="I51" s="172">
        <f>SUM(B51:H51)</f>
        <v>36.25</v>
      </c>
      <c r="J51" s="191"/>
    </row>
    <row r="52" spans="1:10" ht="18" customHeight="1">
      <c r="A52" s="163" t="s">
        <v>149</v>
      </c>
      <c r="B52" s="165" t="s">
        <v>185</v>
      </c>
      <c r="C52" s="165" t="s">
        <v>185</v>
      </c>
      <c r="D52" s="165" t="s">
        <v>185</v>
      </c>
      <c r="E52" s="165" t="s">
        <v>185</v>
      </c>
      <c r="F52" s="165" t="s">
        <v>185</v>
      </c>
      <c r="G52" s="194"/>
      <c r="H52" s="195"/>
      <c r="I52" s="140"/>
      <c r="J52" s="49"/>
    </row>
    <row r="53" spans="1:10" ht="18" customHeight="1">
      <c r="A53" s="196" t="s">
        <v>30</v>
      </c>
      <c r="B53" s="197">
        <f t="shared" ref="B53:I53" si="0">SUM(B36,B39,B42,B45,B48,B51)</f>
        <v>31.75</v>
      </c>
      <c r="C53" s="197">
        <f t="shared" si="0"/>
        <v>31.75</v>
      </c>
      <c r="D53" s="197">
        <f t="shared" si="0"/>
        <v>31.75</v>
      </c>
      <c r="E53" s="197">
        <f t="shared" si="0"/>
        <v>31.75</v>
      </c>
      <c r="F53" s="197">
        <f t="shared" si="0"/>
        <v>31.75</v>
      </c>
      <c r="G53" s="197">
        <f t="shared" si="0"/>
        <v>24.5</v>
      </c>
      <c r="H53" s="197">
        <f t="shared" si="0"/>
        <v>24.5</v>
      </c>
      <c r="I53" s="197">
        <f t="shared" si="0"/>
        <v>207.75</v>
      </c>
      <c r="J53" s="198"/>
    </row>
    <row r="54" spans="1:10" ht="18" customHeight="1">
      <c r="A54" s="60" t="s">
        <v>31</v>
      </c>
      <c r="D54" s="2"/>
      <c r="E54" s="2"/>
    </row>
    <row r="55" spans="1:10" ht="18" customHeight="1">
      <c r="A55" s="23" t="s">
        <v>32</v>
      </c>
      <c r="B55" s="24" t="s">
        <v>2</v>
      </c>
      <c r="C55" s="25" t="s">
        <v>3</v>
      </c>
      <c r="D55" s="25" t="s">
        <v>4</v>
      </c>
      <c r="E55" s="25" t="s">
        <v>5</v>
      </c>
      <c r="F55" s="25" t="s">
        <v>6</v>
      </c>
      <c r="G55" s="25" t="s">
        <v>7</v>
      </c>
      <c r="H55" s="26" t="s">
        <v>8</v>
      </c>
      <c r="I55" s="27" t="s">
        <v>9</v>
      </c>
      <c r="J55" s="28" t="s">
        <v>10</v>
      </c>
    </row>
    <row r="56" spans="1:10" ht="18" customHeight="1">
      <c r="A56" s="29"/>
      <c r="B56" s="31" t="s">
        <v>33</v>
      </c>
      <c r="C56" s="31" t="s">
        <v>33</v>
      </c>
      <c r="D56" s="31" t="s">
        <v>33</v>
      </c>
      <c r="E56" s="31" t="s">
        <v>33</v>
      </c>
      <c r="F56" s="31" t="s">
        <v>34</v>
      </c>
      <c r="G56" s="31"/>
      <c r="H56" s="31"/>
      <c r="I56" s="170"/>
      <c r="J56" s="32"/>
    </row>
    <row r="57" spans="1:10" ht="18" customHeight="1">
      <c r="A57" s="171" t="s">
        <v>186</v>
      </c>
      <c r="B57" s="172">
        <v>7.75</v>
      </c>
      <c r="C57" s="172">
        <v>7.75</v>
      </c>
      <c r="D57" s="172">
        <v>7.75</v>
      </c>
      <c r="E57" s="172">
        <v>7.75</v>
      </c>
      <c r="F57" s="172">
        <v>6</v>
      </c>
      <c r="G57" s="172"/>
      <c r="H57" s="172"/>
      <c r="I57" s="172">
        <f>SUM(B57:H57)</f>
        <v>37</v>
      </c>
      <c r="J57" s="173"/>
    </row>
    <row r="58" spans="1:10" ht="18" customHeight="1">
      <c r="A58" s="181" t="s">
        <v>149</v>
      </c>
      <c r="B58" s="199" t="s">
        <v>157</v>
      </c>
      <c r="C58" s="199" t="s">
        <v>157</v>
      </c>
      <c r="D58" s="199" t="s">
        <v>157</v>
      </c>
      <c r="E58" s="199" t="s">
        <v>157</v>
      </c>
      <c r="F58" s="199" t="s">
        <v>158</v>
      </c>
      <c r="G58" s="178"/>
      <c r="H58" s="178"/>
      <c r="I58" s="178"/>
      <c r="J58" s="200"/>
    </row>
    <row r="59" spans="1:10" ht="18" customHeight="1">
      <c r="A59" s="29"/>
      <c r="B59" s="31" t="s">
        <v>33</v>
      </c>
      <c r="C59" s="31" t="s">
        <v>33</v>
      </c>
      <c r="D59" s="31" t="s">
        <v>33</v>
      </c>
      <c r="E59" s="31" t="s">
        <v>33</v>
      </c>
      <c r="F59" s="31" t="s">
        <v>34</v>
      </c>
      <c r="G59" s="31"/>
      <c r="H59" s="31"/>
      <c r="I59" s="170"/>
      <c r="J59" s="32"/>
    </row>
    <row r="60" spans="1:10" ht="18" customHeight="1">
      <c r="A60" s="171" t="s">
        <v>187</v>
      </c>
      <c r="B60" s="172">
        <v>7.75</v>
      </c>
      <c r="C60" s="172">
        <v>7.75</v>
      </c>
      <c r="D60" s="172">
        <v>7.75</v>
      </c>
      <c r="E60" s="172">
        <v>7.75</v>
      </c>
      <c r="F60" s="172">
        <v>6</v>
      </c>
      <c r="G60" s="172"/>
      <c r="H60" s="172"/>
      <c r="I60" s="172">
        <f>SUM(B60:H60)</f>
        <v>37</v>
      </c>
      <c r="J60" s="173"/>
    </row>
    <row r="61" spans="1:10" ht="18" customHeight="1">
      <c r="A61" s="181" t="s">
        <v>149</v>
      </c>
      <c r="B61" s="199" t="s">
        <v>157</v>
      </c>
      <c r="C61" s="199" t="s">
        <v>157</v>
      </c>
      <c r="D61" s="199" t="s">
        <v>157</v>
      </c>
      <c r="E61" s="199" t="s">
        <v>157</v>
      </c>
      <c r="F61" s="199" t="s">
        <v>158</v>
      </c>
      <c r="G61" s="178"/>
      <c r="H61" s="178"/>
      <c r="I61" s="188"/>
      <c r="J61" s="200"/>
    </row>
    <row r="62" spans="1:10" ht="18" customHeight="1">
      <c r="A62" s="201"/>
      <c r="B62" s="31" t="s">
        <v>33</v>
      </c>
      <c r="C62" s="31" t="s">
        <v>33</v>
      </c>
      <c r="D62" s="31" t="s">
        <v>33</v>
      </c>
      <c r="E62" s="31" t="s">
        <v>33</v>
      </c>
      <c r="F62" s="31" t="s">
        <v>34</v>
      </c>
      <c r="G62" s="31"/>
      <c r="H62" s="31"/>
      <c r="I62" s="170"/>
      <c r="J62" s="32"/>
    </row>
    <row r="63" spans="1:10" ht="18" customHeight="1">
      <c r="A63" s="171" t="s">
        <v>188</v>
      </c>
      <c r="B63" s="172">
        <v>7.75</v>
      </c>
      <c r="C63" s="172">
        <v>7.75</v>
      </c>
      <c r="D63" s="172">
        <v>7.75</v>
      </c>
      <c r="E63" s="172">
        <v>7.75</v>
      </c>
      <c r="F63" s="172">
        <v>6</v>
      </c>
      <c r="G63" s="172"/>
      <c r="H63" s="172"/>
      <c r="I63" s="172">
        <f>SUM(B63:H63)</f>
        <v>37</v>
      </c>
      <c r="J63" s="173"/>
    </row>
    <row r="64" spans="1:10" ht="18" customHeight="1">
      <c r="A64" s="163" t="s">
        <v>149</v>
      </c>
      <c r="B64" s="164" t="s">
        <v>157</v>
      </c>
      <c r="C64" s="164" t="s">
        <v>157</v>
      </c>
      <c r="D64" s="164" t="s">
        <v>157</v>
      </c>
      <c r="E64" s="164" t="s">
        <v>157</v>
      </c>
      <c r="F64" s="164" t="s">
        <v>158</v>
      </c>
      <c r="G64" s="140"/>
      <c r="H64" s="140"/>
      <c r="I64" s="194"/>
      <c r="J64" s="142"/>
    </row>
    <row r="65" spans="1:10" ht="18" customHeight="1">
      <c r="A65" s="196" t="s">
        <v>30</v>
      </c>
      <c r="B65" s="202">
        <f t="shared" ref="B65:I65" si="1">SUM(B57,B60,B63)</f>
        <v>23.25</v>
      </c>
      <c r="C65" s="202">
        <f t="shared" si="1"/>
        <v>23.25</v>
      </c>
      <c r="D65" s="202">
        <f t="shared" si="1"/>
        <v>23.25</v>
      </c>
      <c r="E65" s="202">
        <f t="shared" si="1"/>
        <v>23.25</v>
      </c>
      <c r="F65" s="202">
        <f t="shared" si="1"/>
        <v>18</v>
      </c>
      <c r="G65" s="202">
        <f t="shared" si="1"/>
        <v>0</v>
      </c>
      <c r="H65" s="202">
        <f t="shared" si="1"/>
        <v>0</v>
      </c>
      <c r="I65" s="197">
        <f t="shared" si="1"/>
        <v>111</v>
      </c>
      <c r="J65" s="203"/>
    </row>
    <row r="66" spans="1:10" ht="18" customHeight="1">
      <c r="A66" s="72"/>
      <c r="B66" s="72"/>
      <c r="C66" s="72"/>
      <c r="D66" s="72"/>
      <c r="E66" s="72"/>
      <c r="F66" s="72"/>
      <c r="G66" s="204" t="s">
        <v>152</v>
      </c>
      <c r="H66" s="204" t="s">
        <v>153</v>
      </c>
      <c r="I66" s="204" t="s">
        <v>154</v>
      </c>
      <c r="J66" s="73"/>
    </row>
    <row r="67" spans="1:10" ht="18" customHeight="1">
      <c r="A67" s="72"/>
      <c r="B67" s="72"/>
      <c r="C67" s="72"/>
      <c r="D67" s="72"/>
      <c r="E67" s="72"/>
      <c r="F67" s="72"/>
      <c r="G67" s="130">
        <f>I53+I65</f>
        <v>318.75</v>
      </c>
      <c r="H67" s="169">
        <f>SUM(G67*13/3)</f>
        <v>1381.25</v>
      </c>
      <c r="I67" s="130">
        <f>SUM(H67*12)</f>
        <v>16575</v>
      </c>
      <c r="J67" s="73"/>
    </row>
    <row r="68" spans="1:10" ht="18" customHeight="1">
      <c r="A68" s="72"/>
      <c r="B68" s="72"/>
      <c r="C68" s="72"/>
      <c r="D68" s="72"/>
      <c r="E68" s="72"/>
      <c r="F68" s="72"/>
      <c r="G68" s="72"/>
      <c r="H68" s="174"/>
      <c r="I68" s="72"/>
      <c r="J68" s="73"/>
    </row>
    <row r="69" spans="1:10" ht="17.45" customHeight="1">
      <c r="A69" s="1" t="s">
        <v>189</v>
      </c>
      <c r="B69" s="72"/>
      <c r="C69" s="72"/>
      <c r="D69" s="72"/>
      <c r="E69" s="72"/>
      <c r="F69" s="72"/>
    </row>
    <row r="70" spans="1:10" ht="17.45" customHeight="1">
      <c r="A70" s="205" t="s">
        <v>190</v>
      </c>
      <c r="B70" s="24" t="s">
        <v>2</v>
      </c>
      <c r="C70" s="25" t="s">
        <v>3</v>
      </c>
      <c r="D70" s="25" t="s">
        <v>4</v>
      </c>
      <c r="E70" s="25" t="s">
        <v>5</v>
      </c>
      <c r="F70" s="25" t="s">
        <v>6</v>
      </c>
      <c r="G70" s="25" t="s">
        <v>7</v>
      </c>
      <c r="H70" s="206" t="s">
        <v>8</v>
      </c>
      <c r="I70" s="207" t="s">
        <v>9</v>
      </c>
      <c r="J70" s="208" t="s">
        <v>10</v>
      </c>
    </row>
    <row r="71" spans="1:10" ht="17.45" customHeight="1">
      <c r="A71" s="209"/>
      <c r="B71" s="210" t="s">
        <v>191</v>
      </c>
      <c r="C71" s="210" t="s">
        <v>191</v>
      </c>
      <c r="D71" s="210" t="s">
        <v>191</v>
      </c>
      <c r="E71" s="210" t="s">
        <v>191</v>
      </c>
      <c r="F71" s="210" t="s">
        <v>191</v>
      </c>
      <c r="G71" s="211" t="s">
        <v>192</v>
      </c>
      <c r="H71" s="211" t="s">
        <v>192</v>
      </c>
      <c r="I71" s="212"/>
      <c r="J71" s="213"/>
    </row>
    <row r="72" spans="1:10" ht="17.45" customHeight="1">
      <c r="A72" s="214" t="s">
        <v>193</v>
      </c>
      <c r="B72" s="215" t="s">
        <v>194</v>
      </c>
      <c r="C72" s="215" t="s">
        <v>194</v>
      </c>
      <c r="D72" s="215" t="s">
        <v>194</v>
      </c>
      <c r="E72" s="215" t="s">
        <v>194</v>
      </c>
      <c r="F72" s="215" t="s">
        <v>194</v>
      </c>
      <c r="G72" s="216" t="s">
        <v>195</v>
      </c>
      <c r="H72" s="216" t="s">
        <v>195</v>
      </c>
      <c r="I72" s="217"/>
      <c r="J72" s="218"/>
    </row>
    <row r="73" spans="1:10" ht="17.45" customHeight="1">
      <c r="A73" s="95" t="s">
        <v>43</v>
      </c>
      <c r="B73" s="219">
        <v>8.25</v>
      </c>
      <c r="C73" s="219">
        <v>8.25</v>
      </c>
      <c r="D73" s="219">
        <v>8.25</v>
      </c>
      <c r="E73" s="219">
        <v>8.25</v>
      </c>
      <c r="F73" s="219">
        <v>8.25</v>
      </c>
      <c r="G73" s="220">
        <v>12.25</v>
      </c>
      <c r="H73" s="220">
        <v>12.25</v>
      </c>
      <c r="I73" s="17">
        <f>SUM(B73:H73)</f>
        <v>65.75</v>
      </c>
      <c r="J73" s="221" t="s">
        <v>196</v>
      </c>
    </row>
    <row r="74" spans="1:10" ht="17.45" customHeight="1">
      <c r="A74" s="209"/>
      <c r="B74" s="222" t="s">
        <v>197</v>
      </c>
      <c r="C74" s="222" t="s">
        <v>197</v>
      </c>
      <c r="D74" s="222" t="s">
        <v>197</v>
      </c>
      <c r="E74" s="222" t="s">
        <v>197</v>
      </c>
      <c r="F74" s="222" t="s">
        <v>197</v>
      </c>
      <c r="G74" s="223" t="s">
        <v>198</v>
      </c>
      <c r="H74" s="224" t="s">
        <v>198</v>
      </c>
      <c r="I74" s="207"/>
      <c r="J74" s="213"/>
    </row>
    <row r="75" spans="1:10" ht="17.45" customHeight="1">
      <c r="A75" s="214" t="s">
        <v>193</v>
      </c>
      <c r="B75" s="225" t="s">
        <v>199</v>
      </c>
      <c r="C75" s="225" t="s">
        <v>199</v>
      </c>
      <c r="D75" s="225" t="s">
        <v>199</v>
      </c>
      <c r="E75" s="225" t="s">
        <v>199</v>
      </c>
      <c r="F75" s="225" t="s">
        <v>199</v>
      </c>
      <c r="G75" s="226" t="s">
        <v>200</v>
      </c>
      <c r="H75" s="226" t="s">
        <v>200</v>
      </c>
      <c r="I75" s="227"/>
      <c r="J75" s="218"/>
    </row>
    <row r="76" spans="1:10" ht="17.45" customHeight="1">
      <c r="A76" s="95" t="s">
        <v>201</v>
      </c>
      <c r="B76" s="91">
        <v>7</v>
      </c>
      <c r="C76" s="91">
        <v>7</v>
      </c>
      <c r="D76" s="91">
        <v>7</v>
      </c>
      <c r="E76" s="91">
        <v>7</v>
      </c>
      <c r="F76" s="91">
        <v>7</v>
      </c>
      <c r="G76" s="228">
        <v>11</v>
      </c>
      <c r="H76" s="229">
        <v>11</v>
      </c>
      <c r="I76" s="17">
        <f>SUM(B76:H76)</f>
        <v>57</v>
      </c>
      <c r="J76" s="221" t="s">
        <v>202</v>
      </c>
    </row>
    <row r="77" spans="1:10" ht="17.45" customHeight="1">
      <c r="A77" s="209"/>
      <c r="B77" s="230" t="s">
        <v>203</v>
      </c>
      <c r="C77" s="230" t="s">
        <v>203</v>
      </c>
      <c r="D77" s="230" t="s">
        <v>203</v>
      </c>
      <c r="E77" s="230" t="s">
        <v>203</v>
      </c>
      <c r="F77" s="230" t="s">
        <v>203</v>
      </c>
      <c r="G77" s="224" t="s">
        <v>204</v>
      </c>
      <c r="H77" s="224" t="s">
        <v>204</v>
      </c>
      <c r="I77" s="207"/>
      <c r="J77" s="213"/>
    </row>
    <row r="78" spans="1:10" ht="17.45" customHeight="1">
      <c r="A78" s="214" t="s">
        <v>193</v>
      </c>
      <c r="B78" s="231" t="s">
        <v>205</v>
      </c>
      <c r="C78" s="231" t="s">
        <v>205</v>
      </c>
      <c r="D78" s="231" t="s">
        <v>205</v>
      </c>
      <c r="E78" s="231" t="s">
        <v>205</v>
      </c>
      <c r="F78" s="231" t="s">
        <v>205</v>
      </c>
      <c r="G78" s="232" t="s">
        <v>206</v>
      </c>
      <c r="H78" s="232" t="s">
        <v>206</v>
      </c>
      <c r="I78" s="227"/>
      <c r="J78" s="218"/>
    </row>
    <row r="79" spans="1:10" ht="17.45" customHeight="1">
      <c r="A79" s="95" t="s">
        <v>207</v>
      </c>
      <c r="B79" s="233">
        <v>8</v>
      </c>
      <c r="C79" s="233">
        <v>8</v>
      </c>
      <c r="D79" s="233">
        <v>8</v>
      </c>
      <c r="E79" s="233">
        <v>8</v>
      </c>
      <c r="F79" s="233">
        <v>8</v>
      </c>
      <c r="G79" s="228">
        <v>12</v>
      </c>
      <c r="H79" s="228">
        <v>12</v>
      </c>
      <c r="I79" s="17">
        <f>SUM(B79:H79)</f>
        <v>64</v>
      </c>
      <c r="J79" s="221" t="s">
        <v>208</v>
      </c>
    </row>
    <row r="80" spans="1:10" ht="17.45" customHeight="1">
      <c r="A80" s="209"/>
      <c r="B80" s="30" t="s">
        <v>16</v>
      </c>
      <c r="C80" s="30" t="s">
        <v>16</v>
      </c>
      <c r="D80" s="30" t="s">
        <v>16</v>
      </c>
      <c r="E80" s="30" t="s">
        <v>16</v>
      </c>
      <c r="F80" s="30" t="s">
        <v>16</v>
      </c>
      <c r="G80" s="234"/>
      <c r="H80" s="235"/>
      <c r="I80" s="236"/>
      <c r="J80" s="213"/>
    </row>
    <row r="81" spans="1:10" ht="17.45" customHeight="1">
      <c r="A81" s="214" t="s">
        <v>193</v>
      </c>
      <c r="B81" s="124"/>
      <c r="C81" s="124"/>
      <c r="D81" s="124"/>
      <c r="E81" s="124"/>
      <c r="F81" s="124"/>
      <c r="G81" s="139"/>
      <c r="H81" s="139"/>
      <c r="I81" s="144"/>
      <c r="J81" s="218"/>
    </row>
    <row r="82" spans="1:10" ht="17.45" customHeight="1">
      <c r="A82" s="95" t="s">
        <v>209</v>
      </c>
      <c r="B82" s="34"/>
      <c r="C82" s="34"/>
      <c r="D82" s="34"/>
      <c r="E82" s="34"/>
      <c r="F82" s="34"/>
      <c r="G82" s="18"/>
      <c r="H82" s="237"/>
      <c r="I82" s="17">
        <f>SUM(B82:H82)</f>
        <v>0</v>
      </c>
      <c r="J82" s="221" t="s">
        <v>210</v>
      </c>
    </row>
    <row r="83" spans="1:10" ht="17.45" customHeight="1">
      <c r="A83" s="209"/>
      <c r="B83" s="30" t="s">
        <v>16</v>
      </c>
      <c r="C83" s="30" t="s">
        <v>16</v>
      </c>
      <c r="D83" s="30" t="s">
        <v>16</v>
      </c>
      <c r="E83" s="30" t="s">
        <v>16</v>
      </c>
      <c r="F83" s="30" t="s">
        <v>16</v>
      </c>
      <c r="G83" s="207"/>
      <c r="H83" s="238"/>
      <c r="I83" s="207"/>
      <c r="J83" s="213"/>
    </row>
    <row r="84" spans="1:10" ht="17.45" customHeight="1">
      <c r="A84" s="214" t="s">
        <v>193</v>
      </c>
      <c r="B84" s="124"/>
      <c r="C84" s="124"/>
      <c r="D84" s="124"/>
      <c r="E84" s="124"/>
      <c r="F84" s="124"/>
      <c r="G84" s="227"/>
      <c r="H84" s="239"/>
      <c r="I84" s="227"/>
      <c r="J84" s="218"/>
    </row>
    <row r="85" spans="1:10" ht="17.45" customHeight="1">
      <c r="A85" s="95" t="s">
        <v>211</v>
      </c>
      <c r="B85" s="34"/>
      <c r="C85" s="34"/>
      <c r="D85" s="34"/>
      <c r="E85" s="34"/>
      <c r="F85" s="34"/>
      <c r="G85" s="138"/>
      <c r="H85" s="240"/>
      <c r="I85" s="17">
        <f>SUM(B85:H85)</f>
        <v>0</v>
      </c>
      <c r="J85" s="221" t="s">
        <v>212</v>
      </c>
    </row>
    <row r="86" spans="1:10" ht="17.45" customHeight="1">
      <c r="A86" s="205"/>
      <c r="B86" s="30" t="s">
        <v>16</v>
      </c>
      <c r="C86" s="30" t="s">
        <v>16</v>
      </c>
      <c r="D86" s="30" t="s">
        <v>16</v>
      </c>
      <c r="E86" s="30" t="s">
        <v>16</v>
      </c>
      <c r="F86" s="30" t="s">
        <v>16</v>
      </c>
      <c r="G86" s="241" t="s">
        <v>213</v>
      </c>
      <c r="H86" s="242" t="s">
        <v>214</v>
      </c>
      <c r="I86" s="207"/>
      <c r="J86" s="243"/>
    </row>
    <row r="87" spans="1:10" ht="17.45" customHeight="1">
      <c r="A87" s="214" t="s">
        <v>193</v>
      </c>
      <c r="B87" s="124"/>
      <c r="C87" s="124"/>
      <c r="D87" s="124"/>
      <c r="E87" s="124"/>
      <c r="F87" s="124"/>
      <c r="G87" s="244" t="s">
        <v>215</v>
      </c>
      <c r="H87" s="244" t="s">
        <v>215</v>
      </c>
      <c r="I87" s="227"/>
      <c r="J87" s="245"/>
    </row>
    <row r="88" spans="1:10" ht="17.45" customHeight="1">
      <c r="A88" s="95" t="s">
        <v>216</v>
      </c>
      <c r="B88" s="34"/>
      <c r="C88" s="34"/>
      <c r="D88" s="34"/>
      <c r="E88" s="34"/>
      <c r="F88" s="34"/>
      <c r="G88" s="246">
        <v>12.25</v>
      </c>
      <c r="H88" s="247">
        <v>12.25</v>
      </c>
      <c r="I88" s="17">
        <f>SUM(B88:H88)</f>
        <v>24.5</v>
      </c>
      <c r="J88" s="221" t="s">
        <v>217</v>
      </c>
    </row>
    <row r="89" spans="1:10" ht="17.45" customHeight="1">
      <c r="A89" s="209"/>
      <c r="B89" s="248" t="s">
        <v>218</v>
      </c>
      <c r="C89" s="248" t="s">
        <v>218</v>
      </c>
      <c r="D89" s="248" t="s">
        <v>218</v>
      </c>
      <c r="E89" s="248" t="s">
        <v>218</v>
      </c>
      <c r="F89" s="248" t="s">
        <v>219</v>
      </c>
      <c r="G89" s="241" t="s">
        <v>220</v>
      </c>
      <c r="H89" s="242" t="s">
        <v>220</v>
      </c>
      <c r="I89" s="207"/>
      <c r="J89" s="213"/>
    </row>
    <row r="90" spans="1:10" ht="17.45" customHeight="1">
      <c r="A90" s="214" t="s">
        <v>193</v>
      </c>
      <c r="B90" s="249" t="s">
        <v>221</v>
      </c>
      <c r="C90" s="249" t="s">
        <v>221</v>
      </c>
      <c r="D90" s="249" t="s">
        <v>221</v>
      </c>
      <c r="E90" s="249" t="s">
        <v>221</v>
      </c>
      <c r="F90" s="249" t="s">
        <v>222</v>
      </c>
      <c r="G90" s="244" t="s">
        <v>223</v>
      </c>
      <c r="H90" s="244" t="s">
        <v>223</v>
      </c>
      <c r="I90" s="227"/>
      <c r="J90" s="218"/>
    </row>
    <row r="91" spans="1:10" ht="17.45" customHeight="1">
      <c r="A91" s="95" t="s">
        <v>61</v>
      </c>
      <c r="B91" s="250">
        <v>7</v>
      </c>
      <c r="C91" s="250">
        <v>7</v>
      </c>
      <c r="D91" s="250">
        <v>7</v>
      </c>
      <c r="E91" s="250">
        <v>7</v>
      </c>
      <c r="F91" s="250">
        <v>6.5</v>
      </c>
      <c r="G91" s="246">
        <v>12</v>
      </c>
      <c r="H91" s="247">
        <v>12</v>
      </c>
      <c r="I91" s="17">
        <f>SUM(B91:H91)</f>
        <v>58.5</v>
      </c>
      <c r="J91" s="221" t="s">
        <v>224</v>
      </c>
    </row>
    <row r="92" spans="1:10" ht="17.45" customHeight="1">
      <c r="A92" s="209"/>
      <c r="B92" s="251" t="s">
        <v>225</v>
      </c>
      <c r="C92" s="251" t="s">
        <v>225</v>
      </c>
      <c r="D92" s="251" t="s">
        <v>225</v>
      </c>
      <c r="E92" s="251" t="s">
        <v>225</v>
      </c>
      <c r="F92" s="251" t="s">
        <v>225</v>
      </c>
      <c r="G92" s="241" t="s">
        <v>226</v>
      </c>
      <c r="H92" s="242" t="s">
        <v>220</v>
      </c>
      <c r="I92" s="252"/>
      <c r="J92" s="213"/>
    </row>
    <row r="93" spans="1:10" ht="17.45" customHeight="1">
      <c r="A93" s="214" t="s">
        <v>193</v>
      </c>
      <c r="B93" s="253" t="s">
        <v>227</v>
      </c>
      <c r="C93" s="253" t="s">
        <v>227</v>
      </c>
      <c r="D93" s="253" t="s">
        <v>227</v>
      </c>
      <c r="E93" s="253" t="s">
        <v>227</v>
      </c>
      <c r="F93" s="253" t="s">
        <v>227</v>
      </c>
      <c r="G93" s="244" t="s">
        <v>228</v>
      </c>
      <c r="H93" s="254" t="s">
        <v>223</v>
      </c>
      <c r="I93" s="124"/>
      <c r="J93" s="218"/>
    </row>
    <row r="94" spans="1:10" ht="17.45" customHeight="1">
      <c r="A94" s="95" t="s">
        <v>229</v>
      </c>
      <c r="B94" s="255">
        <v>7</v>
      </c>
      <c r="C94" s="255">
        <v>7</v>
      </c>
      <c r="D94" s="255">
        <v>7</v>
      </c>
      <c r="E94" s="255">
        <v>7</v>
      </c>
      <c r="F94" s="255">
        <v>7</v>
      </c>
      <c r="G94" s="256">
        <v>9</v>
      </c>
      <c r="H94" s="247">
        <v>12</v>
      </c>
      <c r="I94" s="17">
        <f>SUM(B94:H94)</f>
        <v>56</v>
      </c>
      <c r="J94" s="221" t="s">
        <v>230</v>
      </c>
    </row>
    <row r="95" spans="1:10" ht="17.45" customHeight="1">
      <c r="A95" s="209"/>
      <c r="B95" s="257" t="s">
        <v>231</v>
      </c>
      <c r="C95" s="257" t="s">
        <v>231</v>
      </c>
      <c r="D95" s="257" t="s">
        <v>231</v>
      </c>
      <c r="E95" s="257" t="s">
        <v>231</v>
      </c>
      <c r="F95" s="257" t="s">
        <v>231</v>
      </c>
      <c r="G95" s="24"/>
      <c r="H95" s="258"/>
      <c r="I95" s="207"/>
      <c r="J95" s="213"/>
    </row>
    <row r="96" spans="1:10" ht="17.45" customHeight="1">
      <c r="A96" s="214" t="s">
        <v>193</v>
      </c>
      <c r="B96" s="259" t="s">
        <v>232</v>
      </c>
      <c r="C96" s="259" t="s">
        <v>232</v>
      </c>
      <c r="D96" s="259" t="s">
        <v>232</v>
      </c>
      <c r="E96" s="259" t="s">
        <v>232</v>
      </c>
      <c r="F96" s="259" t="s">
        <v>232</v>
      </c>
      <c r="G96" s="260"/>
      <c r="H96" s="261"/>
      <c r="I96" s="227"/>
      <c r="J96" s="218"/>
    </row>
    <row r="97" spans="1:10" ht="17.45" customHeight="1">
      <c r="A97" s="95" t="s">
        <v>233</v>
      </c>
      <c r="B97" s="262">
        <v>8</v>
      </c>
      <c r="C97" s="262">
        <v>8</v>
      </c>
      <c r="D97" s="262">
        <v>8</v>
      </c>
      <c r="E97" s="262">
        <v>8</v>
      </c>
      <c r="F97" s="262">
        <v>8</v>
      </c>
      <c r="G97" s="17"/>
      <c r="H97" s="263"/>
      <c r="I97" s="17">
        <f>SUM(B97:H97)</f>
        <v>40</v>
      </c>
      <c r="J97" s="221" t="s">
        <v>234</v>
      </c>
    </row>
    <row r="98" spans="1:10" ht="17.45" customHeight="1">
      <c r="A98" s="209"/>
      <c r="B98" s="30" t="s">
        <v>16</v>
      </c>
      <c r="C98" s="30" t="s">
        <v>16</v>
      </c>
      <c r="D98" s="30" t="s">
        <v>16</v>
      </c>
      <c r="E98" s="30" t="s">
        <v>16</v>
      </c>
      <c r="F98" s="30" t="s">
        <v>16</v>
      </c>
      <c r="G98" s="234"/>
      <c r="H98" s="235"/>
      <c r="I98" s="212"/>
      <c r="J98" s="213"/>
    </row>
    <row r="99" spans="1:10" ht="17.45" customHeight="1">
      <c r="A99" s="214" t="s">
        <v>193</v>
      </c>
      <c r="B99" s="124"/>
      <c r="C99" s="124"/>
      <c r="D99" s="124"/>
      <c r="E99" s="124"/>
      <c r="F99" s="124"/>
      <c r="G99" s="139"/>
      <c r="H99" s="125"/>
      <c r="I99" s="217"/>
      <c r="J99" s="218"/>
    </row>
    <row r="100" spans="1:10" ht="17.45" customHeight="1">
      <c r="A100" s="95" t="s">
        <v>235</v>
      </c>
      <c r="B100" s="133"/>
      <c r="C100" s="133"/>
      <c r="D100" s="133"/>
      <c r="E100" s="133"/>
      <c r="F100" s="133"/>
      <c r="G100" s="18"/>
      <c r="H100" s="237"/>
      <c r="I100" s="17">
        <f>SUM(B100:H100)</f>
        <v>0</v>
      </c>
      <c r="J100" s="221" t="s">
        <v>236</v>
      </c>
    </row>
    <row r="101" spans="1:10" ht="17.45" customHeight="1">
      <c r="A101" s="209"/>
      <c r="B101" s="30" t="s">
        <v>16</v>
      </c>
      <c r="C101" s="30" t="s">
        <v>16</v>
      </c>
      <c r="D101" s="30" t="s">
        <v>16</v>
      </c>
      <c r="E101" s="30" t="s">
        <v>16</v>
      </c>
      <c r="F101" s="30" t="s">
        <v>16</v>
      </c>
      <c r="G101" s="207"/>
      <c r="H101" s="238"/>
      <c r="I101" s="207"/>
      <c r="J101" s="213"/>
    </row>
    <row r="102" spans="1:10" ht="17.45" customHeight="1">
      <c r="A102" s="214" t="s">
        <v>193</v>
      </c>
      <c r="B102" s="124"/>
      <c r="C102" s="124"/>
      <c r="D102" s="124"/>
      <c r="E102" s="124"/>
      <c r="F102" s="124"/>
      <c r="G102" s="227"/>
      <c r="H102" s="239"/>
      <c r="I102" s="227"/>
      <c r="J102" s="218"/>
    </row>
    <row r="103" spans="1:10" ht="17.45" customHeight="1">
      <c r="A103" s="111" t="s">
        <v>237</v>
      </c>
      <c r="B103" s="133"/>
      <c r="C103" s="133"/>
      <c r="D103" s="34"/>
      <c r="E103" s="34"/>
      <c r="F103" s="34"/>
      <c r="G103" s="227"/>
      <c r="H103" s="239"/>
      <c r="I103" s="124">
        <f>SUM(B103:H103)</f>
        <v>0</v>
      </c>
      <c r="J103" s="264" t="s">
        <v>238</v>
      </c>
    </row>
    <row r="104" spans="1:10" ht="17.45" customHeight="1">
      <c r="A104" s="209" t="s">
        <v>28</v>
      </c>
      <c r="B104" s="265" t="s">
        <v>239</v>
      </c>
      <c r="C104" s="265" t="s">
        <v>239</v>
      </c>
      <c r="D104" s="265" t="s">
        <v>239</v>
      </c>
      <c r="E104" s="265" t="s">
        <v>239</v>
      </c>
      <c r="F104" s="265" t="s">
        <v>239</v>
      </c>
      <c r="G104" s="266"/>
      <c r="H104" s="238"/>
      <c r="I104" s="207"/>
      <c r="J104" s="213" t="s">
        <v>28</v>
      </c>
    </row>
    <row r="105" spans="1:10" ht="17.45" customHeight="1">
      <c r="A105" s="214" t="s">
        <v>193</v>
      </c>
      <c r="B105" s="267" t="s">
        <v>240</v>
      </c>
      <c r="C105" s="267" t="s">
        <v>240</v>
      </c>
      <c r="D105" s="267" t="s">
        <v>240</v>
      </c>
      <c r="E105" s="267" t="s">
        <v>240</v>
      </c>
      <c r="F105" s="267" t="s">
        <v>240</v>
      </c>
      <c r="G105" s="268"/>
      <c r="H105" s="239"/>
      <c r="I105" s="227"/>
      <c r="J105" s="218"/>
    </row>
    <row r="106" spans="1:10" ht="17.45" customHeight="1">
      <c r="A106" s="146" t="s">
        <v>241</v>
      </c>
      <c r="B106" s="269">
        <v>8</v>
      </c>
      <c r="C106" s="269">
        <v>8</v>
      </c>
      <c r="D106" s="269">
        <v>8</v>
      </c>
      <c r="E106" s="269">
        <v>8</v>
      </c>
      <c r="F106" s="269">
        <v>8</v>
      </c>
      <c r="G106" s="227"/>
      <c r="H106" s="239"/>
      <c r="I106" s="124">
        <f>SUM(B106:H106)</f>
        <v>40</v>
      </c>
      <c r="J106" s="245" t="s">
        <v>242</v>
      </c>
    </row>
    <row r="107" spans="1:10" ht="17.45" customHeight="1">
      <c r="A107" s="209"/>
      <c r="B107" s="270" t="s">
        <v>243</v>
      </c>
      <c r="C107" s="270" t="s">
        <v>243</v>
      </c>
      <c r="D107" s="270" t="s">
        <v>243</v>
      </c>
      <c r="E107" s="270" t="s">
        <v>243</v>
      </c>
      <c r="F107" s="270" t="s">
        <v>243</v>
      </c>
      <c r="G107" s="271"/>
      <c r="H107" s="272"/>
      <c r="I107" s="212"/>
      <c r="J107" s="213"/>
    </row>
    <row r="108" spans="1:10" ht="17.45" customHeight="1">
      <c r="A108" s="214" t="s">
        <v>193</v>
      </c>
      <c r="B108" s="273" t="s">
        <v>244</v>
      </c>
      <c r="C108" s="273" t="s">
        <v>244</v>
      </c>
      <c r="D108" s="273" t="s">
        <v>244</v>
      </c>
      <c r="E108" s="273" t="s">
        <v>244</v>
      </c>
      <c r="F108" s="273" t="s">
        <v>244</v>
      </c>
      <c r="G108" s="274"/>
      <c r="H108" s="260"/>
      <c r="I108" s="217"/>
      <c r="J108" s="218"/>
    </row>
    <row r="109" spans="1:10" ht="17.45" customHeight="1">
      <c r="A109" s="95" t="s">
        <v>71</v>
      </c>
      <c r="B109" s="275">
        <v>7</v>
      </c>
      <c r="C109" s="275">
        <v>7</v>
      </c>
      <c r="D109" s="275">
        <v>7</v>
      </c>
      <c r="E109" s="275">
        <v>7</v>
      </c>
      <c r="F109" s="275">
        <v>7</v>
      </c>
      <c r="G109" s="17"/>
      <c r="H109" s="263"/>
      <c r="I109" s="17">
        <f>SUM(B109:H109)</f>
        <v>35</v>
      </c>
      <c r="J109" s="221" t="s">
        <v>245</v>
      </c>
    </row>
    <row r="110" spans="1:10" ht="17.45" customHeight="1">
      <c r="A110" s="209"/>
      <c r="B110" s="276" t="s">
        <v>246</v>
      </c>
      <c r="C110" s="276" t="s">
        <v>246</v>
      </c>
      <c r="D110" s="276" t="s">
        <v>246</v>
      </c>
      <c r="E110" s="276" t="s">
        <v>246</v>
      </c>
      <c r="F110" s="276" t="s">
        <v>246</v>
      </c>
      <c r="G110" s="24"/>
      <c r="H110" s="258"/>
      <c r="I110" s="27"/>
      <c r="J110" s="213"/>
    </row>
    <row r="111" spans="1:10" ht="17.45" customHeight="1">
      <c r="A111" s="214" t="s">
        <v>193</v>
      </c>
      <c r="B111" s="277" t="s">
        <v>247</v>
      </c>
      <c r="C111" s="277" t="s">
        <v>247</v>
      </c>
      <c r="D111" s="277" t="s">
        <v>247</v>
      </c>
      <c r="E111" s="277" t="s">
        <v>247</v>
      </c>
      <c r="F111" s="277" t="s">
        <v>247</v>
      </c>
      <c r="G111" s="260"/>
      <c r="H111" s="261"/>
      <c r="I111" s="217"/>
      <c r="J111" s="218"/>
    </row>
    <row r="112" spans="1:10" ht="17.45" customHeight="1">
      <c r="A112" s="115" t="s">
        <v>72</v>
      </c>
      <c r="B112" s="278">
        <v>7.5</v>
      </c>
      <c r="C112" s="278">
        <v>7.5</v>
      </c>
      <c r="D112" s="278">
        <v>7.5</v>
      </c>
      <c r="E112" s="278">
        <v>7.5</v>
      </c>
      <c r="F112" s="278">
        <v>7.5</v>
      </c>
      <c r="G112" s="17"/>
      <c r="H112" s="263"/>
      <c r="I112" s="36">
        <f>SUM(B112:H112)</f>
        <v>37.5</v>
      </c>
      <c r="J112" s="279" t="s">
        <v>248</v>
      </c>
    </row>
    <row r="113" spans="1:10" ht="17.45" customHeight="1">
      <c r="A113" s="209"/>
      <c r="B113" s="280" t="s">
        <v>249</v>
      </c>
      <c r="C113" s="281" t="s">
        <v>249</v>
      </c>
      <c r="D113" s="281" t="s">
        <v>249</v>
      </c>
      <c r="E113" s="281" t="s">
        <v>249</v>
      </c>
      <c r="F113" s="281" t="s">
        <v>249</v>
      </c>
      <c r="G113" s="24"/>
      <c r="H113" s="258"/>
      <c r="I113" s="236"/>
      <c r="J113" s="213"/>
    </row>
    <row r="114" spans="1:10" ht="17.45" customHeight="1">
      <c r="A114" s="214" t="s">
        <v>193</v>
      </c>
      <c r="B114" s="282" t="s">
        <v>250</v>
      </c>
      <c r="C114" s="282" t="s">
        <v>250</v>
      </c>
      <c r="D114" s="282" t="s">
        <v>250</v>
      </c>
      <c r="E114" s="282" t="s">
        <v>250</v>
      </c>
      <c r="F114" s="282" t="s">
        <v>250</v>
      </c>
      <c r="G114" s="260"/>
      <c r="H114" s="261"/>
      <c r="I114" s="283"/>
      <c r="J114" s="218"/>
    </row>
    <row r="115" spans="1:10" ht="17.45" customHeight="1">
      <c r="A115" s="95" t="s">
        <v>73</v>
      </c>
      <c r="B115" s="284">
        <v>8</v>
      </c>
      <c r="C115" s="284">
        <v>8</v>
      </c>
      <c r="D115" s="284">
        <v>8</v>
      </c>
      <c r="E115" s="284">
        <v>8</v>
      </c>
      <c r="F115" s="284">
        <v>8</v>
      </c>
      <c r="G115" s="17"/>
      <c r="H115" s="17"/>
      <c r="I115" s="285">
        <f>SUM(B115:H115)</f>
        <v>40</v>
      </c>
      <c r="J115" s="221" t="s">
        <v>251</v>
      </c>
    </row>
    <row r="116" spans="1:10" ht="17.45" customHeight="1">
      <c r="A116" s="196" t="s">
        <v>30</v>
      </c>
      <c r="B116" s="286">
        <f t="shared" ref="B116:I116" si="2">SUM(B73,B76,B79,B82,B85,B88,B91,B94,B97,B100,B103,B106,B109,B112,B115)</f>
        <v>75.75</v>
      </c>
      <c r="C116" s="286">
        <f t="shared" si="2"/>
        <v>75.75</v>
      </c>
      <c r="D116" s="286">
        <f t="shared" si="2"/>
        <v>75.75</v>
      </c>
      <c r="E116" s="286">
        <f t="shared" si="2"/>
        <v>75.75</v>
      </c>
      <c r="F116" s="286">
        <f t="shared" si="2"/>
        <v>75.25</v>
      </c>
      <c r="G116" s="286">
        <f t="shared" si="2"/>
        <v>68.5</v>
      </c>
      <c r="H116" s="286">
        <f t="shared" si="2"/>
        <v>71.5</v>
      </c>
      <c r="I116" s="286">
        <f t="shared" si="2"/>
        <v>518.25</v>
      </c>
      <c r="J116" s="198"/>
    </row>
    <row r="117" spans="1:10" ht="17.45" customHeight="1">
      <c r="A117" s="72"/>
      <c r="B117" s="72"/>
      <c r="C117" s="72"/>
      <c r="D117" s="72"/>
      <c r="E117" s="72"/>
      <c r="F117" s="72"/>
      <c r="G117" s="204" t="s">
        <v>152</v>
      </c>
      <c r="H117" s="204" t="s">
        <v>153</v>
      </c>
      <c r="I117" s="204" t="s">
        <v>154</v>
      </c>
    </row>
    <row r="118" spans="1:10" ht="17.45" customHeight="1">
      <c r="A118" s="274"/>
      <c r="B118" s="274"/>
      <c r="C118" s="274"/>
      <c r="D118" s="274"/>
      <c r="E118" s="274"/>
      <c r="F118" s="72"/>
      <c r="G118" s="130">
        <f>I116</f>
        <v>518.25</v>
      </c>
      <c r="H118" s="169">
        <f>SUM(G118*13/3)</f>
        <v>2245.75</v>
      </c>
      <c r="I118" s="130">
        <f>SUM(H118*12)</f>
        <v>26949</v>
      </c>
    </row>
    <row r="119" spans="1:10" ht="17.45" customHeight="1">
      <c r="A119" s="72"/>
      <c r="B119" s="72"/>
      <c r="C119" s="72"/>
      <c r="D119" s="72"/>
      <c r="E119" s="72"/>
      <c r="F119" s="72"/>
      <c r="G119" s="72"/>
      <c r="H119" s="174"/>
      <c r="I119" s="72"/>
    </row>
    <row r="120" spans="1:10" ht="17.45" customHeight="1">
      <c r="A120" s="72"/>
      <c r="B120" s="72"/>
      <c r="C120" s="72"/>
      <c r="D120" s="72"/>
      <c r="E120" s="72"/>
      <c r="F120" s="72"/>
      <c r="G120" s="72"/>
      <c r="H120" s="174"/>
      <c r="I120" s="72"/>
    </row>
    <row r="121" spans="1:10" ht="17.45" customHeight="1">
      <c r="A121" s="72"/>
      <c r="B121" s="72"/>
      <c r="C121" s="72"/>
      <c r="D121" s="72" t="s">
        <v>252</v>
      </c>
      <c r="E121" s="72"/>
      <c r="F121" s="72"/>
      <c r="G121" s="72"/>
      <c r="H121" s="174"/>
      <c r="I121" s="72"/>
    </row>
    <row r="122" spans="1:10" ht="17.45" customHeight="1">
      <c r="A122" s="287"/>
      <c r="B122" s="210" t="s">
        <v>191</v>
      </c>
      <c r="C122" s="210" t="s">
        <v>191</v>
      </c>
      <c r="D122" s="210" t="s">
        <v>191</v>
      </c>
      <c r="E122" s="210" t="s">
        <v>191</v>
      </c>
      <c r="F122" s="210" t="s">
        <v>191</v>
      </c>
      <c r="G122" s="288" t="s">
        <v>192</v>
      </c>
      <c r="H122" s="289" t="s">
        <v>192</v>
      </c>
      <c r="I122" s="72"/>
    </row>
    <row r="123" spans="1:10" ht="17.45" customHeight="1">
      <c r="A123" s="95" t="s">
        <v>43</v>
      </c>
      <c r="B123" s="219">
        <v>8.25</v>
      </c>
      <c r="C123" s="219">
        <v>8.25</v>
      </c>
      <c r="D123" s="219">
        <v>8.25</v>
      </c>
      <c r="E123" s="219">
        <v>8.25</v>
      </c>
      <c r="F123" s="219">
        <v>8.25</v>
      </c>
      <c r="G123" s="290">
        <v>12.25</v>
      </c>
      <c r="H123" s="291">
        <v>12.25</v>
      </c>
      <c r="I123" s="72"/>
    </row>
    <row r="124" spans="1:10" ht="17.45" customHeight="1">
      <c r="A124" s="287"/>
      <c r="B124" s="30" t="s">
        <v>16</v>
      </c>
      <c r="C124" s="30" t="s">
        <v>16</v>
      </c>
      <c r="D124" s="30" t="s">
        <v>16</v>
      </c>
      <c r="E124" s="30" t="s">
        <v>16</v>
      </c>
      <c r="F124" s="30" t="s">
        <v>16</v>
      </c>
      <c r="G124" s="31"/>
      <c r="H124" s="292"/>
      <c r="I124" s="72"/>
    </row>
    <row r="125" spans="1:10" ht="17.45" customHeight="1">
      <c r="A125" s="95" t="s">
        <v>209</v>
      </c>
      <c r="B125" s="34"/>
      <c r="C125" s="34"/>
      <c r="D125" s="34"/>
      <c r="E125" s="34"/>
      <c r="F125" s="34"/>
      <c r="G125" s="140"/>
      <c r="H125" s="293"/>
      <c r="I125" s="72"/>
    </row>
    <row r="126" spans="1:10" ht="17.45" customHeight="1">
      <c r="A126" s="287"/>
      <c r="B126" s="248" t="s">
        <v>218</v>
      </c>
      <c r="C126" s="248" t="s">
        <v>218</v>
      </c>
      <c r="D126" s="248" t="s">
        <v>218</v>
      </c>
      <c r="E126" s="248" t="s">
        <v>218</v>
      </c>
      <c r="F126" s="248" t="s">
        <v>219</v>
      </c>
      <c r="G126" s="241" t="s">
        <v>220</v>
      </c>
      <c r="H126" s="242" t="s">
        <v>220</v>
      </c>
      <c r="I126" s="72"/>
    </row>
    <row r="127" spans="1:10" ht="17.45" customHeight="1">
      <c r="A127" s="95" t="s">
        <v>61</v>
      </c>
      <c r="B127" s="250">
        <v>7</v>
      </c>
      <c r="C127" s="250">
        <v>7</v>
      </c>
      <c r="D127" s="250">
        <v>7</v>
      </c>
      <c r="E127" s="250">
        <v>7</v>
      </c>
      <c r="F127" s="250">
        <v>6.5</v>
      </c>
      <c r="G127" s="246">
        <v>12</v>
      </c>
      <c r="H127" s="247">
        <v>12</v>
      </c>
      <c r="I127" s="72"/>
    </row>
    <row r="128" spans="1:10" ht="17.45" customHeight="1">
      <c r="A128" s="287"/>
      <c r="B128" s="30" t="s">
        <v>16</v>
      </c>
      <c r="C128" s="30" t="s">
        <v>16</v>
      </c>
      <c r="D128" s="30" t="s">
        <v>16</v>
      </c>
      <c r="E128" s="30" t="s">
        <v>16</v>
      </c>
      <c r="F128" s="30" t="s">
        <v>16</v>
      </c>
      <c r="G128" s="31"/>
      <c r="H128" s="292"/>
      <c r="I128" s="72"/>
    </row>
    <row r="129" spans="1:9" ht="17.45" customHeight="1">
      <c r="A129" s="95" t="s">
        <v>235</v>
      </c>
      <c r="B129" s="34"/>
      <c r="C129" s="34"/>
      <c r="D129" s="34"/>
      <c r="E129" s="34"/>
      <c r="F129" s="34"/>
      <c r="G129" s="140"/>
      <c r="H129" s="293"/>
      <c r="I129" s="72"/>
    </row>
    <row r="130" spans="1:9" ht="17.45" customHeight="1">
      <c r="A130" s="287"/>
      <c r="B130" s="270" t="s">
        <v>243</v>
      </c>
      <c r="C130" s="270" t="s">
        <v>243</v>
      </c>
      <c r="D130" s="270" t="s">
        <v>243</v>
      </c>
      <c r="E130" s="270" t="s">
        <v>243</v>
      </c>
      <c r="F130" s="270" t="s">
        <v>243</v>
      </c>
      <c r="G130" s="4"/>
      <c r="H130" s="294"/>
      <c r="I130" s="72"/>
    </row>
    <row r="131" spans="1:9" ht="17.45" customHeight="1">
      <c r="A131" s="95" t="s">
        <v>71</v>
      </c>
      <c r="B131" s="275">
        <v>7</v>
      </c>
      <c r="C131" s="275">
        <v>7</v>
      </c>
      <c r="D131" s="275">
        <v>7</v>
      </c>
      <c r="E131" s="275">
        <v>7</v>
      </c>
      <c r="F131" s="275">
        <v>7</v>
      </c>
      <c r="G131" s="34"/>
      <c r="H131" s="295"/>
      <c r="I131" s="72"/>
    </row>
    <row r="132" spans="1:9" ht="17.45" customHeight="1">
      <c r="A132" s="287"/>
      <c r="B132" s="222" t="s">
        <v>197</v>
      </c>
      <c r="C132" s="222" t="s">
        <v>197</v>
      </c>
      <c r="D132" s="222" t="s">
        <v>197</v>
      </c>
      <c r="E132" s="222" t="s">
        <v>197</v>
      </c>
      <c r="F132" s="222" t="s">
        <v>197</v>
      </c>
      <c r="G132" s="223" t="s">
        <v>198</v>
      </c>
      <c r="H132" s="224" t="s">
        <v>198</v>
      </c>
      <c r="I132" s="72"/>
    </row>
    <row r="133" spans="1:9" ht="17.45" customHeight="1">
      <c r="A133" s="95" t="s">
        <v>201</v>
      </c>
      <c r="B133" s="91">
        <v>7</v>
      </c>
      <c r="C133" s="91">
        <v>7</v>
      </c>
      <c r="D133" s="91">
        <v>7</v>
      </c>
      <c r="E133" s="91">
        <v>7</v>
      </c>
      <c r="F133" s="91">
        <v>7</v>
      </c>
      <c r="G133" s="228">
        <v>11</v>
      </c>
      <c r="H133" s="229">
        <v>11</v>
      </c>
      <c r="I133" s="72"/>
    </row>
    <row r="134" spans="1:9" ht="17.45" customHeight="1">
      <c r="A134" s="287"/>
      <c r="B134" s="30" t="s">
        <v>16</v>
      </c>
      <c r="C134" s="30" t="s">
        <v>16</v>
      </c>
      <c r="D134" s="30" t="s">
        <v>16</v>
      </c>
      <c r="E134" s="30" t="s">
        <v>16</v>
      </c>
      <c r="F134" s="30" t="s">
        <v>16</v>
      </c>
      <c r="G134" s="45"/>
      <c r="H134" s="46"/>
      <c r="I134" s="72"/>
    </row>
    <row r="135" spans="1:9" ht="17.45" customHeight="1">
      <c r="A135" s="95" t="s">
        <v>211</v>
      </c>
      <c r="B135" s="34"/>
      <c r="C135" s="34"/>
      <c r="D135" s="34"/>
      <c r="E135" s="34"/>
      <c r="F135" s="34"/>
      <c r="G135" s="52"/>
      <c r="H135" s="49"/>
      <c r="I135" s="72"/>
    </row>
    <row r="136" spans="1:9" ht="17.45" customHeight="1">
      <c r="A136" s="287"/>
      <c r="B136" s="251" t="s">
        <v>225</v>
      </c>
      <c r="C136" s="251" t="s">
        <v>225</v>
      </c>
      <c r="D136" s="251" t="s">
        <v>225</v>
      </c>
      <c r="E136" s="251" t="s">
        <v>225</v>
      </c>
      <c r="F136" s="251" t="s">
        <v>225</v>
      </c>
      <c r="G136" s="241" t="s">
        <v>226</v>
      </c>
      <c r="H136" s="242" t="s">
        <v>220</v>
      </c>
      <c r="I136" s="72"/>
    </row>
    <row r="137" spans="1:9" ht="17.45" customHeight="1">
      <c r="A137" s="95" t="s">
        <v>229</v>
      </c>
      <c r="B137" s="255">
        <v>7</v>
      </c>
      <c r="C137" s="255">
        <v>7</v>
      </c>
      <c r="D137" s="255">
        <v>7</v>
      </c>
      <c r="E137" s="255">
        <v>7</v>
      </c>
      <c r="F137" s="255">
        <v>7</v>
      </c>
      <c r="G137" s="256">
        <v>9</v>
      </c>
      <c r="H137" s="247">
        <v>12</v>
      </c>
      <c r="I137" s="72"/>
    </row>
    <row r="138" spans="1:9" ht="17.45" customHeight="1">
      <c r="A138" s="287"/>
      <c r="B138" s="30" t="s">
        <v>16</v>
      </c>
      <c r="C138" s="30" t="s">
        <v>16</v>
      </c>
      <c r="D138" s="30" t="s">
        <v>16</v>
      </c>
      <c r="E138" s="30" t="s">
        <v>16</v>
      </c>
      <c r="F138" s="30" t="s">
        <v>16</v>
      </c>
      <c r="G138" s="45"/>
      <c r="H138" s="46"/>
      <c r="I138" s="72"/>
    </row>
    <row r="139" spans="1:9" ht="17.45" customHeight="1">
      <c r="A139" s="111" t="s">
        <v>237</v>
      </c>
      <c r="B139" s="34"/>
      <c r="C139" s="34"/>
      <c r="D139" s="34"/>
      <c r="E139" s="34"/>
      <c r="F139" s="34"/>
      <c r="G139" s="52"/>
      <c r="H139" s="49"/>
      <c r="I139" s="72"/>
    </row>
    <row r="140" spans="1:9" ht="17.45" customHeight="1">
      <c r="A140" s="287"/>
      <c r="B140" s="276" t="s">
        <v>246</v>
      </c>
      <c r="C140" s="276" t="s">
        <v>246</v>
      </c>
      <c r="D140" s="276" t="s">
        <v>246</v>
      </c>
      <c r="E140" s="276" t="s">
        <v>246</v>
      </c>
      <c r="F140" s="276" t="s">
        <v>246</v>
      </c>
      <c r="G140" s="4"/>
      <c r="H140" s="294"/>
      <c r="I140" s="72"/>
    </row>
    <row r="141" spans="1:9" ht="17.45" customHeight="1">
      <c r="A141" s="115" t="s">
        <v>72</v>
      </c>
      <c r="B141" s="278">
        <v>7.5</v>
      </c>
      <c r="C141" s="278">
        <v>7.5</v>
      </c>
      <c r="D141" s="278">
        <v>7.5</v>
      </c>
      <c r="E141" s="278">
        <v>7.5</v>
      </c>
      <c r="F141" s="278">
        <v>7.5</v>
      </c>
      <c r="G141" s="34"/>
      <c r="H141" s="295"/>
      <c r="I141" s="72"/>
    </row>
    <row r="142" spans="1:9" ht="17.45" customHeight="1">
      <c r="A142" s="287"/>
      <c r="B142" s="230" t="s">
        <v>203</v>
      </c>
      <c r="C142" s="230" t="s">
        <v>203</v>
      </c>
      <c r="D142" s="230" t="s">
        <v>203</v>
      </c>
      <c r="E142" s="230" t="s">
        <v>203</v>
      </c>
      <c r="F142" s="230" t="s">
        <v>203</v>
      </c>
      <c r="G142" s="224" t="s">
        <v>204</v>
      </c>
      <c r="H142" s="224" t="s">
        <v>204</v>
      </c>
      <c r="I142" s="72"/>
    </row>
    <row r="143" spans="1:9" ht="17.45" customHeight="1">
      <c r="A143" s="95" t="s">
        <v>207</v>
      </c>
      <c r="B143" s="233">
        <v>8</v>
      </c>
      <c r="C143" s="233">
        <v>8</v>
      </c>
      <c r="D143" s="233">
        <v>8</v>
      </c>
      <c r="E143" s="233">
        <v>8</v>
      </c>
      <c r="F143" s="233">
        <v>8</v>
      </c>
      <c r="G143" s="228">
        <v>12</v>
      </c>
      <c r="H143" s="228">
        <v>12</v>
      </c>
      <c r="I143" s="72"/>
    </row>
    <row r="144" spans="1:9" ht="17.45" customHeight="1">
      <c r="A144" s="296"/>
      <c r="B144" s="30" t="s">
        <v>16</v>
      </c>
      <c r="C144" s="30" t="s">
        <v>16</v>
      </c>
      <c r="D144" s="30" t="s">
        <v>16</v>
      </c>
      <c r="E144" s="30" t="s">
        <v>16</v>
      </c>
      <c r="F144" s="30" t="s">
        <v>16</v>
      </c>
      <c r="G144" s="241" t="s">
        <v>213</v>
      </c>
      <c r="H144" s="242" t="s">
        <v>214</v>
      </c>
      <c r="I144" s="72"/>
    </row>
    <row r="145" spans="1:10" ht="17.45" customHeight="1">
      <c r="A145" s="95" t="s">
        <v>216</v>
      </c>
      <c r="B145" s="34"/>
      <c r="C145" s="34"/>
      <c r="D145" s="34"/>
      <c r="E145" s="34"/>
      <c r="F145" s="34"/>
      <c r="G145" s="246">
        <v>12.25</v>
      </c>
      <c r="H145" s="247">
        <v>12.25</v>
      </c>
      <c r="I145" s="72"/>
    </row>
    <row r="146" spans="1:10" ht="17.45" customHeight="1">
      <c r="A146" s="287"/>
      <c r="B146" s="257" t="s">
        <v>231</v>
      </c>
      <c r="C146" s="257" t="s">
        <v>231</v>
      </c>
      <c r="D146" s="257" t="s">
        <v>231</v>
      </c>
      <c r="E146" s="257" t="s">
        <v>231</v>
      </c>
      <c r="F146" s="257" t="s">
        <v>231</v>
      </c>
      <c r="G146" s="24"/>
      <c r="H146" s="258"/>
      <c r="I146" s="72"/>
    </row>
    <row r="147" spans="1:10" ht="17.45" customHeight="1">
      <c r="A147" s="95" t="s">
        <v>233</v>
      </c>
      <c r="B147" s="262">
        <v>8</v>
      </c>
      <c r="C147" s="262">
        <v>8</v>
      </c>
      <c r="D147" s="262">
        <v>8</v>
      </c>
      <c r="E147" s="262">
        <v>8</v>
      </c>
      <c r="F147" s="262">
        <v>8</v>
      </c>
      <c r="G147" s="17"/>
      <c r="H147" s="263"/>
      <c r="I147" s="72"/>
    </row>
    <row r="148" spans="1:10" ht="17.45" customHeight="1">
      <c r="A148" s="287" t="s">
        <v>28</v>
      </c>
      <c r="B148" s="265" t="s">
        <v>239</v>
      </c>
      <c r="C148" s="265" t="s">
        <v>239</v>
      </c>
      <c r="D148" s="265" t="s">
        <v>239</v>
      </c>
      <c r="E148" s="265" t="s">
        <v>239</v>
      </c>
      <c r="F148" s="265" t="s">
        <v>239</v>
      </c>
      <c r="G148" s="50"/>
      <c r="H148" s="46"/>
      <c r="I148" s="72"/>
    </row>
    <row r="149" spans="1:10" ht="17.45" customHeight="1">
      <c r="A149" s="146" t="s">
        <v>241</v>
      </c>
      <c r="B149" s="269">
        <v>8</v>
      </c>
      <c r="C149" s="269">
        <v>8</v>
      </c>
      <c r="D149" s="269">
        <v>8</v>
      </c>
      <c r="E149" s="269">
        <v>8</v>
      </c>
      <c r="F149" s="269">
        <v>8</v>
      </c>
      <c r="G149" s="52"/>
      <c r="H149" s="49"/>
      <c r="I149" s="72"/>
    </row>
    <row r="150" spans="1:10" ht="17.45" customHeight="1">
      <c r="A150" s="287"/>
      <c r="B150" s="280" t="s">
        <v>249</v>
      </c>
      <c r="C150" s="281" t="s">
        <v>249</v>
      </c>
      <c r="D150" s="281" t="s">
        <v>249</v>
      </c>
      <c r="E150" s="281" t="s">
        <v>249</v>
      </c>
      <c r="F150" s="281" t="s">
        <v>249</v>
      </c>
      <c r="G150" s="4"/>
      <c r="H150" s="294"/>
      <c r="I150" s="72"/>
    </row>
    <row r="151" spans="1:10" ht="17.45" customHeight="1">
      <c r="A151" s="95" t="s">
        <v>73</v>
      </c>
      <c r="B151" s="284">
        <v>8</v>
      </c>
      <c r="C151" s="284">
        <v>8</v>
      </c>
      <c r="D151" s="284">
        <v>8</v>
      </c>
      <c r="E151" s="284">
        <v>8</v>
      </c>
      <c r="F151" s="284">
        <v>8</v>
      </c>
      <c r="G151" s="34"/>
      <c r="H151" s="295"/>
      <c r="I151" s="72"/>
    </row>
    <row r="152" spans="1:10" ht="17.45" customHeight="1">
      <c r="A152" s="72"/>
      <c r="B152" s="72"/>
      <c r="C152" s="72"/>
      <c r="D152" s="72"/>
      <c r="E152" s="72"/>
      <c r="F152" s="72"/>
      <c r="G152" s="72"/>
      <c r="H152" s="174"/>
      <c r="I152" s="72"/>
    </row>
    <row r="153" spans="1:10" ht="17.45" customHeight="1">
      <c r="A153" s="72"/>
      <c r="B153" s="72"/>
      <c r="C153" s="72"/>
      <c r="D153" s="72"/>
      <c r="E153" s="72"/>
      <c r="F153" s="72"/>
      <c r="G153" s="72"/>
      <c r="H153" s="174"/>
      <c r="I153" s="72"/>
    </row>
    <row r="154" spans="1:10" ht="17.100000000000001" customHeight="1">
      <c r="A154" s="1" t="s">
        <v>253</v>
      </c>
      <c r="B154" s="72"/>
      <c r="C154" s="72"/>
      <c r="D154" s="72"/>
      <c r="E154" s="72"/>
      <c r="F154" s="72"/>
    </row>
    <row r="155" spans="1:10" ht="17.100000000000001" customHeight="1">
      <c r="A155" s="23" t="s">
        <v>254</v>
      </c>
      <c r="B155" s="24" t="s">
        <v>2</v>
      </c>
      <c r="C155" s="25" t="s">
        <v>3</v>
      </c>
      <c r="D155" s="25" t="s">
        <v>4</v>
      </c>
      <c r="E155" s="25" t="s">
        <v>5</v>
      </c>
      <c r="F155" s="25" t="s">
        <v>6</v>
      </c>
      <c r="G155" s="25" t="s">
        <v>7</v>
      </c>
      <c r="H155" s="26" t="s">
        <v>8</v>
      </c>
      <c r="I155" s="27" t="s">
        <v>9</v>
      </c>
      <c r="J155" s="28" t="s">
        <v>10</v>
      </c>
    </row>
    <row r="156" spans="1:10" ht="17.100000000000001" customHeight="1">
      <c r="A156" s="29" t="s">
        <v>28</v>
      </c>
      <c r="B156" s="4" t="s">
        <v>255</v>
      </c>
      <c r="C156" s="4" t="s">
        <v>255</v>
      </c>
      <c r="D156" s="4" t="s">
        <v>255</v>
      </c>
      <c r="E156" s="4" t="s">
        <v>255</v>
      </c>
      <c r="F156" s="4" t="s">
        <v>256</v>
      </c>
      <c r="G156" s="5"/>
      <c r="H156" s="5"/>
      <c r="I156" s="30"/>
      <c r="J156" s="32"/>
    </row>
    <row r="157" spans="1:10" ht="17.100000000000001" customHeight="1">
      <c r="A157" s="171" t="s">
        <v>117</v>
      </c>
      <c r="B157" s="130">
        <v>7.75</v>
      </c>
      <c r="C157" s="130">
        <v>7.75</v>
      </c>
      <c r="D157" s="130">
        <v>7.75</v>
      </c>
      <c r="E157" s="130">
        <v>7.75</v>
      </c>
      <c r="F157" s="130">
        <v>6</v>
      </c>
      <c r="G157" s="297"/>
      <c r="H157" s="297"/>
      <c r="I157" s="130">
        <f>SUM(B157:H157)</f>
        <v>37</v>
      </c>
      <c r="J157" s="173"/>
    </row>
    <row r="158" spans="1:10" ht="17.100000000000001" customHeight="1">
      <c r="A158" s="298"/>
      <c r="B158" s="199" t="s">
        <v>257</v>
      </c>
      <c r="C158" s="199" t="s">
        <v>257</v>
      </c>
      <c r="D158" s="199" t="s">
        <v>257</v>
      </c>
      <c r="E158" s="199" t="s">
        <v>257</v>
      </c>
      <c r="F158" s="199" t="s">
        <v>258</v>
      </c>
      <c r="G158" s="182"/>
      <c r="H158" s="182"/>
      <c r="I158" s="133"/>
      <c r="J158" s="200"/>
    </row>
    <row r="159" spans="1:10" ht="17.100000000000001" customHeight="1">
      <c r="A159" s="201" t="s">
        <v>146</v>
      </c>
      <c r="B159" s="4" t="s">
        <v>2</v>
      </c>
      <c r="C159" s="5" t="s">
        <v>3</v>
      </c>
      <c r="D159" s="5" t="s">
        <v>4</v>
      </c>
      <c r="E159" s="5" t="s">
        <v>5</v>
      </c>
      <c r="F159" s="5" t="s">
        <v>6</v>
      </c>
      <c r="G159" s="5" t="s">
        <v>7</v>
      </c>
      <c r="H159" s="5" t="s">
        <v>8</v>
      </c>
      <c r="I159" s="45" t="s">
        <v>9</v>
      </c>
      <c r="J159" s="8" t="s">
        <v>10</v>
      </c>
    </row>
    <row r="160" spans="1:10" ht="17.100000000000001" customHeight="1">
      <c r="A160" s="171" t="s">
        <v>28</v>
      </c>
      <c r="B160" s="299" t="s">
        <v>259</v>
      </c>
      <c r="C160" s="299" t="s">
        <v>259</v>
      </c>
      <c r="D160" s="299" t="s">
        <v>259</v>
      </c>
      <c r="E160" s="299" t="s">
        <v>259</v>
      </c>
      <c r="F160" s="299" t="s">
        <v>260</v>
      </c>
      <c r="G160" s="297"/>
      <c r="H160" s="297"/>
      <c r="I160" s="130"/>
      <c r="J160" s="173"/>
    </row>
    <row r="161" spans="1:10" ht="17.100000000000001" customHeight="1">
      <c r="A161" s="130" t="s">
        <v>261</v>
      </c>
      <c r="B161" s="299" t="s">
        <v>150</v>
      </c>
      <c r="C161" s="299" t="s">
        <v>150</v>
      </c>
      <c r="D161" s="299" t="s">
        <v>150</v>
      </c>
      <c r="E161" s="299" t="s">
        <v>150</v>
      </c>
      <c r="F161" s="299" t="s">
        <v>151</v>
      </c>
      <c r="G161" s="297"/>
      <c r="H161" s="297"/>
      <c r="I161" s="130"/>
      <c r="J161" s="173"/>
    </row>
    <row r="162" spans="1:10" ht="17.100000000000001" customHeight="1">
      <c r="A162" s="124"/>
      <c r="B162" s="124">
        <v>7.75</v>
      </c>
      <c r="C162" s="124">
        <v>7.75</v>
      </c>
      <c r="D162" s="124">
        <v>7.75</v>
      </c>
      <c r="E162" s="124">
        <v>7.75</v>
      </c>
      <c r="F162" s="124">
        <v>6</v>
      </c>
      <c r="G162" s="126"/>
      <c r="H162" s="127"/>
      <c r="I162" s="144">
        <f>SUM(B162:H162)</f>
        <v>37</v>
      </c>
      <c r="J162" s="85"/>
    </row>
    <row r="163" spans="1:10" ht="17.100000000000001" customHeight="1">
      <c r="A163" s="300" t="s">
        <v>30</v>
      </c>
      <c r="B163" s="301">
        <f>SUM(B157,B162)</f>
        <v>15.5</v>
      </c>
      <c r="C163" s="301">
        <f>SUM(C157,C162)</f>
        <v>15.5</v>
      </c>
      <c r="D163" s="301">
        <f>SUM(D157,D162)</f>
        <v>15.5</v>
      </c>
      <c r="E163" s="301">
        <f>SUM(E157,E162)</f>
        <v>15.5</v>
      </c>
      <c r="F163" s="301">
        <f>SUM(F157,F162)</f>
        <v>12</v>
      </c>
      <c r="G163" s="63"/>
      <c r="H163" s="302"/>
      <c r="I163" s="303">
        <f>SUM(B163:H163)</f>
        <v>74</v>
      </c>
      <c r="J163" s="304"/>
    </row>
    <row r="164" spans="1:10" ht="17.100000000000001" customHeight="1">
      <c r="A164" s="274"/>
      <c r="B164" s="72"/>
      <c r="C164" s="72"/>
      <c r="D164" s="72"/>
      <c r="E164" s="72"/>
      <c r="F164" s="139"/>
      <c r="G164" s="204" t="s">
        <v>152</v>
      </c>
      <c r="H164" s="204" t="s">
        <v>153</v>
      </c>
      <c r="I164" s="204" t="s">
        <v>154</v>
      </c>
      <c r="J164" s="73"/>
    </row>
    <row r="165" spans="1:10" ht="17.100000000000001" customHeight="1">
      <c r="A165" s="274"/>
      <c r="B165" s="72"/>
      <c r="C165" s="72"/>
      <c r="D165" s="72"/>
      <c r="E165" s="72"/>
      <c r="F165" s="139"/>
      <c r="G165" s="130">
        <f>SUM(I163)</f>
        <v>74</v>
      </c>
      <c r="H165" s="169">
        <f>SUM(G165*13/3)</f>
        <v>320.66666666666669</v>
      </c>
      <c r="I165" s="130">
        <f>SUM(H165*12)</f>
        <v>3848</v>
      </c>
      <c r="J165" s="73"/>
    </row>
    <row r="166" spans="1:10" ht="17.100000000000001" customHeight="1">
      <c r="A166" s="1" t="s">
        <v>262</v>
      </c>
      <c r="B166" s="72"/>
      <c r="C166" s="72"/>
      <c r="D166" s="72"/>
      <c r="E166" s="72"/>
      <c r="F166" s="72"/>
    </row>
    <row r="167" spans="1:10" ht="17.100000000000001" customHeight="1">
      <c r="A167" s="201" t="s">
        <v>263</v>
      </c>
      <c r="B167" s="4" t="s">
        <v>2</v>
      </c>
      <c r="C167" s="5" t="s">
        <v>3</v>
      </c>
      <c r="D167" s="5" t="s">
        <v>4</v>
      </c>
      <c r="E167" s="5" t="s">
        <v>5</v>
      </c>
      <c r="F167" s="5" t="s">
        <v>6</v>
      </c>
      <c r="G167" s="5" t="s">
        <v>7</v>
      </c>
      <c r="H167" s="5" t="s">
        <v>8</v>
      </c>
      <c r="I167" s="45" t="s">
        <v>9</v>
      </c>
      <c r="J167" s="8" t="s">
        <v>10</v>
      </c>
    </row>
    <row r="168" spans="1:10" ht="17.100000000000001" customHeight="1">
      <c r="A168" s="171" t="s">
        <v>28</v>
      </c>
      <c r="B168" s="130" t="s">
        <v>264</v>
      </c>
      <c r="C168" s="130" t="s">
        <v>264</v>
      </c>
      <c r="D168" s="130" t="s">
        <v>264</v>
      </c>
      <c r="E168" s="130" t="s">
        <v>264</v>
      </c>
      <c r="F168" s="130" t="s">
        <v>265</v>
      </c>
      <c r="G168" s="297"/>
      <c r="H168" s="297"/>
      <c r="I168" s="130"/>
      <c r="J168" s="173"/>
    </row>
    <row r="169" spans="1:10" ht="17.100000000000001" customHeight="1">
      <c r="A169" s="171" t="s">
        <v>119</v>
      </c>
      <c r="B169" s="130">
        <v>8</v>
      </c>
      <c r="C169" s="130">
        <v>8</v>
      </c>
      <c r="D169" s="130">
        <v>8</v>
      </c>
      <c r="E169" s="130">
        <v>8</v>
      </c>
      <c r="F169" s="130">
        <v>5</v>
      </c>
      <c r="G169" s="297"/>
      <c r="H169" s="297"/>
      <c r="I169" s="130">
        <f>SUM(B169:H169)</f>
        <v>37</v>
      </c>
      <c r="J169" s="173"/>
    </row>
    <row r="170" spans="1:10" ht="17.100000000000001" customHeight="1">
      <c r="A170" s="33"/>
      <c r="B170" s="164" t="s">
        <v>266</v>
      </c>
      <c r="C170" s="164" t="s">
        <v>266</v>
      </c>
      <c r="D170" s="164" t="s">
        <v>266</v>
      </c>
      <c r="E170" s="164" t="s">
        <v>266</v>
      </c>
      <c r="F170" s="164" t="s">
        <v>267</v>
      </c>
      <c r="G170" s="165"/>
      <c r="H170" s="165"/>
      <c r="I170" s="34"/>
      <c r="J170" s="142"/>
    </row>
    <row r="171" spans="1:10" ht="17.100000000000001" customHeight="1">
      <c r="A171" s="274"/>
      <c r="B171" s="72"/>
      <c r="C171" s="72"/>
      <c r="D171" s="72"/>
      <c r="E171" s="72"/>
      <c r="F171" s="139"/>
      <c r="G171" s="167" t="s">
        <v>152</v>
      </c>
      <c r="H171" s="167" t="s">
        <v>153</v>
      </c>
      <c r="I171" s="167" t="s">
        <v>154</v>
      </c>
      <c r="J171" s="73"/>
    </row>
    <row r="172" spans="1:10" ht="15.75" customHeight="1">
      <c r="A172" s="274"/>
      <c r="B172" s="72"/>
      <c r="C172" s="72"/>
      <c r="D172" s="72"/>
      <c r="E172" s="72"/>
      <c r="F172" s="139"/>
      <c r="G172" s="130">
        <f>I169</f>
        <v>37</v>
      </c>
      <c r="H172" s="169">
        <f>SUM(G172*13/3)</f>
        <v>160.33333333333334</v>
      </c>
      <c r="I172" s="130">
        <f>SUM(H172*12)</f>
        <v>1924</v>
      </c>
      <c r="J172" s="73"/>
    </row>
    <row r="173" spans="1:10" ht="15.75" customHeight="1">
      <c r="A173" s="274"/>
      <c r="B173" s="72"/>
      <c r="C173" s="72"/>
      <c r="D173" s="72"/>
      <c r="E173" s="72"/>
      <c r="F173" s="139"/>
      <c r="G173" s="72"/>
      <c r="H173" s="174"/>
      <c r="I173" s="72"/>
      <c r="J173" s="73"/>
    </row>
    <row r="174" spans="1:10" ht="15.75" customHeight="1">
      <c r="A174" s="274"/>
      <c r="B174" s="72"/>
      <c r="C174" s="72"/>
      <c r="D174" s="72"/>
      <c r="E174" s="72"/>
      <c r="F174" s="139"/>
      <c r="G174" s="72"/>
      <c r="H174" s="174"/>
      <c r="I174" s="72"/>
      <c r="J174" s="73"/>
    </row>
    <row r="175" spans="1:10" ht="15.75" customHeight="1">
      <c r="A175" s="274"/>
      <c r="B175" s="72"/>
      <c r="C175" s="72"/>
      <c r="D175" s="72"/>
      <c r="E175" s="72"/>
      <c r="F175" s="139"/>
      <c r="G175" s="72"/>
      <c r="H175" s="174"/>
      <c r="I175" s="72"/>
      <c r="J175" s="73"/>
    </row>
    <row r="176" spans="1:10" ht="15.75" customHeight="1">
      <c r="A176" s="274"/>
      <c r="B176" s="72"/>
      <c r="C176" s="72"/>
      <c r="D176" s="72"/>
      <c r="E176" s="72"/>
      <c r="F176" s="139"/>
      <c r="G176" s="72"/>
      <c r="H176" s="174"/>
      <c r="I176" s="72"/>
      <c r="J176" s="73"/>
    </row>
    <row r="177" spans="1:10" ht="15.75" customHeight="1">
      <c r="A177" s="274"/>
      <c r="B177" s="72"/>
      <c r="C177" s="72"/>
      <c r="D177" s="72"/>
      <c r="E177" s="72"/>
      <c r="F177" s="139"/>
      <c r="G177" s="72"/>
      <c r="H177" s="174"/>
      <c r="I177" s="72"/>
      <c r="J177" s="73"/>
    </row>
    <row r="178" spans="1:10" ht="15.75" customHeight="1">
      <c r="A178" s="274"/>
      <c r="B178" s="72"/>
      <c r="C178" s="72"/>
      <c r="D178" s="72"/>
      <c r="E178" s="72"/>
      <c r="F178" s="139"/>
      <c r="G178" s="72"/>
      <c r="H178" s="174"/>
      <c r="I178" s="72"/>
      <c r="J178" s="73"/>
    </row>
    <row r="179" spans="1:10" ht="15.75" customHeight="1">
      <c r="A179" s="274"/>
      <c r="B179" s="72"/>
      <c r="C179" s="72"/>
      <c r="D179" s="72"/>
      <c r="E179" s="72"/>
      <c r="F179" s="139"/>
      <c r="G179" s="72"/>
      <c r="H179" s="174"/>
      <c r="I179" s="72"/>
      <c r="J179" s="73"/>
    </row>
    <row r="180" spans="1:10" ht="17.100000000000001" customHeight="1">
      <c r="A180" s="72"/>
      <c r="B180" s="72"/>
      <c r="C180" s="72"/>
      <c r="D180" s="72"/>
      <c r="E180" s="72"/>
      <c r="F180" s="72"/>
      <c r="G180" s="72"/>
      <c r="H180" s="174"/>
      <c r="I180" s="72"/>
      <c r="J180" s="73"/>
    </row>
    <row r="181" spans="1:10" ht="17.100000000000001" customHeight="1">
      <c r="A181" s="1" t="s">
        <v>268</v>
      </c>
      <c r="B181" s="72"/>
      <c r="C181" s="72"/>
      <c r="D181" s="72"/>
      <c r="E181" s="72"/>
      <c r="F181" s="72"/>
    </row>
    <row r="182" spans="1:10" ht="17.100000000000001" customHeight="1">
      <c r="A182" s="23" t="s">
        <v>123</v>
      </c>
      <c r="B182" s="24" t="s">
        <v>2</v>
      </c>
      <c r="C182" s="25" t="s">
        <v>3</v>
      </c>
      <c r="D182" s="25" t="s">
        <v>4</v>
      </c>
      <c r="E182" s="25" t="s">
        <v>5</v>
      </c>
      <c r="F182" s="25" t="s">
        <v>6</v>
      </c>
      <c r="G182" s="25" t="s">
        <v>7</v>
      </c>
      <c r="H182" s="26" t="s">
        <v>8</v>
      </c>
      <c r="I182" s="27" t="s">
        <v>9</v>
      </c>
      <c r="J182" s="28" t="s">
        <v>10</v>
      </c>
    </row>
    <row r="183" spans="1:10" ht="17.100000000000001" customHeight="1">
      <c r="A183" s="29" t="s">
        <v>87</v>
      </c>
      <c r="B183" s="30" t="s">
        <v>269</v>
      </c>
      <c r="C183" s="30" t="s">
        <v>269</v>
      </c>
      <c r="D183" s="30" t="s">
        <v>269</v>
      </c>
      <c r="E183" s="30" t="s">
        <v>269</v>
      </c>
      <c r="F183" s="305" t="s">
        <v>270</v>
      </c>
      <c r="G183" s="5"/>
      <c r="H183" s="5"/>
      <c r="I183" s="30"/>
      <c r="J183" s="32" t="s">
        <v>28</v>
      </c>
    </row>
    <row r="184" spans="1:10" ht="17.100000000000001" customHeight="1">
      <c r="A184" s="306"/>
      <c r="B184" s="130">
        <v>8</v>
      </c>
      <c r="C184" s="130">
        <v>8</v>
      </c>
      <c r="D184" s="130">
        <v>8</v>
      </c>
      <c r="E184" s="130">
        <v>8</v>
      </c>
      <c r="F184" s="307">
        <v>7</v>
      </c>
      <c r="G184" s="297"/>
      <c r="H184" s="297"/>
      <c r="I184" s="130">
        <f>SUM(B184:H184)</f>
        <v>39</v>
      </c>
      <c r="J184" s="173"/>
    </row>
    <row r="185" spans="1:10" ht="17.100000000000001" customHeight="1">
      <c r="A185" s="181"/>
      <c r="B185" s="199" t="s">
        <v>271</v>
      </c>
      <c r="C185" s="199" t="s">
        <v>271</v>
      </c>
      <c r="D185" s="199" t="s">
        <v>271</v>
      </c>
      <c r="E185" s="199" t="s">
        <v>271</v>
      </c>
      <c r="F185" s="308" t="s">
        <v>272</v>
      </c>
      <c r="G185" s="182"/>
      <c r="H185" s="182"/>
      <c r="I185" s="133"/>
      <c r="J185" s="200"/>
    </row>
    <row r="186" spans="1:10" ht="17.100000000000001" customHeight="1">
      <c r="A186" s="29" t="s">
        <v>91</v>
      </c>
      <c r="B186" s="30" t="s">
        <v>273</v>
      </c>
      <c r="C186" s="30" t="s">
        <v>273</v>
      </c>
      <c r="D186" s="30" t="s">
        <v>273</v>
      </c>
      <c r="E186" s="30" t="s">
        <v>273</v>
      </c>
      <c r="F186" s="100" t="s">
        <v>274</v>
      </c>
      <c r="G186" s="5"/>
      <c r="H186" s="5"/>
      <c r="I186" s="30"/>
      <c r="J186" s="32"/>
    </row>
    <row r="187" spans="1:10" ht="17.100000000000001" customHeight="1">
      <c r="A187" s="306"/>
      <c r="B187" s="130">
        <v>6.5</v>
      </c>
      <c r="C187" s="130">
        <v>6.5</v>
      </c>
      <c r="D187" s="130">
        <v>6.5</v>
      </c>
      <c r="E187" s="130">
        <v>6.5</v>
      </c>
      <c r="F187" s="309">
        <v>6.25</v>
      </c>
      <c r="G187" s="297"/>
      <c r="H187" s="297"/>
      <c r="I187" s="130">
        <f>SUM(B187:H187)</f>
        <v>32.25</v>
      </c>
      <c r="J187" s="173"/>
    </row>
    <row r="188" spans="1:10" ht="17.100000000000001" customHeight="1">
      <c r="A188" s="163"/>
      <c r="B188" s="164" t="s">
        <v>275</v>
      </c>
      <c r="C188" s="164" t="s">
        <v>275</v>
      </c>
      <c r="D188" s="164" t="s">
        <v>275</v>
      </c>
      <c r="E188" s="164" t="s">
        <v>275</v>
      </c>
      <c r="F188" s="310" t="s">
        <v>276</v>
      </c>
      <c r="G188" s="165"/>
      <c r="H188" s="165"/>
      <c r="I188" s="34"/>
      <c r="J188" s="142"/>
    </row>
    <row r="189" spans="1:10" ht="17.100000000000001" customHeight="1">
      <c r="A189" s="196" t="s">
        <v>30</v>
      </c>
      <c r="B189" s="196">
        <f t="shared" ref="B189:I189" si="3">SUM(B184,B187)</f>
        <v>14.5</v>
      </c>
      <c r="C189" s="196">
        <f t="shared" si="3"/>
        <v>14.5</v>
      </c>
      <c r="D189" s="196">
        <f t="shared" si="3"/>
        <v>14.5</v>
      </c>
      <c r="E189" s="196">
        <f t="shared" si="3"/>
        <v>14.5</v>
      </c>
      <c r="F189" s="196">
        <f t="shared" si="3"/>
        <v>13.25</v>
      </c>
      <c r="G189" s="196">
        <f t="shared" si="3"/>
        <v>0</v>
      </c>
      <c r="H189" s="196">
        <f t="shared" si="3"/>
        <v>0</v>
      </c>
      <c r="I189" s="196">
        <f t="shared" si="3"/>
        <v>71.25</v>
      </c>
      <c r="J189" s="198"/>
    </row>
    <row r="190" spans="1:10" ht="17.100000000000001" customHeight="1">
      <c r="A190" s="72"/>
      <c r="B190" s="72"/>
      <c r="C190" s="72"/>
      <c r="D190" s="72"/>
      <c r="E190" s="72"/>
      <c r="F190" s="72"/>
      <c r="G190" s="204" t="s">
        <v>152</v>
      </c>
      <c r="H190" s="204" t="s">
        <v>153</v>
      </c>
      <c r="I190" s="204" t="s">
        <v>154</v>
      </c>
    </row>
    <row r="191" spans="1:10" ht="17.100000000000001" customHeight="1">
      <c r="A191" s="72"/>
      <c r="B191" s="72"/>
      <c r="C191" s="72"/>
      <c r="D191" s="72"/>
      <c r="E191" s="72"/>
      <c r="F191" s="72"/>
      <c r="G191" s="130">
        <f>I189</f>
        <v>71.25</v>
      </c>
      <c r="H191" s="169">
        <f>SUM(G191*13/3)</f>
        <v>308.75</v>
      </c>
      <c r="I191" s="130">
        <f>SUM(H191*12)</f>
        <v>3705</v>
      </c>
    </row>
    <row r="192" spans="1:10" ht="17.100000000000001" customHeight="1">
      <c r="A192" s="72"/>
      <c r="B192" s="72"/>
      <c r="C192" s="72"/>
      <c r="D192" s="72"/>
      <c r="E192" s="72"/>
      <c r="F192" s="72"/>
      <c r="G192" s="72"/>
      <c r="H192" s="174"/>
      <c r="I192" s="72"/>
    </row>
    <row r="193" spans="1:10" ht="18" customHeight="1">
      <c r="A193" s="1" t="s">
        <v>103</v>
      </c>
      <c r="B193" s="72"/>
      <c r="C193" s="72"/>
      <c r="D193" s="72"/>
      <c r="E193" s="72"/>
      <c r="F193" s="72"/>
    </row>
    <row r="194" spans="1:10" ht="18" customHeight="1">
      <c r="A194" s="23" t="s">
        <v>104</v>
      </c>
      <c r="B194" s="24" t="s">
        <v>2</v>
      </c>
      <c r="C194" s="25" t="s">
        <v>3</v>
      </c>
      <c r="D194" s="25" t="s">
        <v>4</v>
      </c>
      <c r="E194" s="25" t="s">
        <v>5</v>
      </c>
      <c r="F194" s="25" t="s">
        <v>6</v>
      </c>
      <c r="G194" s="25" t="s">
        <v>7</v>
      </c>
      <c r="H194" s="26" t="s">
        <v>8</v>
      </c>
      <c r="I194" s="27" t="s">
        <v>9</v>
      </c>
      <c r="J194" s="28" t="s">
        <v>10</v>
      </c>
    </row>
    <row r="195" spans="1:10" ht="18" customHeight="1">
      <c r="A195" s="29" t="s">
        <v>105</v>
      </c>
      <c r="B195" s="30" t="s">
        <v>89</v>
      </c>
      <c r="C195" s="30" t="s">
        <v>89</v>
      </c>
      <c r="D195" s="30" t="s">
        <v>89</v>
      </c>
      <c r="E195" s="30" t="s">
        <v>89</v>
      </c>
      <c r="F195" s="30" t="s">
        <v>77</v>
      </c>
      <c r="G195" s="5"/>
      <c r="H195" s="5"/>
      <c r="I195" s="30"/>
      <c r="J195" s="32"/>
    </row>
    <row r="196" spans="1:10" ht="18" customHeight="1">
      <c r="A196" s="306"/>
      <c r="B196" s="130">
        <v>7.5</v>
      </c>
      <c r="C196" s="130">
        <v>7.5</v>
      </c>
      <c r="D196" s="130">
        <v>7.5</v>
      </c>
      <c r="E196" s="130">
        <v>7.5</v>
      </c>
      <c r="F196" s="172">
        <v>7</v>
      </c>
      <c r="G196" s="297"/>
      <c r="H196" s="297"/>
      <c r="I196" s="130">
        <f>SUM(B196:H196)</f>
        <v>37</v>
      </c>
      <c r="J196" s="173"/>
    </row>
    <row r="197" spans="1:10" ht="18" customHeight="1">
      <c r="A197" s="181"/>
      <c r="B197" s="199" t="s">
        <v>277</v>
      </c>
      <c r="C197" s="199" t="s">
        <v>277</v>
      </c>
      <c r="D197" s="199" t="s">
        <v>277</v>
      </c>
      <c r="E197" s="199" t="s">
        <v>277</v>
      </c>
      <c r="F197" s="199" t="s">
        <v>278</v>
      </c>
      <c r="G197" s="182"/>
      <c r="H197" s="182"/>
      <c r="I197" s="133"/>
      <c r="J197" s="200"/>
    </row>
    <row r="198" spans="1:10" ht="18" customHeight="1">
      <c r="A198" s="29" t="s">
        <v>106</v>
      </c>
      <c r="B198" s="30" t="s">
        <v>279</v>
      </c>
      <c r="C198" s="30" t="s">
        <v>279</v>
      </c>
      <c r="D198" s="30" t="s">
        <v>279</v>
      </c>
      <c r="E198" s="30" t="s">
        <v>279</v>
      </c>
      <c r="F198" s="30" t="s">
        <v>280</v>
      </c>
      <c r="G198" s="5"/>
      <c r="H198" s="5"/>
      <c r="I198" s="30"/>
      <c r="J198" s="32"/>
    </row>
    <row r="199" spans="1:10" ht="18" customHeight="1">
      <c r="A199" s="306"/>
      <c r="B199" s="130">
        <v>7</v>
      </c>
      <c r="C199" s="130">
        <v>7</v>
      </c>
      <c r="D199" s="130">
        <v>7</v>
      </c>
      <c r="E199" s="130">
        <v>7</v>
      </c>
      <c r="F199" s="172">
        <v>6</v>
      </c>
      <c r="G199" s="297"/>
      <c r="H199" s="297"/>
      <c r="I199" s="130">
        <f>SUM(B199:H199)</f>
        <v>34</v>
      </c>
      <c r="J199" s="173"/>
    </row>
    <row r="200" spans="1:10" ht="18" customHeight="1">
      <c r="A200" s="181"/>
      <c r="B200" s="199" t="s">
        <v>281</v>
      </c>
      <c r="C200" s="199" t="s">
        <v>281</v>
      </c>
      <c r="D200" s="199" t="s">
        <v>281</v>
      </c>
      <c r="E200" s="199" t="s">
        <v>281</v>
      </c>
      <c r="F200" s="199" t="s">
        <v>282</v>
      </c>
      <c r="G200" s="182"/>
      <c r="H200" s="182"/>
      <c r="I200" s="133"/>
      <c r="J200" s="200"/>
    </row>
    <row r="201" spans="1:10" ht="18" customHeight="1">
      <c r="A201" s="29" t="s">
        <v>108</v>
      </c>
      <c r="B201" s="30" t="s">
        <v>109</v>
      </c>
      <c r="C201" s="30" t="s">
        <v>109</v>
      </c>
      <c r="D201" s="30" t="s">
        <v>109</v>
      </c>
      <c r="E201" s="30" t="s">
        <v>109</v>
      </c>
      <c r="F201" s="30" t="s">
        <v>110</v>
      </c>
      <c r="G201" s="30"/>
      <c r="H201" s="30"/>
      <c r="I201" s="30"/>
      <c r="J201" s="32"/>
    </row>
    <row r="202" spans="1:10" ht="18" customHeight="1">
      <c r="A202" s="171"/>
      <c r="B202" s="130" t="s">
        <v>283</v>
      </c>
      <c r="C202" s="130" t="s">
        <v>283</v>
      </c>
      <c r="D202" s="130" t="s">
        <v>283</v>
      </c>
      <c r="E202" s="130" t="s">
        <v>283</v>
      </c>
      <c r="F202" s="130" t="s">
        <v>283</v>
      </c>
      <c r="G202" s="172"/>
      <c r="H202" s="172"/>
      <c r="I202" s="130">
        <f>SUM(B202:H202)</f>
        <v>0</v>
      </c>
      <c r="J202" s="173"/>
    </row>
    <row r="203" spans="1:10" ht="18" customHeight="1">
      <c r="A203" s="33"/>
      <c r="B203" s="164" t="s">
        <v>284</v>
      </c>
      <c r="C203" s="164" t="s">
        <v>284</v>
      </c>
      <c r="D203" s="164" t="s">
        <v>284</v>
      </c>
      <c r="E203" s="164" t="s">
        <v>284</v>
      </c>
      <c r="F203" s="164" t="s">
        <v>285</v>
      </c>
      <c r="G203" s="140"/>
      <c r="H203" s="140"/>
      <c r="I203" s="34"/>
      <c r="J203" s="142"/>
    </row>
    <row r="204" spans="1:10" ht="18" customHeight="1">
      <c r="A204" s="196" t="s">
        <v>30</v>
      </c>
      <c r="B204" s="196">
        <f t="shared" ref="B204:I204" si="4">SUM(B196,B199,B202)</f>
        <v>14.5</v>
      </c>
      <c r="C204" s="196">
        <f t="shared" si="4"/>
        <v>14.5</v>
      </c>
      <c r="D204" s="196">
        <f t="shared" si="4"/>
        <v>14.5</v>
      </c>
      <c r="E204" s="196">
        <f t="shared" si="4"/>
        <v>14.5</v>
      </c>
      <c r="F204" s="196">
        <f t="shared" si="4"/>
        <v>13</v>
      </c>
      <c r="G204" s="196">
        <f t="shared" si="4"/>
        <v>0</v>
      </c>
      <c r="H204" s="196">
        <f t="shared" si="4"/>
        <v>0</v>
      </c>
      <c r="I204" s="311">
        <f t="shared" si="4"/>
        <v>71</v>
      </c>
      <c r="J204" s="203"/>
    </row>
    <row r="205" spans="1:10" ht="18" customHeight="1">
      <c r="A205" s="72"/>
      <c r="B205" s="72"/>
      <c r="C205" s="72"/>
      <c r="D205" s="72"/>
      <c r="E205" s="72"/>
      <c r="F205" s="139"/>
      <c r="G205" s="204" t="s">
        <v>152</v>
      </c>
      <c r="H205" s="204" t="s">
        <v>153</v>
      </c>
      <c r="I205" s="204" t="s">
        <v>154</v>
      </c>
      <c r="J205" s="73"/>
    </row>
    <row r="206" spans="1:10" ht="18" customHeight="1">
      <c r="A206" s="72"/>
      <c r="B206" s="72"/>
      <c r="C206" s="72"/>
      <c r="D206" s="72"/>
      <c r="E206" s="72"/>
      <c r="F206" s="72"/>
      <c r="G206" s="130">
        <f>I204</f>
        <v>71</v>
      </c>
      <c r="H206" s="169">
        <f>SUM(G206*13/3)</f>
        <v>307.66666666666669</v>
      </c>
      <c r="I206" s="130">
        <f>SUM(H206*12)</f>
        <v>3692</v>
      </c>
      <c r="J206" s="73"/>
    </row>
    <row r="207" spans="1:10" ht="18" customHeight="1">
      <c r="A207" s="72"/>
      <c r="B207" s="72"/>
      <c r="C207" s="72"/>
      <c r="D207" s="72"/>
      <c r="E207" s="72"/>
      <c r="F207" s="72"/>
      <c r="G207" s="72"/>
      <c r="H207" s="174"/>
      <c r="I207" s="72"/>
      <c r="J207" s="73"/>
    </row>
    <row r="208" spans="1:10" ht="18" customHeight="1">
      <c r="A208" s="72"/>
      <c r="B208" s="72"/>
      <c r="C208" s="72"/>
      <c r="D208" s="72"/>
      <c r="E208" s="72"/>
      <c r="F208" s="72"/>
      <c r="G208" s="72"/>
      <c r="H208" s="174"/>
      <c r="I208" s="72"/>
      <c r="J208" s="73"/>
    </row>
    <row r="209" spans="1:10" ht="18" customHeight="1">
      <c r="A209" s="72"/>
      <c r="B209" s="72"/>
      <c r="C209" s="72"/>
      <c r="D209" s="72"/>
      <c r="E209" s="72"/>
      <c r="F209" s="72"/>
      <c r="G209" s="72"/>
      <c r="H209" s="174"/>
      <c r="I209" s="72"/>
      <c r="J209" s="73"/>
    </row>
    <row r="210" spans="1:10" ht="18" customHeight="1">
      <c r="A210" s="72"/>
      <c r="B210" s="72"/>
      <c r="C210" s="72"/>
      <c r="D210" s="72"/>
      <c r="E210" s="72"/>
      <c r="F210" s="72"/>
      <c r="G210" s="72"/>
      <c r="H210" s="174"/>
      <c r="I210" s="72"/>
      <c r="J210" s="73"/>
    </row>
    <row r="211" spans="1:10" ht="18" customHeight="1">
      <c r="A211" s="72"/>
      <c r="B211" s="72"/>
      <c r="C211" s="72"/>
      <c r="D211" s="72"/>
      <c r="E211" s="72"/>
      <c r="F211" s="72"/>
      <c r="G211" s="72"/>
      <c r="H211" s="174"/>
      <c r="I211" s="72"/>
      <c r="J211" s="73"/>
    </row>
    <row r="212" spans="1:10" ht="18" customHeight="1">
      <c r="A212" s="72"/>
      <c r="B212" s="72"/>
      <c r="C212" s="72"/>
      <c r="D212" s="72"/>
      <c r="E212" s="72"/>
      <c r="F212" s="72"/>
      <c r="G212" s="72"/>
      <c r="H212" s="174"/>
      <c r="I212" s="72"/>
      <c r="J212" s="73"/>
    </row>
    <row r="213" spans="1:10" ht="18" customHeight="1">
      <c r="A213" s="72"/>
      <c r="B213" s="72"/>
      <c r="C213" s="72"/>
      <c r="D213" s="72"/>
      <c r="E213" s="72"/>
      <c r="F213" s="72"/>
      <c r="G213" s="72"/>
      <c r="H213" s="174"/>
      <c r="I213" s="72"/>
      <c r="J213" s="73"/>
    </row>
    <row r="214" spans="1:10" ht="18" customHeight="1">
      <c r="A214" s="72"/>
      <c r="B214" s="72"/>
      <c r="C214" s="72"/>
      <c r="D214" s="72"/>
      <c r="E214" s="72"/>
      <c r="F214" s="72"/>
      <c r="G214" s="72"/>
      <c r="H214" s="174"/>
      <c r="I214" s="72"/>
      <c r="J214" s="73"/>
    </row>
    <row r="215" spans="1:10" ht="18" customHeight="1">
      <c r="A215" s="72"/>
      <c r="B215" s="72"/>
      <c r="C215" s="72"/>
      <c r="D215" s="72"/>
      <c r="E215" s="72"/>
      <c r="F215" s="72"/>
      <c r="G215" s="72"/>
      <c r="H215" s="174"/>
      <c r="I215" s="72"/>
      <c r="J215" s="73"/>
    </row>
    <row r="216" spans="1:10" ht="18" customHeight="1">
      <c r="A216" s="72"/>
      <c r="B216" s="72"/>
      <c r="C216" s="72"/>
      <c r="D216" s="72"/>
      <c r="E216" s="72"/>
      <c r="F216" s="72"/>
      <c r="G216" s="72"/>
      <c r="H216" s="174"/>
      <c r="I216" s="72"/>
      <c r="J216" s="73"/>
    </row>
    <row r="217" spans="1:10" ht="18" customHeight="1">
      <c r="A217" s="72"/>
      <c r="B217" s="72"/>
      <c r="C217" s="72"/>
      <c r="D217" s="72"/>
      <c r="E217" s="72"/>
      <c r="F217" s="72"/>
      <c r="G217" s="72"/>
      <c r="H217" s="174"/>
      <c r="I217" s="72"/>
      <c r="J217" s="73"/>
    </row>
    <row r="218" spans="1:10" ht="18" customHeight="1">
      <c r="A218" s="312" t="s">
        <v>286</v>
      </c>
      <c r="B218" s="72"/>
      <c r="C218" s="72"/>
      <c r="D218" s="72"/>
      <c r="E218" s="72"/>
      <c r="F218" s="139"/>
      <c r="G218" s="139"/>
      <c r="H218" s="139"/>
      <c r="I218" s="72"/>
      <c r="J218" s="73"/>
    </row>
    <row r="219" spans="1:10" ht="18" customHeight="1">
      <c r="A219" s="23" t="s">
        <v>128</v>
      </c>
      <c r="B219" s="24" t="s">
        <v>2</v>
      </c>
      <c r="C219" s="25" t="s">
        <v>3</v>
      </c>
      <c r="D219" s="25" t="s">
        <v>4</v>
      </c>
      <c r="E219" s="25" t="s">
        <v>5</v>
      </c>
      <c r="F219" s="25" t="s">
        <v>6</v>
      </c>
      <c r="G219" s="25" t="s">
        <v>7</v>
      </c>
      <c r="H219" s="26" t="s">
        <v>8</v>
      </c>
      <c r="I219" s="27" t="s">
        <v>9</v>
      </c>
      <c r="J219" s="28" t="s">
        <v>10</v>
      </c>
    </row>
    <row r="220" spans="1:10" ht="18" customHeight="1">
      <c r="A220" s="29" t="s">
        <v>28</v>
      </c>
      <c r="B220" s="30" t="s">
        <v>124</v>
      </c>
      <c r="C220" s="30" t="s">
        <v>124</v>
      </c>
      <c r="D220" s="30" t="s">
        <v>124</v>
      </c>
      <c r="E220" s="30" t="s">
        <v>124</v>
      </c>
      <c r="F220" s="31" t="s">
        <v>125</v>
      </c>
      <c r="G220" s="4"/>
      <c r="H220" s="4" t="s">
        <v>28</v>
      </c>
      <c r="I220" s="45"/>
      <c r="J220" s="32" t="s">
        <v>28</v>
      </c>
    </row>
    <row r="221" spans="1:10" ht="18" customHeight="1">
      <c r="A221" s="313">
        <v>1</v>
      </c>
      <c r="B221" s="130">
        <v>7.75</v>
      </c>
      <c r="C221" s="130">
        <v>7.75</v>
      </c>
      <c r="D221" s="130">
        <v>7.75</v>
      </c>
      <c r="E221" s="130">
        <v>7.75</v>
      </c>
      <c r="F221" s="172">
        <v>6</v>
      </c>
      <c r="G221" s="130"/>
      <c r="H221" s="130" t="s">
        <v>28</v>
      </c>
      <c r="I221" s="130">
        <f>SUM(B221:H221)</f>
        <v>37</v>
      </c>
      <c r="J221" s="173"/>
    </row>
    <row r="222" spans="1:10" ht="18" customHeight="1">
      <c r="A222" s="314"/>
      <c r="B222" s="199" t="s">
        <v>287</v>
      </c>
      <c r="C222" s="199" t="s">
        <v>287</v>
      </c>
      <c r="D222" s="199" t="s">
        <v>287</v>
      </c>
      <c r="E222" s="199" t="s">
        <v>287</v>
      </c>
      <c r="F222" s="199" t="s">
        <v>288</v>
      </c>
      <c r="G222" s="199"/>
      <c r="H222" s="199" t="s">
        <v>28</v>
      </c>
      <c r="I222" s="133"/>
      <c r="J222" s="200"/>
    </row>
    <row r="223" spans="1:10" ht="18" customHeight="1">
      <c r="A223" s="29" t="s">
        <v>28</v>
      </c>
      <c r="B223" s="30" t="s">
        <v>124</v>
      </c>
      <c r="C223" s="30" t="s">
        <v>124</v>
      </c>
      <c r="D223" s="30" t="s">
        <v>124</v>
      </c>
      <c r="E223" s="30" t="s">
        <v>124</v>
      </c>
      <c r="F223" s="31" t="s">
        <v>125</v>
      </c>
      <c r="G223" s="30"/>
      <c r="H223" s="31"/>
      <c r="I223" s="45"/>
      <c r="J223" s="32"/>
    </row>
    <row r="224" spans="1:10" ht="18" customHeight="1">
      <c r="A224" s="313">
        <v>2</v>
      </c>
      <c r="B224" s="130">
        <v>7.75</v>
      </c>
      <c r="C224" s="130">
        <v>7.75</v>
      </c>
      <c r="D224" s="130">
        <v>7.75</v>
      </c>
      <c r="E224" s="130">
        <v>7.75</v>
      </c>
      <c r="F224" s="172">
        <v>6</v>
      </c>
      <c r="G224" s="172"/>
      <c r="H224" s="172"/>
      <c r="I224" s="130">
        <f>SUM(B224:H224)</f>
        <v>37</v>
      </c>
      <c r="J224" s="173"/>
    </row>
    <row r="225" spans="1:10" ht="18" customHeight="1">
      <c r="A225" s="314"/>
      <c r="B225" s="199" t="s">
        <v>287</v>
      </c>
      <c r="C225" s="199" t="s">
        <v>287</v>
      </c>
      <c r="D225" s="199" t="s">
        <v>287</v>
      </c>
      <c r="E225" s="199" t="s">
        <v>287</v>
      </c>
      <c r="F225" s="199" t="s">
        <v>288</v>
      </c>
      <c r="G225" s="182"/>
      <c r="H225" s="178"/>
      <c r="I225" s="133"/>
      <c r="J225" s="200"/>
    </row>
    <row r="226" spans="1:10" ht="18" customHeight="1">
      <c r="A226" s="29"/>
      <c r="B226" s="30" t="s">
        <v>124</v>
      </c>
      <c r="C226" s="30" t="s">
        <v>124</v>
      </c>
      <c r="D226" s="30" t="s">
        <v>124</v>
      </c>
      <c r="E226" s="30" t="s">
        <v>124</v>
      </c>
      <c r="F226" s="31" t="s">
        <v>125</v>
      </c>
      <c r="G226" s="30"/>
      <c r="H226" s="31"/>
      <c r="I226" s="45"/>
      <c r="J226" s="32"/>
    </row>
    <row r="227" spans="1:10" ht="18" customHeight="1">
      <c r="A227" s="313">
        <v>3</v>
      </c>
      <c r="B227" s="130">
        <v>7.75</v>
      </c>
      <c r="C227" s="130">
        <v>7.75</v>
      </c>
      <c r="D227" s="130">
        <v>7.75</v>
      </c>
      <c r="E227" s="130">
        <v>7.75</v>
      </c>
      <c r="F227" s="172">
        <v>6</v>
      </c>
      <c r="G227" s="130"/>
      <c r="H227" s="172"/>
      <c r="I227" s="130">
        <f>SUM(B227:H227)</f>
        <v>37</v>
      </c>
      <c r="J227" s="173"/>
    </row>
    <row r="228" spans="1:10" ht="18" customHeight="1">
      <c r="A228" s="314"/>
      <c r="B228" s="199" t="s">
        <v>287</v>
      </c>
      <c r="C228" s="199" t="s">
        <v>287</v>
      </c>
      <c r="D228" s="199" t="s">
        <v>287</v>
      </c>
      <c r="E228" s="199" t="s">
        <v>287</v>
      </c>
      <c r="F228" s="199" t="s">
        <v>288</v>
      </c>
      <c r="G228" s="133"/>
      <c r="H228" s="178"/>
      <c r="I228" s="133"/>
      <c r="J228" s="200"/>
    </row>
    <row r="229" spans="1:10" ht="18" customHeight="1">
      <c r="A229" s="287"/>
      <c r="B229" s="30" t="s">
        <v>124</v>
      </c>
      <c r="C229" s="30" t="s">
        <v>124</v>
      </c>
      <c r="D229" s="30" t="s">
        <v>124</v>
      </c>
      <c r="E229" s="30" t="s">
        <v>124</v>
      </c>
      <c r="F229" s="31" t="s">
        <v>125</v>
      </c>
      <c r="G229" s="31"/>
      <c r="H229" s="31"/>
      <c r="I229" s="45"/>
      <c r="J229" s="32"/>
    </row>
    <row r="230" spans="1:10" ht="18" customHeight="1">
      <c r="A230" s="313">
        <v>4</v>
      </c>
      <c r="B230" s="130">
        <v>7.75</v>
      </c>
      <c r="C230" s="130">
        <v>7.75</v>
      </c>
      <c r="D230" s="130">
        <v>7.75</v>
      </c>
      <c r="E230" s="130">
        <v>7.75</v>
      </c>
      <c r="F230" s="172">
        <v>6</v>
      </c>
      <c r="G230" s="172"/>
      <c r="H230" s="172"/>
      <c r="I230" s="130">
        <f>SUM(B230:H230)</f>
        <v>37</v>
      </c>
      <c r="J230" s="173"/>
    </row>
    <row r="231" spans="1:10" ht="18" customHeight="1">
      <c r="A231" s="314"/>
      <c r="B231" s="199" t="s">
        <v>287</v>
      </c>
      <c r="C231" s="199" t="s">
        <v>287</v>
      </c>
      <c r="D231" s="199" t="s">
        <v>287</v>
      </c>
      <c r="E231" s="199" t="s">
        <v>287</v>
      </c>
      <c r="F231" s="199" t="s">
        <v>288</v>
      </c>
      <c r="G231" s="178"/>
      <c r="H231" s="178"/>
      <c r="I231" s="133"/>
      <c r="J231" s="200"/>
    </row>
    <row r="232" spans="1:10" ht="18" customHeight="1">
      <c r="A232" s="29"/>
      <c r="B232" s="30" t="s">
        <v>124</v>
      </c>
      <c r="C232" s="30" t="s">
        <v>124</v>
      </c>
      <c r="D232" s="30" t="s">
        <v>124</v>
      </c>
      <c r="E232" s="30" t="s">
        <v>124</v>
      </c>
      <c r="F232" s="31" t="s">
        <v>125</v>
      </c>
      <c r="G232" s="31"/>
      <c r="H232" s="31"/>
      <c r="I232" s="45"/>
      <c r="J232" s="32"/>
    </row>
    <row r="233" spans="1:10" ht="18" customHeight="1">
      <c r="A233" s="313">
        <v>5</v>
      </c>
      <c r="B233" s="130">
        <v>7.75</v>
      </c>
      <c r="C233" s="130">
        <v>7.75</v>
      </c>
      <c r="D233" s="130">
        <v>7.75</v>
      </c>
      <c r="E233" s="130">
        <v>7.75</v>
      </c>
      <c r="F233" s="172">
        <v>6</v>
      </c>
      <c r="G233" s="172"/>
      <c r="H233" s="172"/>
      <c r="I233" s="130">
        <f>SUM(B233:H233)</f>
        <v>37</v>
      </c>
      <c r="J233" s="173"/>
    </row>
    <row r="234" spans="1:10" ht="18" customHeight="1">
      <c r="A234" s="315"/>
      <c r="B234" s="164" t="s">
        <v>287</v>
      </c>
      <c r="C234" s="164" t="s">
        <v>287</v>
      </c>
      <c r="D234" s="164" t="s">
        <v>287</v>
      </c>
      <c r="E234" s="164" t="s">
        <v>287</v>
      </c>
      <c r="F234" s="164" t="s">
        <v>288</v>
      </c>
      <c r="G234" s="140"/>
      <c r="H234" s="140"/>
      <c r="I234" s="34"/>
      <c r="J234" s="142"/>
    </row>
    <row r="235" spans="1:10" ht="18" customHeight="1">
      <c r="A235" s="29"/>
      <c r="B235" s="30" t="s">
        <v>124</v>
      </c>
      <c r="C235" s="30" t="s">
        <v>124</v>
      </c>
      <c r="D235" s="30" t="s">
        <v>124</v>
      </c>
      <c r="E235" s="30" t="s">
        <v>124</v>
      </c>
      <c r="F235" s="31" t="s">
        <v>125</v>
      </c>
      <c r="G235" s="31"/>
      <c r="H235" s="31"/>
      <c r="I235" s="45"/>
      <c r="J235" s="32"/>
    </row>
    <row r="236" spans="1:10" ht="18" customHeight="1">
      <c r="A236" s="313">
        <v>6</v>
      </c>
      <c r="B236" s="130">
        <v>7.75</v>
      </c>
      <c r="C236" s="130">
        <v>7.75</v>
      </c>
      <c r="D236" s="130">
        <v>7.75</v>
      </c>
      <c r="E236" s="130">
        <v>7.75</v>
      </c>
      <c r="F236" s="172">
        <v>6</v>
      </c>
      <c r="G236" s="172"/>
      <c r="H236" s="172"/>
      <c r="I236" s="130">
        <f>SUM(B236:H236)</f>
        <v>37</v>
      </c>
      <c r="J236" s="173"/>
    </row>
    <row r="237" spans="1:10" ht="18" customHeight="1">
      <c r="A237" s="315"/>
      <c r="B237" s="164" t="s">
        <v>287</v>
      </c>
      <c r="C237" s="164" t="s">
        <v>287</v>
      </c>
      <c r="D237" s="164" t="s">
        <v>287</v>
      </c>
      <c r="E237" s="164" t="s">
        <v>287</v>
      </c>
      <c r="F237" s="164" t="s">
        <v>288</v>
      </c>
      <c r="G237" s="140"/>
      <c r="H237" s="140"/>
      <c r="I237" s="34"/>
      <c r="J237" s="142"/>
    </row>
    <row r="238" spans="1:10" ht="18" customHeight="1">
      <c r="A238" s="196" t="s">
        <v>30</v>
      </c>
      <c r="B238" s="196">
        <f t="shared" ref="B238:H238" si="5">SUM(B221,B224,B227,B230,B233,B236)</f>
        <v>46.5</v>
      </c>
      <c r="C238" s="196">
        <f t="shared" si="5"/>
        <v>46.5</v>
      </c>
      <c r="D238" s="196">
        <f t="shared" si="5"/>
        <v>46.5</v>
      </c>
      <c r="E238" s="196">
        <f t="shared" si="5"/>
        <v>46.5</v>
      </c>
      <c r="F238" s="196">
        <f t="shared" si="5"/>
        <v>36</v>
      </c>
      <c r="G238" s="196">
        <f t="shared" si="5"/>
        <v>0</v>
      </c>
      <c r="H238" s="196">
        <f t="shared" si="5"/>
        <v>0</v>
      </c>
      <c r="I238" s="311">
        <f>SUM(I221,I224,I227,I230,I236)</f>
        <v>185</v>
      </c>
      <c r="J238" s="203"/>
    </row>
    <row r="239" spans="1:10" ht="18" customHeight="1">
      <c r="A239" s="312"/>
      <c r="B239" s="72"/>
      <c r="C239" s="72"/>
      <c r="D239" s="72"/>
      <c r="E239" s="72"/>
      <c r="F239" s="139"/>
      <c r="G239" s="204" t="s">
        <v>152</v>
      </c>
      <c r="H239" s="204" t="s">
        <v>153</v>
      </c>
      <c r="I239" s="204" t="s">
        <v>154</v>
      </c>
      <c r="J239" s="73"/>
    </row>
    <row r="240" spans="1:10" ht="18" customHeight="1">
      <c r="A240" s="312"/>
      <c r="B240" s="72"/>
      <c r="C240" s="72"/>
      <c r="D240" s="72"/>
      <c r="E240" s="72"/>
      <c r="F240" s="139"/>
      <c r="G240" s="130">
        <f>I238</f>
        <v>185</v>
      </c>
      <c r="H240" s="169">
        <f>SUM(G240*13/3)</f>
        <v>801.66666666666663</v>
      </c>
      <c r="I240" s="130">
        <f>SUM(H240*12)</f>
        <v>9620</v>
      </c>
      <c r="J240" s="73"/>
    </row>
    <row r="241" spans="1:10" ht="18" customHeight="1">
      <c r="A241" s="312"/>
      <c r="B241" s="72"/>
      <c r="C241" s="72"/>
      <c r="D241" s="72"/>
      <c r="E241" s="72"/>
      <c r="F241" s="139"/>
      <c r="G241" s="72"/>
      <c r="H241" s="174"/>
      <c r="I241" s="72"/>
      <c r="J241" s="73"/>
    </row>
    <row r="242" spans="1:10" ht="18" customHeight="1">
      <c r="A242" t="s">
        <v>289</v>
      </c>
      <c r="B242" s="72"/>
      <c r="C242" s="72"/>
      <c r="D242" s="72"/>
      <c r="E242" s="72"/>
      <c r="F242" s="139"/>
      <c r="G242" s="139"/>
      <c r="H242" s="139"/>
      <c r="I242" s="72"/>
      <c r="J242" s="73"/>
    </row>
    <row r="243" spans="1:10" ht="18" customHeight="1">
      <c r="A243" s="316" t="s">
        <v>290</v>
      </c>
      <c r="B243" s="24" t="s">
        <v>2</v>
      </c>
      <c r="C243" s="25" t="s">
        <v>3</v>
      </c>
      <c r="D243" s="25" t="s">
        <v>4</v>
      </c>
      <c r="E243" s="25" t="s">
        <v>5</v>
      </c>
      <c r="F243" s="25" t="s">
        <v>6</v>
      </c>
      <c r="G243" s="25" t="s">
        <v>7</v>
      </c>
      <c r="H243" s="26" t="s">
        <v>8</v>
      </c>
      <c r="I243" s="27" t="s">
        <v>9</v>
      </c>
      <c r="J243" s="28" t="s">
        <v>10</v>
      </c>
    </row>
    <row r="244" spans="1:10" ht="18" customHeight="1">
      <c r="A244" s="317" t="s">
        <v>291</v>
      </c>
      <c r="B244" s="50" t="s">
        <v>292</v>
      </c>
      <c r="C244" s="192" t="s">
        <v>293</v>
      </c>
      <c r="D244" s="50" t="s">
        <v>292</v>
      </c>
      <c r="E244" s="50" t="s">
        <v>292</v>
      </c>
      <c r="F244" s="45" t="s">
        <v>294</v>
      </c>
      <c r="G244" s="192"/>
      <c r="H244" s="50"/>
      <c r="I244" s="45"/>
      <c r="J244" s="32" t="s">
        <v>28</v>
      </c>
    </row>
    <row r="245" spans="1:10" ht="18" customHeight="1">
      <c r="A245" s="318" t="s">
        <v>28</v>
      </c>
      <c r="B245" s="319" t="s">
        <v>295</v>
      </c>
      <c r="C245" s="319" t="s">
        <v>295</v>
      </c>
      <c r="D245" s="319" t="s">
        <v>295</v>
      </c>
      <c r="E245" s="319" t="s">
        <v>295</v>
      </c>
      <c r="F245" s="319" t="s">
        <v>296</v>
      </c>
      <c r="G245" s="193"/>
      <c r="H245" s="153"/>
      <c r="I245" s="319"/>
      <c r="J245" s="173"/>
    </row>
    <row r="246" spans="1:10" ht="18" customHeight="1">
      <c r="A246" s="320"/>
      <c r="B246" s="321">
        <v>7.5</v>
      </c>
      <c r="C246" s="321">
        <v>7.5</v>
      </c>
      <c r="D246" s="321">
        <v>7.5</v>
      </c>
      <c r="E246" s="321">
        <v>7.5</v>
      </c>
      <c r="F246" s="321">
        <v>7</v>
      </c>
      <c r="G246" s="322"/>
      <c r="H246" s="52"/>
      <c r="I246" s="321"/>
      <c r="J246" s="323"/>
    </row>
    <row r="247" spans="1:10" ht="18" customHeight="1">
      <c r="A247" s="196" t="s">
        <v>30</v>
      </c>
      <c r="B247" s="324">
        <f>B246</f>
        <v>7.5</v>
      </c>
      <c r="C247" s="324">
        <f>C246</f>
        <v>7.5</v>
      </c>
      <c r="D247" s="324">
        <f>D246</f>
        <v>7.5</v>
      </c>
      <c r="E247" s="324">
        <f>E246</f>
        <v>7.5</v>
      </c>
      <c r="F247" s="324">
        <f>F246</f>
        <v>7</v>
      </c>
      <c r="G247" s="196">
        <f>SUM(G230,G236,G239,G242,G245)</f>
        <v>0</v>
      </c>
      <c r="H247" s="196">
        <f>SUM(H230,H236,H239,H242,H245)</f>
        <v>0</v>
      </c>
      <c r="I247" s="325">
        <v>37</v>
      </c>
      <c r="J247" s="203"/>
    </row>
    <row r="248" spans="1:10" ht="18" customHeight="1">
      <c r="A248" s="312"/>
      <c r="B248" s="72"/>
      <c r="C248" s="72"/>
      <c r="D248" s="72"/>
      <c r="E248" s="72"/>
      <c r="F248" s="139"/>
      <c r="G248" s="204" t="s">
        <v>152</v>
      </c>
      <c r="H248" s="204" t="s">
        <v>153</v>
      </c>
      <c r="I248" s="204" t="s">
        <v>154</v>
      </c>
      <c r="J248" s="73"/>
    </row>
    <row r="249" spans="1:10" ht="18" customHeight="1">
      <c r="A249" s="312"/>
      <c r="B249" s="72"/>
      <c r="C249" s="72"/>
      <c r="D249" s="72"/>
      <c r="E249" s="72"/>
      <c r="F249" s="139"/>
      <c r="G249" s="130">
        <f>I247</f>
        <v>37</v>
      </c>
      <c r="H249" s="169">
        <f>SUM(G249*13/3)</f>
        <v>160.33333333333334</v>
      </c>
      <c r="I249" s="130">
        <f>SUM(H249*12)</f>
        <v>1924</v>
      </c>
      <c r="J249" s="73"/>
    </row>
    <row r="250" spans="1:10" ht="18" customHeight="1">
      <c r="A250" s="312"/>
      <c r="B250" s="72"/>
      <c r="C250" s="72"/>
      <c r="D250" s="72"/>
      <c r="E250" s="72"/>
      <c r="F250" s="139"/>
      <c r="G250" s="139"/>
      <c r="H250" s="139"/>
      <c r="I250" s="72"/>
      <c r="J250" s="73"/>
    </row>
    <row r="251" spans="1:10" ht="18" customHeight="1">
      <c r="A251" s="312"/>
      <c r="B251" s="72"/>
      <c r="C251" s="72"/>
      <c r="D251" s="72"/>
      <c r="E251" s="72"/>
      <c r="F251" s="139"/>
      <c r="G251" s="139"/>
      <c r="H251" s="139"/>
      <c r="I251" s="72"/>
      <c r="J251" s="73"/>
    </row>
    <row r="252" spans="1:10" ht="18" customHeight="1">
      <c r="A252" s="312"/>
      <c r="B252" s="72"/>
      <c r="C252" s="72"/>
      <c r="D252" s="72"/>
      <c r="E252" s="72"/>
      <c r="F252" s="139"/>
      <c r="G252" s="139"/>
      <c r="H252" s="139"/>
      <c r="I252" s="72"/>
      <c r="J252" s="73"/>
    </row>
    <row r="253" spans="1:10" ht="18" customHeight="1">
      <c r="A253" s="312"/>
      <c r="B253" s="72"/>
      <c r="C253" s="72"/>
      <c r="D253" s="72"/>
      <c r="E253" s="72"/>
      <c r="F253" s="139"/>
      <c r="G253" s="139"/>
      <c r="H253" s="139"/>
      <c r="I253" s="72"/>
      <c r="J253" s="73"/>
    </row>
    <row r="254" spans="1:10" ht="20.100000000000001" customHeight="1">
      <c r="A254" s="312" t="s">
        <v>297</v>
      </c>
      <c r="B254" s="72"/>
      <c r="C254" s="72"/>
      <c r="D254" s="72"/>
      <c r="E254" s="72"/>
      <c r="F254" s="139"/>
      <c r="G254" s="139"/>
      <c r="H254" s="139"/>
      <c r="I254" s="72"/>
      <c r="J254" s="73"/>
    </row>
    <row r="255" spans="1:10" ht="20.100000000000001" customHeight="1">
      <c r="A255" s="205" t="s">
        <v>298</v>
      </c>
      <c r="B255" s="24" t="s">
        <v>2</v>
      </c>
      <c r="C255" s="25" t="s">
        <v>3</v>
      </c>
      <c r="D255" s="25" t="s">
        <v>4</v>
      </c>
      <c r="E255" s="25" t="s">
        <v>5</v>
      </c>
      <c r="F255" s="25" t="s">
        <v>6</v>
      </c>
      <c r="G255" s="25" t="s">
        <v>7</v>
      </c>
      <c r="H255" s="26" t="s">
        <v>8</v>
      </c>
      <c r="I255" s="27" t="s">
        <v>9</v>
      </c>
      <c r="J255" s="28" t="s">
        <v>10</v>
      </c>
    </row>
    <row r="256" spans="1:10" ht="20.100000000000001" customHeight="1">
      <c r="A256" s="29" t="s">
        <v>28</v>
      </c>
      <c r="B256" s="5" t="s">
        <v>299</v>
      </c>
      <c r="C256" s="5" t="s">
        <v>299</v>
      </c>
      <c r="D256" s="5" t="s">
        <v>299</v>
      </c>
      <c r="E256" s="5" t="s">
        <v>299</v>
      </c>
      <c r="F256" s="5" t="s">
        <v>299</v>
      </c>
      <c r="G256" s="5"/>
      <c r="H256" s="5"/>
      <c r="I256" s="7"/>
      <c r="J256" s="32"/>
    </row>
    <row r="257" spans="1:10" ht="20.100000000000001" customHeight="1">
      <c r="A257" s="313" t="s">
        <v>300</v>
      </c>
      <c r="B257" s="172">
        <v>8.5</v>
      </c>
      <c r="C257" s="172">
        <v>8.5</v>
      </c>
      <c r="D257" s="172">
        <v>8.5</v>
      </c>
      <c r="E257" s="172">
        <v>8.5</v>
      </c>
      <c r="F257" s="172">
        <v>8.5</v>
      </c>
      <c r="G257" s="172"/>
      <c r="H257" s="172"/>
      <c r="I257" s="130">
        <f>SUM(B257:H257)</f>
        <v>42.5</v>
      </c>
      <c r="J257" s="173"/>
    </row>
    <row r="258" spans="1:10" ht="20.100000000000001" customHeight="1">
      <c r="A258" s="314"/>
      <c r="B258" s="260" t="s">
        <v>301</v>
      </c>
      <c r="C258" s="260" t="s">
        <v>301</v>
      </c>
      <c r="D258" s="260" t="s">
        <v>301</v>
      </c>
      <c r="E258" s="260" t="s">
        <v>301</v>
      </c>
      <c r="F258" s="260" t="s">
        <v>301</v>
      </c>
      <c r="G258" s="260"/>
      <c r="H258" s="260"/>
      <c r="I258" s="124"/>
      <c r="J258" s="85"/>
    </row>
    <row r="259" spans="1:10" ht="20.100000000000001" customHeight="1">
      <c r="A259" s="29" t="s">
        <v>28</v>
      </c>
      <c r="B259" s="5" t="s">
        <v>302</v>
      </c>
      <c r="C259" s="5" t="s">
        <v>302</v>
      </c>
      <c r="D259" s="5" t="s">
        <v>302</v>
      </c>
      <c r="E259" s="5" t="s">
        <v>302</v>
      </c>
      <c r="F259" s="5" t="s">
        <v>302</v>
      </c>
      <c r="G259" s="5" t="s">
        <v>303</v>
      </c>
      <c r="H259" s="5" t="s">
        <v>303</v>
      </c>
      <c r="I259" s="7"/>
      <c r="J259" s="32" t="s">
        <v>304</v>
      </c>
    </row>
    <row r="260" spans="1:10" ht="20.100000000000001" customHeight="1">
      <c r="A260" s="313" t="s">
        <v>305</v>
      </c>
      <c r="B260" s="130">
        <v>7</v>
      </c>
      <c r="C260" s="130">
        <v>7</v>
      </c>
      <c r="D260" s="130">
        <v>7</v>
      </c>
      <c r="E260" s="130">
        <v>7</v>
      </c>
      <c r="F260" s="130">
        <v>7</v>
      </c>
      <c r="G260" s="172">
        <v>12</v>
      </c>
      <c r="H260" s="172">
        <v>12</v>
      </c>
      <c r="I260" s="130">
        <f>SUM(B260:H260)</f>
        <v>59</v>
      </c>
      <c r="J260" s="173" t="s">
        <v>306</v>
      </c>
    </row>
    <row r="261" spans="1:10" ht="20.100000000000001" customHeight="1">
      <c r="A261" s="314"/>
      <c r="B261" s="260" t="s">
        <v>307</v>
      </c>
      <c r="C261" s="260" t="s">
        <v>307</v>
      </c>
      <c r="D261" s="260" t="s">
        <v>307</v>
      </c>
      <c r="E261" s="260" t="s">
        <v>307</v>
      </c>
      <c r="F261" s="260" t="s">
        <v>307</v>
      </c>
      <c r="G261" s="260" t="s">
        <v>308</v>
      </c>
      <c r="H261" s="260" t="s">
        <v>308</v>
      </c>
      <c r="I261" s="124"/>
      <c r="J261" s="85"/>
    </row>
    <row r="262" spans="1:10" ht="20.100000000000001" customHeight="1">
      <c r="A262" s="29"/>
      <c r="B262" s="30" t="s">
        <v>167</v>
      </c>
      <c r="C262" s="30" t="s">
        <v>167</v>
      </c>
      <c r="D262" s="30" t="s">
        <v>167</v>
      </c>
      <c r="E262" s="30" t="s">
        <v>167</v>
      </c>
      <c r="F262" s="30" t="s">
        <v>167</v>
      </c>
      <c r="G262" s="31"/>
      <c r="H262" s="31"/>
      <c r="I262" s="7"/>
      <c r="J262" s="32"/>
    </row>
    <row r="263" spans="1:10" ht="20.100000000000001" customHeight="1">
      <c r="A263" s="313" t="s">
        <v>309</v>
      </c>
      <c r="B263" s="130"/>
      <c r="C263" s="130"/>
      <c r="D263" s="130"/>
      <c r="E263" s="130"/>
      <c r="F263" s="130"/>
      <c r="G263" s="172"/>
      <c r="H263" s="172"/>
      <c r="I263" s="130">
        <f>SUM(B263:H263)</f>
        <v>0</v>
      </c>
      <c r="J263" s="173"/>
    </row>
    <row r="264" spans="1:10" ht="20.100000000000001" customHeight="1">
      <c r="A264" s="314"/>
      <c r="B264" s="326" t="s">
        <v>310</v>
      </c>
      <c r="C264" s="326" t="s">
        <v>310</v>
      </c>
      <c r="D264" s="326" t="s">
        <v>310</v>
      </c>
      <c r="E264" s="326" t="s">
        <v>310</v>
      </c>
      <c r="F264" s="326" t="s">
        <v>310</v>
      </c>
      <c r="G264" s="124"/>
      <c r="H264" s="125"/>
      <c r="I264" s="124"/>
      <c r="J264" s="85"/>
    </row>
    <row r="265" spans="1:10" ht="20.100000000000001" customHeight="1">
      <c r="A265" s="287"/>
      <c r="B265" s="5" t="s">
        <v>311</v>
      </c>
      <c r="C265" s="5" t="s">
        <v>311</v>
      </c>
      <c r="D265" s="5" t="s">
        <v>311</v>
      </c>
      <c r="E265" s="5" t="s">
        <v>311</v>
      </c>
      <c r="F265" s="5" t="s">
        <v>311</v>
      </c>
      <c r="G265" s="31"/>
      <c r="H265" s="31"/>
      <c r="I265" s="7"/>
      <c r="J265" s="32" t="s">
        <v>28</v>
      </c>
    </row>
    <row r="266" spans="1:10" ht="20.100000000000001" customHeight="1">
      <c r="A266" s="313" t="s">
        <v>312</v>
      </c>
      <c r="B266" s="130">
        <v>7.75</v>
      </c>
      <c r="C266" s="130">
        <v>7.75</v>
      </c>
      <c r="D266" s="130">
        <v>7.75</v>
      </c>
      <c r="E266" s="130">
        <v>7.75</v>
      </c>
      <c r="F266" s="130">
        <v>7.75</v>
      </c>
      <c r="G266" s="172"/>
      <c r="H266" s="172"/>
      <c r="I266" s="130">
        <f>SUM(B266:H266)</f>
        <v>38.75</v>
      </c>
      <c r="J266" s="173"/>
    </row>
    <row r="267" spans="1:10" ht="20.100000000000001" customHeight="1">
      <c r="A267" s="314"/>
      <c r="B267" s="260" t="s">
        <v>313</v>
      </c>
      <c r="C267" s="260" t="s">
        <v>313</v>
      </c>
      <c r="D267" s="260" t="s">
        <v>313</v>
      </c>
      <c r="E267" s="260" t="s">
        <v>313</v>
      </c>
      <c r="F267" s="260" t="s">
        <v>313</v>
      </c>
      <c r="G267" s="125"/>
      <c r="H267" s="125"/>
      <c r="I267" s="124"/>
      <c r="J267" s="85"/>
    </row>
    <row r="268" spans="1:10" ht="20.100000000000001" customHeight="1">
      <c r="A268" s="29"/>
      <c r="B268" s="30"/>
      <c r="C268" s="30"/>
      <c r="D268" s="30"/>
      <c r="E268" s="30"/>
      <c r="F268" s="30"/>
      <c r="G268" s="30"/>
      <c r="H268" s="30"/>
      <c r="I268" s="7"/>
      <c r="J268" s="32" t="s">
        <v>28</v>
      </c>
    </row>
    <row r="269" spans="1:10" ht="20.100000000000001" customHeight="1">
      <c r="A269" s="313" t="s">
        <v>314</v>
      </c>
      <c r="B269" s="130"/>
      <c r="C269" s="130"/>
      <c r="D269" s="130"/>
      <c r="E269" s="130"/>
      <c r="F269" s="130"/>
      <c r="G269" s="172"/>
      <c r="H269" s="172"/>
      <c r="I269" s="130">
        <f>SUM(B269:H269)</f>
        <v>0</v>
      </c>
      <c r="J269" s="173" t="s">
        <v>28</v>
      </c>
    </row>
    <row r="270" spans="1:10" ht="20.100000000000001" customHeight="1">
      <c r="A270" s="315"/>
      <c r="B270" s="260" t="s">
        <v>315</v>
      </c>
      <c r="C270" s="260" t="s">
        <v>315</v>
      </c>
      <c r="D270" s="260" t="s">
        <v>315</v>
      </c>
      <c r="E270" s="260" t="s">
        <v>315</v>
      </c>
      <c r="F270" s="260" t="s">
        <v>315</v>
      </c>
      <c r="G270" s="126"/>
      <c r="H270" s="126"/>
      <c r="I270" s="17"/>
      <c r="J270" s="37"/>
    </row>
    <row r="271" spans="1:10" ht="20.100000000000001" customHeight="1">
      <c r="A271" s="327"/>
      <c r="B271" s="30"/>
      <c r="C271" s="30"/>
      <c r="D271" s="30"/>
      <c r="E271" s="30"/>
      <c r="F271" s="30"/>
      <c r="G271" s="30"/>
      <c r="H271" s="30"/>
      <c r="I271" s="7"/>
      <c r="J271" s="32" t="s">
        <v>28</v>
      </c>
    </row>
    <row r="272" spans="1:10" ht="20.100000000000001" customHeight="1">
      <c r="A272" s="327" t="s">
        <v>316</v>
      </c>
      <c r="B272" s="130"/>
      <c r="C272" s="130"/>
      <c r="D272" s="130"/>
      <c r="E272" s="130"/>
      <c r="F272" s="130"/>
      <c r="G272" s="172"/>
      <c r="H272" s="172"/>
      <c r="I272" s="130">
        <f>SUM(B272:H272)</f>
        <v>0</v>
      </c>
      <c r="J272" s="173"/>
    </row>
    <row r="273" spans="1:10" ht="20.100000000000001" customHeight="1">
      <c r="A273" s="327"/>
      <c r="B273" s="326"/>
      <c r="C273" s="326"/>
      <c r="D273" s="326"/>
      <c r="E273" s="326"/>
      <c r="F273" s="326"/>
      <c r="G273" s="126"/>
      <c r="H273" s="126"/>
      <c r="I273" s="124"/>
      <c r="J273" s="85"/>
    </row>
    <row r="274" spans="1:10" ht="20.100000000000001" customHeight="1">
      <c r="A274" s="29"/>
      <c r="B274" s="30"/>
      <c r="C274" s="30"/>
      <c r="D274" s="30"/>
      <c r="E274" s="30"/>
      <c r="F274" s="30"/>
      <c r="G274" s="31"/>
      <c r="H274" s="31"/>
      <c r="I274" s="7"/>
      <c r="J274" s="32"/>
    </row>
    <row r="275" spans="1:10" ht="20.100000000000001" customHeight="1">
      <c r="A275" s="313" t="s">
        <v>317</v>
      </c>
      <c r="B275" s="130"/>
      <c r="C275" s="130"/>
      <c r="D275" s="130"/>
      <c r="E275" s="130"/>
      <c r="F275" s="130"/>
      <c r="G275" s="172"/>
      <c r="H275" s="172"/>
      <c r="I275" s="130">
        <f>SUM(B275:H275)</f>
        <v>0</v>
      </c>
      <c r="J275" s="173"/>
    </row>
    <row r="276" spans="1:10" ht="20.100000000000001" customHeight="1">
      <c r="A276" s="315"/>
      <c r="B276" s="326"/>
      <c r="C276" s="326"/>
      <c r="D276" s="326"/>
      <c r="E276" s="326"/>
      <c r="F276" s="326"/>
      <c r="G276" s="18"/>
      <c r="H276" s="18"/>
      <c r="I276" s="17"/>
      <c r="J276" s="37"/>
    </row>
    <row r="277" spans="1:10" ht="20.100000000000001" customHeight="1">
      <c r="A277" s="196" t="s">
        <v>30</v>
      </c>
      <c r="B277" s="196">
        <f t="shared" ref="B277:I277" si="6">SUM(B257,B260,B263,B266,B269,B272,B275)</f>
        <v>23.25</v>
      </c>
      <c r="C277" s="196">
        <f t="shared" si="6"/>
        <v>23.25</v>
      </c>
      <c r="D277" s="196">
        <f t="shared" si="6"/>
        <v>23.25</v>
      </c>
      <c r="E277" s="196">
        <f t="shared" si="6"/>
        <v>23.25</v>
      </c>
      <c r="F277" s="196">
        <f t="shared" si="6"/>
        <v>23.25</v>
      </c>
      <c r="G277" s="196">
        <f t="shared" si="6"/>
        <v>12</v>
      </c>
      <c r="H277" s="196">
        <f t="shared" si="6"/>
        <v>12</v>
      </c>
      <c r="I277" s="196">
        <f t="shared" si="6"/>
        <v>140.25</v>
      </c>
      <c r="J277" s="203"/>
    </row>
    <row r="278" spans="1:10" ht="20.100000000000001" customHeight="1">
      <c r="A278" s="312"/>
      <c r="B278" s="72"/>
      <c r="C278" s="72"/>
      <c r="D278" s="72"/>
      <c r="E278" s="72"/>
      <c r="F278" s="139"/>
      <c r="G278" s="204" t="s">
        <v>152</v>
      </c>
      <c r="H278" s="204" t="s">
        <v>153</v>
      </c>
      <c r="I278" s="204" t="s">
        <v>154</v>
      </c>
      <c r="J278" s="73"/>
    </row>
    <row r="279" spans="1:10" ht="20.100000000000001" customHeight="1">
      <c r="A279" s="312"/>
      <c r="B279" s="72"/>
      <c r="C279" s="72"/>
      <c r="D279" s="72"/>
      <c r="E279" s="72"/>
      <c r="F279" s="139"/>
      <c r="G279" s="130">
        <f>I277</f>
        <v>140.25</v>
      </c>
      <c r="H279" s="169">
        <f>SUM(G279*13/3)</f>
        <v>607.75</v>
      </c>
      <c r="I279" s="130">
        <f>SUM(H279*12)</f>
        <v>7293</v>
      </c>
      <c r="J279" s="73"/>
    </row>
    <row r="280" spans="1:10" ht="20.100000000000001" customHeight="1">
      <c r="A280" s="72"/>
      <c r="B280" s="72"/>
      <c r="C280" s="72"/>
      <c r="D280" s="72"/>
      <c r="E280" s="72"/>
      <c r="F280" s="139"/>
      <c r="G280" s="139"/>
      <c r="H280" s="139"/>
      <c r="I280" s="72"/>
      <c r="J280" s="73"/>
    </row>
    <row r="281" spans="1:10" ht="20.100000000000001" customHeight="1">
      <c r="A281" s="72"/>
      <c r="B281" s="72"/>
      <c r="C281" s="72"/>
      <c r="D281" s="72"/>
      <c r="E281" s="72"/>
      <c r="F281" s="139"/>
      <c r="G281" s="139"/>
      <c r="H281" s="139"/>
      <c r="I281" s="72"/>
      <c r="J281" s="73"/>
    </row>
    <row r="282" spans="1:10" ht="20.100000000000001" customHeight="1">
      <c r="A282" s="72"/>
      <c r="B282" s="72"/>
      <c r="C282" s="72"/>
      <c r="D282" s="72"/>
      <c r="E282" s="72"/>
      <c r="F282" s="139"/>
      <c r="G282" s="139"/>
      <c r="H282" s="139"/>
      <c r="I282" s="72"/>
      <c r="J282" s="73"/>
    </row>
    <row r="283" spans="1:10" ht="20.100000000000001" customHeight="1">
      <c r="A283" s="72"/>
      <c r="B283" s="72"/>
      <c r="C283" s="72"/>
      <c r="D283" s="72"/>
      <c r="E283" s="72"/>
      <c r="F283" s="139"/>
      <c r="G283" s="139"/>
      <c r="H283" s="139"/>
      <c r="I283" s="72"/>
      <c r="J283" s="73"/>
    </row>
    <row r="284" spans="1:10" ht="20.100000000000001" customHeight="1">
      <c r="A284" s="72"/>
      <c r="B284" s="274"/>
      <c r="C284" s="274"/>
      <c r="D284" s="274"/>
      <c r="E284" s="274"/>
      <c r="F284" s="274"/>
      <c r="G284" s="139"/>
      <c r="H284" s="139"/>
      <c r="I284" s="72"/>
      <c r="J284" s="73"/>
    </row>
    <row r="285" spans="1:10" ht="20.100000000000001" customHeight="1">
      <c r="A285" s="72"/>
      <c r="B285" s="72"/>
      <c r="C285" s="72"/>
      <c r="D285" s="72"/>
      <c r="E285" s="72"/>
      <c r="F285" s="139"/>
      <c r="G285" s="139"/>
      <c r="H285" s="139"/>
      <c r="I285" s="72"/>
      <c r="J285" s="73"/>
    </row>
    <row r="286" spans="1:10" ht="20.100000000000001" customHeight="1">
      <c r="A286" s="328"/>
      <c r="B286" s="150" t="s">
        <v>2</v>
      </c>
      <c r="C286" s="63" t="s">
        <v>3</v>
      </c>
      <c r="D286" s="63" t="s">
        <v>4</v>
      </c>
      <c r="E286" s="63" t="s">
        <v>5</v>
      </c>
      <c r="F286" s="63" t="s">
        <v>6</v>
      </c>
      <c r="G286" s="63" t="s">
        <v>7</v>
      </c>
      <c r="H286" s="151" t="s">
        <v>8</v>
      </c>
      <c r="I286" s="152" t="s">
        <v>137</v>
      </c>
      <c r="J286" s="73"/>
    </row>
    <row r="287" spans="1:10" ht="20.100000000000001" customHeight="1">
      <c r="A287" s="329" t="s">
        <v>138</v>
      </c>
      <c r="B287" s="330">
        <f t="shared" ref="B287:I287" si="7">SUM(B4,B11,B53,B65,B116,B163,B169,B189,B204,B238,B247,B277)</f>
        <v>276</v>
      </c>
      <c r="C287" s="330">
        <f t="shared" si="7"/>
        <v>276</v>
      </c>
      <c r="D287" s="330">
        <f t="shared" si="7"/>
        <v>276</v>
      </c>
      <c r="E287" s="330">
        <f t="shared" si="7"/>
        <v>276</v>
      </c>
      <c r="F287" s="330">
        <f t="shared" si="7"/>
        <v>246.5</v>
      </c>
      <c r="G287" s="330">
        <f t="shared" si="7"/>
        <v>105</v>
      </c>
      <c r="H287" s="330">
        <f t="shared" si="7"/>
        <v>108</v>
      </c>
      <c r="I287" s="330">
        <f t="shared" si="7"/>
        <v>1526.5</v>
      </c>
      <c r="J287" s="73"/>
    </row>
    <row r="288" spans="1:10" ht="20.100000000000001" customHeight="1">
      <c r="A288" s="331" t="s">
        <v>140</v>
      </c>
      <c r="B288" s="17">
        <f t="shared" ref="B288:I288" si="8">SUM(B287*52)</f>
        <v>14352</v>
      </c>
      <c r="C288" s="17">
        <f t="shared" si="8"/>
        <v>14352</v>
      </c>
      <c r="D288" s="17">
        <f t="shared" si="8"/>
        <v>14352</v>
      </c>
      <c r="E288" s="17">
        <f t="shared" si="8"/>
        <v>14352</v>
      </c>
      <c r="F288" s="17">
        <f t="shared" si="8"/>
        <v>12818</v>
      </c>
      <c r="G288" s="17">
        <f t="shared" si="8"/>
        <v>5460</v>
      </c>
      <c r="H288" s="17">
        <f t="shared" si="8"/>
        <v>5616</v>
      </c>
      <c r="I288" s="17">
        <f t="shared" si="8"/>
        <v>79378</v>
      </c>
      <c r="J288" s="73"/>
    </row>
    <row r="289" spans="1:10" ht="20.100000000000001" customHeight="1">
      <c r="J289" s="73"/>
    </row>
    <row r="290" spans="1:10" ht="20.100000000000001" customHeight="1">
      <c r="J290" s="139" t="s">
        <v>28</v>
      </c>
    </row>
    <row r="291" spans="1:10" ht="20.100000000000001" customHeight="1">
      <c r="A291" s="332" t="s">
        <v>318</v>
      </c>
      <c r="B291" s="45"/>
      <c r="C291" s="45"/>
      <c r="D291" s="45"/>
      <c r="E291" s="30">
        <v>56</v>
      </c>
      <c r="F291" s="45"/>
      <c r="G291" s="45"/>
      <c r="H291" s="7"/>
      <c r="I291" s="333">
        <f>SUM(E291)*26</f>
        <v>1456</v>
      </c>
      <c r="J291" s="72" t="s">
        <v>28</v>
      </c>
    </row>
    <row r="292" spans="1:10" ht="20.100000000000001" customHeight="1">
      <c r="A292" s="334" t="s">
        <v>319</v>
      </c>
      <c r="B292" s="157"/>
      <c r="C292" s="157"/>
      <c r="D292" s="157"/>
      <c r="E292" s="157"/>
      <c r="F292" s="157"/>
      <c r="G292" s="157"/>
      <c r="H292" s="157"/>
      <c r="I292" s="335">
        <f>SUM(I291*2)</f>
        <v>2912</v>
      </c>
    </row>
    <row r="293" spans="1:10" ht="20.100000000000001" customHeight="1">
      <c r="A293" s="329" t="s">
        <v>143</v>
      </c>
      <c r="B293" s="153"/>
      <c r="C293" s="155"/>
      <c r="D293" s="157"/>
      <c r="E293" s="157"/>
      <c r="F293" s="157"/>
      <c r="G293" s="157"/>
      <c r="H293" s="157"/>
      <c r="I293" s="335">
        <f>48*12</f>
        <v>576</v>
      </c>
    </row>
    <row r="294" spans="1:10" ht="20.100000000000001" customHeight="1">
      <c r="A294" s="336" t="s">
        <v>137</v>
      </c>
      <c r="B294" s="53"/>
      <c r="C294" s="53"/>
      <c r="D294" s="53"/>
      <c r="E294" s="53"/>
      <c r="F294" s="53"/>
      <c r="G294" s="53"/>
      <c r="H294" s="53"/>
      <c r="I294" s="337">
        <f>SUM(I291:I293)</f>
        <v>4944</v>
      </c>
    </row>
    <row r="295" spans="1:10" ht="20.100000000000001" customHeight="1">
      <c r="I295" s="160"/>
    </row>
    <row r="296" spans="1:10" ht="20.100000000000001" customHeight="1">
      <c r="I296" s="160"/>
    </row>
    <row r="297" spans="1:10" ht="20.100000000000001" customHeight="1">
      <c r="A297" s="158" t="s">
        <v>144</v>
      </c>
      <c r="B297" s="158"/>
      <c r="C297" s="158"/>
      <c r="D297" s="158"/>
      <c r="E297" s="158"/>
      <c r="F297" s="158"/>
      <c r="G297" s="158"/>
      <c r="H297" s="158"/>
      <c r="I297" s="161">
        <f>SUM(I288+I294)</f>
        <v>84322</v>
      </c>
      <c r="J297" t="s">
        <v>320</v>
      </c>
    </row>
  </sheetData>
  <sheetProtection password="CC44" sheet="1" objects="1" scenarios="1" selectLockedCells="1" selectUnlockedCells="1"/>
  <phoneticPr fontId="8" type="noConversion"/>
  <pageMargins left="0" right="0" top="0.19652777777777777" bottom="0" header="0.19652777777777777" footer="0.51180555555555551"/>
  <pageSetup paperSize="9" scale="90" firstPageNumber="0" pageOrder="overThenDown" orientation="landscape" horizontalDpi="300" verticalDpi="300" r:id="rId1"/>
  <headerFooter alignWithMargins="0">
    <oddHeader>&amp;ROpdateret &amp;D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AF267"/>
  <sheetViews>
    <sheetView topLeftCell="A74" zoomScale="67" zoomScaleNormal="67" workbookViewId="0">
      <selection activeCell="B256" sqref="B256"/>
    </sheetView>
  </sheetViews>
  <sheetFormatPr defaultRowHeight="12.75"/>
  <cols>
    <col min="1" max="1" width="26.28515625" customWidth="1"/>
    <col min="2" max="2" width="15.28515625" customWidth="1"/>
    <col min="3" max="3" width="15.5703125" customWidth="1"/>
    <col min="4" max="4" width="16.28515625" bestFit="1" customWidth="1"/>
    <col min="5" max="5" width="14.7109375" customWidth="1"/>
    <col min="6" max="6" width="16.5703125" bestFit="1" customWidth="1"/>
    <col min="7" max="7" width="13.28515625" customWidth="1"/>
    <col min="8" max="8" width="13.140625" customWidth="1"/>
    <col min="9" max="9" width="12.5703125" customWidth="1"/>
    <col min="10" max="10" width="26" customWidth="1"/>
    <col min="14" max="14" width="16.5703125" customWidth="1"/>
    <col min="15" max="15" width="15.42578125" customWidth="1"/>
    <col min="17" max="17" width="9.85546875" customWidth="1"/>
    <col min="20" max="20" width="10.28515625" customWidth="1"/>
    <col min="23" max="23" width="15.85546875" customWidth="1"/>
    <col min="24" max="24" width="19.28515625" customWidth="1"/>
    <col min="25" max="25" width="11.28515625" customWidth="1"/>
  </cols>
  <sheetData>
    <row r="1" spans="1:15" ht="20.100000000000001" customHeight="1">
      <c r="A1" s="1" t="s">
        <v>0</v>
      </c>
      <c r="B1" s="1"/>
      <c r="D1" s="2"/>
      <c r="E1" s="2"/>
    </row>
    <row r="2" spans="1:15" ht="20.100000000000001" customHeight="1">
      <c r="A2" s="3" t="s">
        <v>146</v>
      </c>
      <c r="B2" s="4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6" t="s">
        <v>8</v>
      </c>
      <c r="I2" s="7" t="s">
        <v>9</v>
      </c>
      <c r="J2" s="8" t="s">
        <v>10</v>
      </c>
    </row>
    <row r="3" spans="1:15" ht="20.100000000000001" customHeight="1">
      <c r="A3" s="9"/>
      <c r="B3" s="10" t="s">
        <v>147</v>
      </c>
      <c r="C3" s="10" t="s">
        <v>147</v>
      </c>
      <c r="D3" s="10" t="s">
        <v>147</v>
      </c>
      <c r="E3" s="10" t="s">
        <v>147</v>
      </c>
      <c r="F3" s="11" t="s">
        <v>148</v>
      </c>
      <c r="G3" s="12"/>
      <c r="H3" s="13"/>
      <c r="I3" s="14"/>
      <c r="J3" s="15"/>
    </row>
    <row r="4" spans="1:15" ht="20.100000000000001" customHeight="1">
      <c r="A4" s="338" t="s">
        <v>321</v>
      </c>
      <c r="B4" s="17">
        <v>7.75</v>
      </c>
      <c r="C4" s="17">
        <v>7.75</v>
      </c>
      <c r="D4" s="17">
        <v>7.75</v>
      </c>
      <c r="E4" s="17">
        <v>7.75</v>
      </c>
      <c r="F4" s="18">
        <v>6</v>
      </c>
      <c r="G4" s="19"/>
      <c r="H4" s="20"/>
      <c r="I4" s="21">
        <f>SUM(B4:H4)</f>
        <v>37</v>
      </c>
      <c r="J4" s="22"/>
    </row>
    <row r="5" spans="1:15" ht="20.100000000000001" customHeight="1">
      <c r="A5" s="1" t="s">
        <v>155</v>
      </c>
      <c r="B5" s="1"/>
      <c r="D5" s="2"/>
      <c r="E5" s="2"/>
    </row>
    <row r="6" spans="1:15" ht="20.100000000000001" customHeight="1">
      <c r="A6" s="201" t="s">
        <v>32</v>
      </c>
      <c r="B6" s="4" t="s">
        <v>2</v>
      </c>
      <c r="C6" s="5" t="s">
        <v>3</v>
      </c>
      <c r="D6" s="5" t="s">
        <v>4</v>
      </c>
      <c r="E6" s="5" t="s">
        <v>5</v>
      </c>
      <c r="F6" s="5" t="s">
        <v>6</v>
      </c>
      <c r="G6" s="5" t="s">
        <v>7</v>
      </c>
      <c r="H6" s="5" t="s">
        <v>8</v>
      </c>
      <c r="I6" s="45" t="s">
        <v>9</v>
      </c>
      <c r="J6" s="8" t="s">
        <v>10</v>
      </c>
    </row>
    <row r="7" spans="1:15" ht="20.100000000000001" customHeight="1">
      <c r="A7" s="306"/>
      <c r="B7" s="172" t="s">
        <v>33</v>
      </c>
      <c r="C7" s="172" t="s">
        <v>33</v>
      </c>
      <c r="D7" s="172" t="s">
        <v>33</v>
      </c>
      <c r="E7" s="172" t="s">
        <v>33</v>
      </c>
      <c r="F7" s="172" t="s">
        <v>34</v>
      </c>
      <c r="G7" s="297"/>
      <c r="H7" s="297"/>
      <c r="I7" s="153"/>
      <c r="J7" s="339"/>
    </row>
    <row r="8" spans="1:15" ht="20.100000000000001" customHeight="1">
      <c r="A8" s="338" t="s">
        <v>156</v>
      </c>
      <c r="B8" s="140">
        <v>7.75</v>
      </c>
      <c r="C8" s="140">
        <v>7.75</v>
      </c>
      <c r="D8" s="140">
        <v>7.75</v>
      </c>
      <c r="E8" s="140">
        <v>7.75</v>
      </c>
      <c r="F8" s="140">
        <v>6</v>
      </c>
      <c r="G8" s="19"/>
      <c r="H8" s="20"/>
      <c r="I8" s="21">
        <f>SUM(B8:H8)</f>
        <v>37</v>
      </c>
      <c r="J8" s="22"/>
    </row>
    <row r="9" spans="1:15" ht="20.100000000000001" customHeight="1">
      <c r="A9" s="72"/>
      <c r="E9" s="72"/>
      <c r="F9" s="139"/>
      <c r="G9" s="204" t="s">
        <v>152</v>
      </c>
      <c r="H9" s="204" t="s">
        <v>153</v>
      </c>
      <c r="I9" s="204" t="s">
        <v>154</v>
      </c>
      <c r="J9" s="168"/>
    </row>
    <row r="10" spans="1:15" ht="20.100000000000001" customHeight="1">
      <c r="A10" s="72"/>
      <c r="E10" s="72"/>
      <c r="F10" s="139"/>
      <c r="G10" s="130">
        <f>I4+I8</f>
        <v>74</v>
      </c>
      <c r="H10" s="169">
        <f>SUM(G10*13/3)</f>
        <v>320.66666666666669</v>
      </c>
      <c r="I10" s="130">
        <f>SUM(H10*12)</f>
        <v>3848</v>
      </c>
      <c r="J10" s="168"/>
    </row>
    <row r="11" spans="1:15" ht="20.100000000000001" customHeight="1">
      <c r="A11" s="1061" t="s">
        <v>14</v>
      </c>
      <c r="B11" s="1061"/>
      <c r="D11" s="2"/>
      <c r="E11" s="2"/>
    </row>
    <row r="12" spans="1:15" ht="18" customHeight="1">
      <c r="A12" s="23" t="s">
        <v>15</v>
      </c>
      <c r="B12" s="24" t="s">
        <v>2</v>
      </c>
      <c r="C12" s="25" t="s">
        <v>3</v>
      </c>
      <c r="D12" s="25" t="s">
        <v>4</v>
      </c>
      <c r="E12" s="25" t="s">
        <v>5</v>
      </c>
      <c r="F12" s="25" t="s">
        <v>6</v>
      </c>
      <c r="G12" s="25" t="s">
        <v>7</v>
      </c>
      <c r="H12" s="26" t="s">
        <v>8</v>
      </c>
      <c r="I12" s="27" t="s">
        <v>9</v>
      </c>
      <c r="J12" s="28" t="s">
        <v>10</v>
      </c>
    </row>
    <row r="13" spans="1:15" ht="18" customHeight="1">
      <c r="A13" s="175" t="s">
        <v>28</v>
      </c>
      <c r="B13" s="5" t="s">
        <v>159</v>
      </c>
      <c r="C13" s="5" t="s">
        <v>159</v>
      </c>
      <c r="D13" s="5" t="s">
        <v>159</v>
      </c>
      <c r="E13" s="5" t="s">
        <v>159</v>
      </c>
      <c r="F13" s="5" t="s">
        <v>159</v>
      </c>
      <c r="G13" s="5" t="s">
        <v>160</v>
      </c>
      <c r="H13" s="5" t="s">
        <v>160</v>
      </c>
      <c r="I13" s="170"/>
      <c r="J13" s="176" t="s">
        <v>161</v>
      </c>
      <c r="M13" s="340"/>
      <c r="N13" s="341" t="s">
        <v>322</v>
      </c>
    </row>
    <row r="14" spans="1:15" ht="18" customHeight="1">
      <c r="A14" s="342" t="s">
        <v>162</v>
      </c>
      <c r="B14" s="140">
        <v>8.25</v>
      </c>
      <c r="C14" s="140">
        <v>8.25</v>
      </c>
      <c r="D14" s="18">
        <v>8.25</v>
      </c>
      <c r="E14" s="18">
        <v>8.25</v>
      </c>
      <c r="F14" s="18">
        <v>8.25</v>
      </c>
      <c r="G14" s="18">
        <v>12.25</v>
      </c>
      <c r="H14" s="18">
        <v>12.25</v>
      </c>
      <c r="I14" s="343">
        <f>SUM(B14:H14)</f>
        <v>65.75</v>
      </c>
      <c r="J14" s="344" t="s">
        <v>163</v>
      </c>
      <c r="K14" s="179"/>
      <c r="M14" s="329"/>
      <c r="N14" s="345" t="s">
        <v>323</v>
      </c>
      <c r="O14" s="72"/>
    </row>
    <row r="15" spans="1:15" ht="18" customHeight="1">
      <c r="A15" s="175" t="s">
        <v>28</v>
      </c>
      <c r="B15" s="30" t="s">
        <v>167</v>
      </c>
      <c r="C15" s="30" t="s">
        <v>167</v>
      </c>
      <c r="D15" s="30" t="s">
        <v>167</v>
      </c>
      <c r="E15" s="30" t="s">
        <v>167</v>
      </c>
      <c r="F15" s="30" t="s">
        <v>167</v>
      </c>
      <c r="G15" s="170"/>
      <c r="H15" s="170"/>
      <c r="I15" s="346"/>
      <c r="J15" s="184" t="s">
        <v>168</v>
      </c>
      <c r="K15" s="72"/>
      <c r="M15" s="329" t="s">
        <v>324</v>
      </c>
      <c r="N15" s="345">
        <f>I14</f>
        <v>65.75</v>
      </c>
      <c r="O15" s="72"/>
    </row>
    <row r="16" spans="1:15" ht="18" customHeight="1">
      <c r="A16" s="342" t="s">
        <v>169</v>
      </c>
      <c r="B16" s="140"/>
      <c r="C16" s="140"/>
      <c r="D16" s="140"/>
      <c r="E16" s="140"/>
      <c r="F16" s="140"/>
      <c r="G16" s="194"/>
      <c r="H16" s="194"/>
      <c r="I16" s="343">
        <f>SUM(B16:H16)</f>
        <v>0</v>
      </c>
      <c r="J16" s="344" t="s">
        <v>170</v>
      </c>
      <c r="K16" s="72"/>
      <c r="M16" s="329" t="s">
        <v>325</v>
      </c>
      <c r="N16" s="345">
        <f>I16</f>
        <v>0</v>
      </c>
      <c r="O16" s="72"/>
    </row>
    <row r="17" spans="1:17" ht="18" customHeight="1">
      <c r="A17" s="175" t="s">
        <v>28</v>
      </c>
      <c r="B17" s="5" t="s">
        <v>172</v>
      </c>
      <c r="C17" s="5" t="s">
        <v>172</v>
      </c>
      <c r="D17" s="5" t="s">
        <v>172</v>
      </c>
      <c r="E17" s="5" t="s">
        <v>172</v>
      </c>
      <c r="F17" s="5" t="s">
        <v>172</v>
      </c>
      <c r="G17" s="189"/>
      <c r="H17" s="189"/>
      <c r="I17" s="346"/>
      <c r="J17" s="184" t="s">
        <v>173</v>
      </c>
      <c r="K17" s="72"/>
      <c r="M17" s="329" t="s">
        <v>326</v>
      </c>
      <c r="N17" s="345">
        <v>0</v>
      </c>
      <c r="O17" s="72"/>
    </row>
    <row r="18" spans="1:17" ht="18" customHeight="1">
      <c r="A18" s="347" t="s">
        <v>174</v>
      </c>
      <c r="B18" s="18">
        <v>8.25</v>
      </c>
      <c r="C18" s="18">
        <v>8.25</v>
      </c>
      <c r="D18" s="18">
        <v>8.25</v>
      </c>
      <c r="E18" s="18">
        <v>8.25</v>
      </c>
      <c r="F18" s="18">
        <v>8.25</v>
      </c>
      <c r="G18" s="140"/>
      <c r="H18" s="140"/>
      <c r="I18" s="343">
        <f>SUM(B18:H18)</f>
        <v>41.25</v>
      </c>
      <c r="J18" s="344" t="s">
        <v>176</v>
      </c>
      <c r="K18" s="144"/>
      <c r="M18" s="329" t="s">
        <v>236</v>
      </c>
      <c r="N18" s="345">
        <f>I20</f>
        <v>64.5</v>
      </c>
      <c r="O18" s="72"/>
    </row>
    <row r="19" spans="1:17" ht="18" customHeight="1">
      <c r="A19" s="348" t="s">
        <v>28</v>
      </c>
      <c r="B19" s="5" t="s">
        <v>177</v>
      </c>
      <c r="C19" s="5" t="s">
        <v>177</v>
      </c>
      <c r="D19" s="5" t="s">
        <v>177</v>
      </c>
      <c r="E19" s="5" t="s">
        <v>177</v>
      </c>
      <c r="F19" s="5" t="s">
        <v>177</v>
      </c>
      <c r="G19" s="189" t="s">
        <v>178</v>
      </c>
      <c r="H19" s="189" t="s">
        <v>178</v>
      </c>
      <c r="I19" s="346"/>
      <c r="J19" s="46"/>
      <c r="K19" s="72"/>
      <c r="M19" s="329" t="s">
        <v>327</v>
      </c>
      <c r="N19" s="345">
        <v>0</v>
      </c>
      <c r="O19" s="72"/>
    </row>
    <row r="20" spans="1:17" ht="18" customHeight="1">
      <c r="A20" s="342" t="s">
        <v>179</v>
      </c>
      <c r="B20" s="140">
        <v>8</v>
      </c>
      <c r="C20" s="140">
        <v>8</v>
      </c>
      <c r="D20" s="140">
        <v>8</v>
      </c>
      <c r="E20" s="140">
        <v>8</v>
      </c>
      <c r="F20" s="140">
        <v>8</v>
      </c>
      <c r="G20" s="172">
        <v>12.25</v>
      </c>
      <c r="H20" s="172">
        <v>12.25</v>
      </c>
      <c r="I20" s="343">
        <f>SUM(B20:H20)</f>
        <v>64.5</v>
      </c>
      <c r="J20" s="49"/>
      <c r="K20" s="72"/>
      <c r="M20" s="329" t="s">
        <v>328</v>
      </c>
      <c r="N20" s="345">
        <f>I24</f>
        <v>36.25</v>
      </c>
      <c r="O20" s="72"/>
    </row>
    <row r="21" spans="1:17" ht="18" customHeight="1">
      <c r="A21" s="175" t="s">
        <v>28</v>
      </c>
      <c r="B21" s="30" t="s">
        <v>167</v>
      </c>
      <c r="C21" s="30" t="s">
        <v>167</v>
      </c>
      <c r="D21" s="30" t="s">
        <v>167</v>
      </c>
      <c r="E21" s="30" t="s">
        <v>167</v>
      </c>
      <c r="F21" s="30" t="s">
        <v>167</v>
      </c>
      <c r="G21" s="192"/>
      <c r="H21" s="349"/>
      <c r="I21" s="346"/>
      <c r="J21" s="46"/>
      <c r="K21" s="72"/>
      <c r="M21" s="331" t="s">
        <v>329</v>
      </c>
      <c r="N21" s="350">
        <f>SUM(N15:N20)</f>
        <v>166.5</v>
      </c>
      <c r="O21" s="72"/>
    </row>
    <row r="22" spans="1:17" ht="18" customHeight="1">
      <c r="A22" s="342" t="s">
        <v>182</v>
      </c>
      <c r="B22" s="124"/>
      <c r="C22" s="124"/>
      <c r="D22" s="124"/>
      <c r="E22" s="124"/>
      <c r="F22" s="124"/>
      <c r="G22" s="194"/>
      <c r="H22" s="351"/>
      <c r="I22" s="343">
        <f>SUM(B22:H22)</f>
        <v>0</v>
      </c>
      <c r="J22" s="49"/>
      <c r="K22" s="72"/>
    </row>
    <row r="23" spans="1:17" ht="18" customHeight="1">
      <c r="A23" s="175" t="s">
        <v>28</v>
      </c>
      <c r="B23" s="5" t="s">
        <v>330</v>
      </c>
      <c r="C23" s="5" t="s">
        <v>330</v>
      </c>
      <c r="D23" s="5" t="s">
        <v>330</v>
      </c>
      <c r="E23" s="5" t="s">
        <v>330</v>
      </c>
      <c r="F23" s="5" t="s">
        <v>330</v>
      </c>
      <c r="G23" s="170"/>
      <c r="H23" s="349"/>
      <c r="I23" s="346"/>
      <c r="J23" s="46" t="s">
        <v>331</v>
      </c>
      <c r="K23" s="72"/>
      <c r="M23" t="s">
        <v>332</v>
      </c>
      <c r="N23" t="s">
        <v>333</v>
      </c>
      <c r="P23">
        <v>222</v>
      </c>
      <c r="Q23" t="s">
        <v>334</v>
      </c>
    </row>
    <row r="24" spans="1:17" ht="18" customHeight="1">
      <c r="A24" s="342" t="s">
        <v>335</v>
      </c>
      <c r="B24" s="140">
        <v>7.25</v>
      </c>
      <c r="C24" s="140">
        <v>7.25</v>
      </c>
      <c r="D24" s="140">
        <v>7.25</v>
      </c>
      <c r="E24" s="140">
        <v>7.25</v>
      </c>
      <c r="F24" s="140">
        <v>7.25</v>
      </c>
      <c r="G24" s="194"/>
      <c r="H24" s="352"/>
      <c r="I24" s="343">
        <f>SUM(B24:H24)</f>
        <v>36.25</v>
      </c>
      <c r="J24" s="49"/>
      <c r="K24" s="72"/>
      <c r="O24" t="s">
        <v>28</v>
      </c>
    </row>
    <row r="25" spans="1:17" ht="18" customHeight="1">
      <c r="A25" s="58" t="s">
        <v>30</v>
      </c>
      <c r="B25" s="353">
        <f t="shared" ref="B25:I25" si="0">SUM(B14,B16,B18,B20,B22,B24)</f>
        <v>31.75</v>
      </c>
      <c r="C25" s="353">
        <f t="shared" si="0"/>
        <v>31.75</v>
      </c>
      <c r="D25" s="353">
        <f t="shared" si="0"/>
        <v>31.75</v>
      </c>
      <c r="E25" s="353">
        <f t="shared" si="0"/>
        <v>31.75</v>
      </c>
      <c r="F25" s="353">
        <f t="shared" si="0"/>
        <v>31.75</v>
      </c>
      <c r="G25" s="353">
        <f t="shared" si="0"/>
        <v>24.5</v>
      </c>
      <c r="H25" s="353">
        <f t="shared" si="0"/>
        <v>24.5</v>
      </c>
      <c r="I25" s="353">
        <f t="shared" si="0"/>
        <v>207.75</v>
      </c>
      <c r="J25" s="59"/>
      <c r="K25" s="72"/>
      <c r="M25" t="s">
        <v>336</v>
      </c>
      <c r="O25" s="354">
        <f>N21</f>
        <v>166.5</v>
      </c>
    </row>
    <row r="26" spans="1:17" ht="18" customHeight="1">
      <c r="A26" s="60" t="s">
        <v>31</v>
      </c>
      <c r="D26" s="2"/>
      <c r="E26" s="2"/>
    </row>
    <row r="27" spans="1:17" ht="18" customHeight="1">
      <c r="A27" s="23" t="s">
        <v>32</v>
      </c>
      <c r="B27" s="24" t="s">
        <v>2</v>
      </c>
      <c r="C27" s="25" t="s">
        <v>3</v>
      </c>
      <c r="D27" s="25" t="s">
        <v>4</v>
      </c>
      <c r="E27" s="25" t="s">
        <v>5</v>
      </c>
      <c r="F27" s="25" t="s">
        <v>6</v>
      </c>
      <c r="G27" s="25" t="s">
        <v>7</v>
      </c>
      <c r="H27" s="26" t="s">
        <v>8</v>
      </c>
      <c r="I27" s="27" t="s">
        <v>9</v>
      </c>
      <c r="J27" s="28" t="s">
        <v>10</v>
      </c>
      <c r="M27">
        <f>O25</f>
        <v>166.5</v>
      </c>
      <c r="N27" t="s">
        <v>337</v>
      </c>
      <c r="P27" s="160">
        <f>SUM(N21/37)</f>
        <v>4.5</v>
      </c>
      <c r="Q27" t="s">
        <v>334</v>
      </c>
    </row>
    <row r="28" spans="1:17" ht="18" customHeight="1">
      <c r="A28" s="29"/>
      <c r="B28" s="31" t="s">
        <v>33</v>
      </c>
      <c r="C28" s="31" t="s">
        <v>33</v>
      </c>
      <c r="D28" s="31" t="s">
        <v>33</v>
      </c>
      <c r="E28" s="31" t="s">
        <v>33</v>
      </c>
      <c r="F28" s="31" t="s">
        <v>34</v>
      </c>
      <c r="G28" s="31"/>
      <c r="H28" s="31"/>
      <c r="I28" s="170"/>
      <c r="J28" s="32"/>
    </row>
    <row r="29" spans="1:17" ht="18" customHeight="1">
      <c r="A29" s="33" t="s">
        <v>186</v>
      </c>
      <c r="B29" s="140">
        <v>7.75</v>
      </c>
      <c r="C29" s="140">
        <v>7.75</v>
      </c>
      <c r="D29" s="140">
        <v>7.75</v>
      </c>
      <c r="E29" s="140">
        <v>7.75</v>
      </c>
      <c r="F29" s="140">
        <v>6</v>
      </c>
      <c r="G29" s="140"/>
      <c r="H29" s="140"/>
      <c r="I29" s="140">
        <f>SUM(B29:H29)</f>
        <v>37</v>
      </c>
      <c r="J29" s="142"/>
      <c r="M29" s="160">
        <f>P27</f>
        <v>4.5</v>
      </c>
      <c r="N29" t="s">
        <v>338</v>
      </c>
      <c r="P29" s="160">
        <f>SUM(P27*3)</f>
        <v>13.5</v>
      </c>
      <c r="Q29" t="s">
        <v>334</v>
      </c>
    </row>
    <row r="30" spans="1:17" ht="18" customHeight="1">
      <c r="A30" s="29"/>
      <c r="B30" s="31" t="s">
        <v>33</v>
      </c>
      <c r="C30" s="31" t="s">
        <v>33</v>
      </c>
      <c r="D30" s="31" t="s">
        <v>33</v>
      </c>
      <c r="E30" s="31" t="s">
        <v>33</v>
      </c>
      <c r="F30" s="31" t="s">
        <v>34</v>
      </c>
      <c r="G30" s="31"/>
      <c r="H30" s="31"/>
      <c r="I30" s="170"/>
      <c r="J30" s="32"/>
      <c r="M30" s="160"/>
      <c r="P30" s="160"/>
    </row>
    <row r="31" spans="1:17" ht="18" customHeight="1">
      <c r="A31" s="16" t="s">
        <v>187</v>
      </c>
      <c r="B31" s="140">
        <v>7.75</v>
      </c>
      <c r="C31" s="140">
        <v>7.75</v>
      </c>
      <c r="D31" s="140">
        <v>7.75</v>
      </c>
      <c r="E31" s="140">
        <v>7.75</v>
      </c>
      <c r="F31" s="140">
        <v>6</v>
      </c>
      <c r="G31" s="140"/>
      <c r="H31" s="140"/>
      <c r="I31" s="140">
        <f>SUM(B31:H31)</f>
        <v>37</v>
      </c>
      <c r="J31" s="142"/>
      <c r="M31" s="160"/>
      <c r="P31" s="160"/>
    </row>
    <row r="32" spans="1:17" ht="18" customHeight="1">
      <c r="A32" s="38"/>
      <c r="B32" s="11" t="s">
        <v>33</v>
      </c>
      <c r="C32" s="11" t="s">
        <v>33</v>
      </c>
      <c r="D32" s="11" t="s">
        <v>33</v>
      </c>
      <c r="E32" s="11" t="s">
        <v>33</v>
      </c>
      <c r="F32" s="11" t="s">
        <v>34</v>
      </c>
      <c r="G32" s="11"/>
      <c r="H32" s="39"/>
      <c r="I32" s="355"/>
      <c r="J32" s="40"/>
    </row>
    <row r="33" spans="1:25" ht="18" customHeight="1">
      <c r="A33" s="16" t="s">
        <v>188</v>
      </c>
      <c r="B33" s="140">
        <v>7.75</v>
      </c>
      <c r="C33" s="140">
        <v>7.75</v>
      </c>
      <c r="D33" s="140">
        <v>7.75</v>
      </c>
      <c r="E33" s="140">
        <v>7.75</v>
      </c>
      <c r="F33" s="140">
        <v>6</v>
      </c>
      <c r="G33" s="18"/>
      <c r="H33" s="35"/>
      <c r="I33" s="343">
        <f>SUM(B33:H33)</f>
        <v>37</v>
      </c>
      <c r="J33" s="37"/>
      <c r="M33">
        <f>P23</f>
        <v>222</v>
      </c>
      <c r="N33" t="s">
        <v>339</v>
      </c>
      <c r="P33" s="356">
        <f>P29</f>
        <v>13.5</v>
      </c>
      <c r="Q33" t="s">
        <v>340</v>
      </c>
      <c r="R33" s="160">
        <f>SUM(M33-P33)</f>
        <v>208.5</v>
      </c>
      <c r="S33" t="s">
        <v>341</v>
      </c>
    </row>
    <row r="34" spans="1:25" ht="18" customHeight="1">
      <c r="A34" s="58" t="s">
        <v>30</v>
      </c>
      <c r="B34" s="357">
        <f t="shared" ref="B34:I34" si="1">SUM(B29,B31,B33)</f>
        <v>23.25</v>
      </c>
      <c r="C34" s="357">
        <f t="shared" si="1"/>
        <v>23.25</v>
      </c>
      <c r="D34" s="357">
        <f t="shared" si="1"/>
        <v>23.25</v>
      </c>
      <c r="E34" s="357">
        <f t="shared" si="1"/>
        <v>23.25</v>
      </c>
      <c r="F34" s="357">
        <f t="shared" si="1"/>
        <v>18</v>
      </c>
      <c r="G34" s="357">
        <f t="shared" si="1"/>
        <v>0</v>
      </c>
      <c r="H34" s="357">
        <f t="shared" si="1"/>
        <v>0</v>
      </c>
      <c r="I34" s="357">
        <f t="shared" si="1"/>
        <v>111</v>
      </c>
      <c r="J34" s="71"/>
    </row>
    <row r="35" spans="1:25" ht="18" customHeight="1">
      <c r="A35" s="72"/>
      <c r="B35" s="72"/>
      <c r="C35" s="72"/>
      <c r="D35" s="72"/>
      <c r="E35" s="72"/>
      <c r="F35" s="72"/>
      <c r="G35" s="204" t="s">
        <v>152</v>
      </c>
      <c r="H35" s="204" t="s">
        <v>153</v>
      </c>
      <c r="I35" s="204" t="s">
        <v>154</v>
      </c>
      <c r="J35" s="73"/>
      <c r="M35">
        <f>I25</f>
        <v>207.75</v>
      </c>
      <c r="N35" t="s">
        <v>342</v>
      </c>
      <c r="O35" s="160">
        <f>R33</f>
        <v>208.5</v>
      </c>
      <c r="P35" s="358">
        <f>SUM(M35-O35)</f>
        <v>-0.75</v>
      </c>
    </row>
    <row r="36" spans="1:25" ht="18" customHeight="1">
      <c r="A36" s="72"/>
      <c r="B36" s="72"/>
      <c r="C36" s="72"/>
      <c r="D36" s="72"/>
      <c r="E36" s="72"/>
      <c r="F36" s="72"/>
      <c r="G36" s="130">
        <f>I25+I34</f>
        <v>318.75</v>
      </c>
      <c r="H36" s="169">
        <f>SUM(G36*13/3)</f>
        <v>1381.25</v>
      </c>
      <c r="I36" s="130">
        <f>SUM(H36*12)</f>
        <v>16575</v>
      </c>
      <c r="J36" s="73"/>
    </row>
    <row r="37" spans="1:25" ht="18" customHeight="1">
      <c r="A37" s="72"/>
      <c r="B37" s="72"/>
      <c r="C37" s="72"/>
      <c r="D37" s="72"/>
      <c r="E37" s="72"/>
      <c r="F37" s="72"/>
      <c r="G37" s="72"/>
      <c r="H37" s="174"/>
      <c r="I37" s="72"/>
      <c r="J37" s="73"/>
    </row>
    <row r="38" spans="1:25" ht="17.45" customHeight="1">
      <c r="A38" s="1061" t="s">
        <v>189</v>
      </c>
      <c r="B38" s="72"/>
      <c r="C38" s="72"/>
      <c r="D38" s="72"/>
      <c r="E38" s="72"/>
      <c r="F38" s="72"/>
    </row>
    <row r="39" spans="1:25" ht="17.45" customHeight="1">
      <c r="A39" s="205" t="s">
        <v>190</v>
      </c>
      <c r="B39" s="24" t="s">
        <v>2</v>
      </c>
      <c r="C39" s="25" t="s">
        <v>3</v>
      </c>
      <c r="D39" s="25" t="s">
        <v>4</v>
      </c>
      <c r="E39" s="25" t="s">
        <v>5</v>
      </c>
      <c r="F39" s="25" t="s">
        <v>6</v>
      </c>
      <c r="G39" s="25" t="s">
        <v>7</v>
      </c>
      <c r="H39" s="206" t="s">
        <v>8</v>
      </c>
      <c r="I39" s="207" t="s">
        <v>9</v>
      </c>
      <c r="J39" s="208" t="s">
        <v>10</v>
      </c>
      <c r="K39" t="s">
        <v>28</v>
      </c>
      <c r="M39" s="359" t="s">
        <v>322</v>
      </c>
      <c r="N39" s="360"/>
      <c r="P39" s="361"/>
      <c r="Q39" s="361"/>
      <c r="R39" s="361"/>
      <c r="S39" t="s">
        <v>343</v>
      </c>
      <c r="V39" s="1" t="s">
        <v>28</v>
      </c>
    </row>
    <row r="40" spans="1:25" ht="17.45" customHeight="1">
      <c r="A40" s="362" t="s">
        <v>40</v>
      </c>
      <c r="B40" s="210" t="s">
        <v>191</v>
      </c>
      <c r="C40" s="210" t="s">
        <v>191</v>
      </c>
      <c r="D40" s="210" t="s">
        <v>191</v>
      </c>
      <c r="E40" s="210" t="s">
        <v>191</v>
      </c>
      <c r="F40" s="210" t="s">
        <v>191</v>
      </c>
      <c r="G40" s="211" t="s">
        <v>192</v>
      </c>
      <c r="H40" s="211" t="s">
        <v>192</v>
      </c>
      <c r="I40" s="207"/>
      <c r="J40" s="363" t="s">
        <v>40</v>
      </c>
      <c r="M40" s="364"/>
      <c r="N40" s="365" t="s">
        <v>344</v>
      </c>
      <c r="S40" s="366" t="s">
        <v>345</v>
      </c>
      <c r="T40" s="367"/>
      <c r="U40" s="368"/>
      <c r="V40" s="368"/>
      <c r="W40" s="361"/>
      <c r="Y40" s="72"/>
    </row>
    <row r="41" spans="1:25" ht="17.45" customHeight="1">
      <c r="A41" s="95" t="s">
        <v>43</v>
      </c>
      <c r="B41" s="219">
        <v>8.25</v>
      </c>
      <c r="C41" s="219">
        <v>8.25</v>
      </c>
      <c r="D41" s="219">
        <v>8.25</v>
      </c>
      <c r="E41" s="219">
        <v>8.25</v>
      </c>
      <c r="F41" s="219">
        <v>8.25</v>
      </c>
      <c r="G41" s="220">
        <v>12.25</v>
      </c>
      <c r="H41" s="220">
        <v>12.25</v>
      </c>
      <c r="I41" s="17">
        <f>SUM(B41:H41)</f>
        <v>65.75</v>
      </c>
      <c r="J41" s="221" t="s">
        <v>196</v>
      </c>
      <c r="M41" s="329" t="s">
        <v>324</v>
      </c>
      <c r="N41" s="345">
        <f>I41</f>
        <v>65.75</v>
      </c>
      <c r="S41" s="369" t="s">
        <v>346</v>
      </c>
      <c r="T41" s="370"/>
      <c r="U41" s="370"/>
      <c r="V41" s="370"/>
      <c r="Y41" s="72"/>
    </row>
    <row r="42" spans="1:25" ht="17.45" customHeight="1">
      <c r="A42" s="209"/>
      <c r="B42" s="222" t="s">
        <v>197</v>
      </c>
      <c r="C42" s="222" t="s">
        <v>197</v>
      </c>
      <c r="D42" s="222" t="s">
        <v>197</v>
      </c>
      <c r="E42" s="222" t="s">
        <v>197</v>
      </c>
      <c r="F42" s="222" t="s">
        <v>197</v>
      </c>
      <c r="G42" s="223" t="s">
        <v>198</v>
      </c>
      <c r="H42" s="224" t="s">
        <v>198</v>
      </c>
      <c r="I42" s="207"/>
      <c r="J42" s="213"/>
      <c r="M42" s="329" t="s">
        <v>325</v>
      </c>
      <c r="N42" s="345">
        <f>I47</f>
        <v>0</v>
      </c>
      <c r="S42" s="371" t="s">
        <v>347</v>
      </c>
      <c r="T42" s="372"/>
      <c r="U42" s="372"/>
      <c r="V42" s="372"/>
      <c r="Y42" s="72"/>
    </row>
    <row r="43" spans="1:25" ht="17.45" customHeight="1">
      <c r="A43" s="95" t="s">
        <v>201</v>
      </c>
      <c r="B43" s="91">
        <v>7</v>
      </c>
      <c r="C43" s="91">
        <v>7</v>
      </c>
      <c r="D43" s="91">
        <v>7</v>
      </c>
      <c r="E43" s="91">
        <v>7</v>
      </c>
      <c r="F43" s="91">
        <v>7</v>
      </c>
      <c r="G43" s="228">
        <v>11</v>
      </c>
      <c r="H43" s="229">
        <v>11</v>
      </c>
      <c r="I43" s="17">
        <f>SUM(B43:H43)</f>
        <v>57</v>
      </c>
      <c r="J43" s="221" t="s">
        <v>202</v>
      </c>
      <c r="K43" s="1" t="s">
        <v>28</v>
      </c>
      <c r="M43" s="329" t="s">
        <v>326</v>
      </c>
      <c r="N43" s="345">
        <f>I53</f>
        <v>58.5</v>
      </c>
      <c r="S43" s="373" t="s">
        <v>348</v>
      </c>
      <c r="T43" s="374"/>
      <c r="U43" s="374"/>
      <c r="V43" s="374"/>
      <c r="Y43" s="72"/>
    </row>
    <row r="44" spans="1:25" ht="17.45" customHeight="1">
      <c r="A44" s="209"/>
      <c r="B44" s="230" t="s">
        <v>203</v>
      </c>
      <c r="C44" s="230" t="s">
        <v>203</v>
      </c>
      <c r="D44" s="230" t="s">
        <v>203</v>
      </c>
      <c r="E44" s="230" t="s">
        <v>203</v>
      </c>
      <c r="F44" s="230" t="s">
        <v>203</v>
      </c>
      <c r="G44" s="224" t="s">
        <v>204</v>
      </c>
      <c r="H44" s="224" t="s">
        <v>204</v>
      </c>
      <c r="I44" s="207"/>
      <c r="J44" s="213"/>
      <c r="M44" s="329" t="s">
        <v>236</v>
      </c>
      <c r="N44" s="345">
        <f>I59</f>
        <v>0</v>
      </c>
      <c r="S44" s="375"/>
      <c r="T44" s="376"/>
      <c r="Y44" s="72"/>
    </row>
    <row r="45" spans="1:25" ht="17.45" customHeight="1">
      <c r="A45" s="95" t="s">
        <v>207</v>
      </c>
      <c r="B45" s="233">
        <v>8</v>
      </c>
      <c r="C45" s="233">
        <v>8</v>
      </c>
      <c r="D45" s="233">
        <v>8</v>
      </c>
      <c r="E45" s="233">
        <v>8</v>
      </c>
      <c r="F45" s="233">
        <v>8</v>
      </c>
      <c r="G45" s="228">
        <v>12</v>
      </c>
      <c r="H45" s="228">
        <v>12</v>
      </c>
      <c r="I45" s="17">
        <f>SUM(B45:H45)</f>
        <v>64</v>
      </c>
      <c r="J45" s="221" t="s">
        <v>208</v>
      </c>
      <c r="M45" s="329" t="s">
        <v>327</v>
      </c>
      <c r="N45" s="345">
        <v>0</v>
      </c>
      <c r="Y45" s="72"/>
    </row>
    <row r="46" spans="1:25" ht="17.45" customHeight="1">
      <c r="A46" s="362" t="s">
        <v>52</v>
      </c>
      <c r="B46" s="30" t="s">
        <v>16</v>
      </c>
      <c r="C46" s="30" t="s">
        <v>16</v>
      </c>
      <c r="D46" s="30" t="s">
        <v>16</v>
      </c>
      <c r="E46" s="30" t="s">
        <v>16</v>
      </c>
      <c r="F46" s="30" t="s">
        <v>16</v>
      </c>
      <c r="G46" s="377"/>
      <c r="H46" s="378"/>
      <c r="I46" s="252"/>
      <c r="J46" s="363" t="s">
        <v>52</v>
      </c>
      <c r="M46" s="329" t="s">
        <v>328</v>
      </c>
      <c r="N46" s="345">
        <f>I43</f>
        <v>57</v>
      </c>
      <c r="S46" s="379" t="s">
        <v>349</v>
      </c>
      <c r="T46" s="380"/>
      <c r="U46" s="380"/>
      <c r="V46" s="380"/>
      <c r="Y46" s="72"/>
    </row>
    <row r="47" spans="1:25" ht="17.45" customHeight="1">
      <c r="A47" s="95" t="s">
        <v>350</v>
      </c>
      <c r="B47" s="34"/>
      <c r="C47" s="34"/>
      <c r="D47" s="34"/>
      <c r="E47" s="34"/>
      <c r="F47" s="34"/>
      <c r="G47" s="18"/>
      <c r="H47" s="237"/>
      <c r="I47" s="17">
        <f>SUM(B47:H47)</f>
        <v>0</v>
      </c>
      <c r="J47" s="221" t="s">
        <v>210</v>
      </c>
      <c r="M47" s="329" t="s">
        <v>212</v>
      </c>
      <c r="N47" s="345">
        <f>I49</f>
        <v>0</v>
      </c>
      <c r="S47" s="1"/>
      <c r="Y47" s="72"/>
    </row>
    <row r="48" spans="1:25" ht="17.45" customHeight="1">
      <c r="A48" s="209"/>
      <c r="B48" s="30" t="s">
        <v>16</v>
      </c>
      <c r="C48" s="30" t="s">
        <v>16</v>
      </c>
      <c r="D48" s="30" t="s">
        <v>16</v>
      </c>
      <c r="E48" s="30" t="s">
        <v>16</v>
      </c>
      <c r="F48" s="30" t="s">
        <v>16</v>
      </c>
      <c r="G48" s="207"/>
      <c r="H48" s="238"/>
      <c r="I48" s="207"/>
      <c r="J48" s="213"/>
      <c r="M48" s="329" t="s">
        <v>230</v>
      </c>
      <c r="N48" s="345">
        <f>I55</f>
        <v>56</v>
      </c>
      <c r="S48" s="379" t="s">
        <v>351</v>
      </c>
      <c r="T48" s="380"/>
      <c r="U48" s="380"/>
      <c r="V48" s="380"/>
      <c r="Y48" s="72"/>
    </row>
    <row r="49" spans="1:32" ht="17.45" customHeight="1">
      <c r="A49" s="95" t="s">
        <v>211</v>
      </c>
      <c r="B49" s="34"/>
      <c r="C49" s="34"/>
      <c r="D49" s="34"/>
      <c r="E49" s="34"/>
      <c r="F49" s="34"/>
      <c r="G49" s="138"/>
      <c r="H49" s="240"/>
      <c r="I49" s="17">
        <f>SUM(B49:H49)</f>
        <v>0</v>
      </c>
      <c r="J49" s="221" t="s">
        <v>212</v>
      </c>
      <c r="M49" s="329" t="s">
        <v>238</v>
      </c>
      <c r="N49" s="345">
        <f>I61</f>
        <v>0</v>
      </c>
      <c r="S49" s="1"/>
      <c r="Y49" s="72"/>
    </row>
    <row r="50" spans="1:32" ht="17.45" customHeight="1">
      <c r="A50" s="205"/>
      <c r="B50" s="30" t="s">
        <v>16</v>
      </c>
      <c r="C50" s="30" t="s">
        <v>16</v>
      </c>
      <c r="D50" s="30" t="s">
        <v>16</v>
      </c>
      <c r="E50" s="30" t="s">
        <v>16</v>
      </c>
      <c r="F50" s="30" t="s">
        <v>16</v>
      </c>
      <c r="G50" s="241" t="s">
        <v>213</v>
      </c>
      <c r="H50" s="242" t="s">
        <v>214</v>
      </c>
      <c r="I50" s="207"/>
      <c r="J50" s="243"/>
      <c r="M50" s="329" t="s">
        <v>352</v>
      </c>
      <c r="N50" s="345">
        <f>I67</f>
        <v>37.5</v>
      </c>
      <c r="S50" s="379" t="s">
        <v>353</v>
      </c>
      <c r="T50" s="380"/>
      <c r="U50" s="380"/>
      <c r="V50" s="380"/>
      <c r="Y50" s="72"/>
    </row>
    <row r="51" spans="1:32" ht="17.45" customHeight="1">
      <c r="A51" s="95" t="s">
        <v>216</v>
      </c>
      <c r="B51" s="34"/>
      <c r="C51" s="34"/>
      <c r="D51" s="34"/>
      <c r="E51" s="34"/>
      <c r="F51" s="34"/>
      <c r="G51" s="246">
        <v>12.25</v>
      </c>
      <c r="H51" s="247">
        <v>12.25</v>
      </c>
      <c r="I51" s="17">
        <f>SUM(B51:H51)</f>
        <v>24.5</v>
      </c>
      <c r="J51" s="221" t="s">
        <v>217</v>
      </c>
      <c r="M51" s="329" t="s">
        <v>354</v>
      </c>
      <c r="N51" s="345">
        <f>I45</f>
        <v>64</v>
      </c>
      <c r="Y51" s="72"/>
    </row>
    <row r="52" spans="1:32" ht="17.45" customHeight="1">
      <c r="A52" s="362" t="s">
        <v>59</v>
      </c>
      <c r="B52" s="248" t="s">
        <v>218</v>
      </c>
      <c r="C52" s="248" t="s">
        <v>218</v>
      </c>
      <c r="D52" s="248" t="s">
        <v>218</v>
      </c>
      <c r="E52" s="248" t="s">
        <v>218</v>
      </c>
      <c r="F52" s="248" t="s">
        <v>219</v>
      </c>
      <c r="G52" s="241" t="s">
        <v>220</v>
      </c>
      <c r="H52" s="242" t="s">
        <v>220</v>
      </c>
      <c r="I52" s="207"/>
      <c r="J52" s="363" t="s">
        <v>59</v>
      </c>
      <c r="K52" s="1" t="s">
        <v>28</v>
      </c>
      <c r="M52" s="329" t="s">
        <v>355</v>
      </c>
      <c r="N52" s="345">
        <f>I51</f>
        <v>24.5</v>
      </c>
      <c r="S52" t="s">
        <v>356</v>
      </c>
      <c r="Y52" s="72"/>
    </row>
    <row r="53" spans="1:32" ht="17.45" customHeight="1">
      <c r="A53" s="95" t="s">
        <v>61</v>
      </c>
      <c r="B53" s="250">
        <v>7</v>
      </c>
      <c r="C53" s="250">
        <v>7</v>
      </c>
      <c r="D53" s="250">
        <v>7</v>
      </c>
      <c r="E53" s="250">
        <v>7</v>
      </c>
      <c r="F53" s="250">
        <v>6.5</v>
      </c>
      <c r="G53" s="246">
        <v>12</v>
      </c>
      <c r="H53" s="247">
        <v>12</v>
      </c>
      <c r="I53" s="17">
        <f>SUM(B53:H53)</f>
        <v>58.5</v>
      </c>
      <c r="J53" s="221" t="s">
        <v>224</v>
      </c>
      <c r="M53" s="329" t="s">
        <v>234</v>
      </c>
      <c r="N53" s="345">
        <f>I57</f>
        <v>40</v>
      </c>
      <c r="S53" s="381" t="s">
        <v>357</v>
      </c>
      <c r="T53" s="382"/>
      <c r="U53" s="382"/>
      <c r="V53" s="382"/>
      <c r="Y53" s="72"/>
    </row>
    <row r="54" spans="1:32" ht="17.45" customHeight="1">
      <c r="A54" s="209"/>
      <c r="B54" s="251" t="s">
        <v>225</v>
      </c>
      <c r="C54" s="251" t="s">
        <v>225</v>
      </c>
      <c r="D54" s="251" t="s">
        <v>225</v>
      </c>
      <c r="E54" s="251" t="s">
        <v>225</v>
      </c>
      <c r="F54" s="251" t="s">
        <v>225</v>
      </c>
      <c r="G54" s="241" t="s">
        <v>226</v>
      </c>
      <c r="H54" s="242" t="s">
        <v>220</v>
      </c>
      <c r="I54" s="252"/>
      <c r="J54" s="213"/>
      <c r="M54" s="329" t="s">
        <v>358</v>
      </c>
      <c r="N54" s="345">
        <f>I63</f>
        <v>40</v>
      </c>
      <c r="S54" s="383" t="s">
        <v>359</v>
      </c>
      <c r="T54" s="384"/>
      <c r="U54" s="384"/>
      <c r="V54" s="384"/>
      <c r="Y54" s="72"/>
    </row>
    <row r="55" spans="1:32" ht="17.45" customHeight="1">
      <c r="A55" s="146" t="s">
        <v>229</v>
      </c>
      <c r="B55" s="255">
        <v>7</v>
      </c>
      <c r="C55" s="255">
        <v>7</v>
      </c>
      <c r="D55" s="255">
        <v>7</v>
      </c>
      <c r="E55" s="255">
        <v>7</v>
      </c>
      <c r="F55" s="255">
        <v>7</v>
      </c>
      <c r="G55" s="256">
        <v>9</v>
      </c>
      <c r="H55" s="247">
        <v>12</v>
      </c>
      <c r="I55" s="17">
        <f>SUM(B55:H55)</f>
        <v>56</v>
      </c>
      <c r="J55" s="221" t="s">
        <v>230</v>
      </c>
      <c r="M55" s="329" t="s">
        <v>360</v>
      </c>
      <c r="N55" s="345">
        <v>0</v>
      </c>
      <c r="S55" s="385" t="s">
        <v>361</v>
      </c>
      <c r="T55" s="386"/>
      <c r="U55" s="387"/>
      <c r="V55" s="387"/>
      <c r="Y55" s="72"/>
    </row>
    <row r="56" spans="1:32" ht="17.45" customHeight="1">
      <c r="A56" s="209"/>
      <c r="B56" s="257" t="s">
        <v>231</v>
      </c>
      <c r="C56" s="257" t="s">
        <v>231</v>
      </c>
      <c r="D56" s="257" t="s">
        <v>231</v>
      </c>
      <c r="E56" s="257" t="s">
        <v>231</v>
      </c>
      <c r="F56" s="257" t="s">
        <v>231</v>
      </c>
      <c r="G56" s="377"/>
      <c r="H56" s="378"/>
      <c r="I56" s="207"/>
      <c r="J56" s="213"/>
      <c r="M56" s="331" t="s">
        <v>329</v>
      </c>
      <c r="N56" s="350">
        <f>SUM(N41:N55)</f>
        <v>443.25</v>
      </c>
      <c r="S56" s="388" t="s">
        <v>362</v>
      </c>
      <c r="T56" s="389"/>
      <c r="U56" s="389"/>
      <c r="V56" s="389"/>
      <c r="Y56" s="72"/>
    </row>
    <row r="57" spans="1:32" ht="17.45" customHeight="1">
      <c r="A57" s="95" t="s">
        <v>233</v>
      </c>
      <c r="B57" s="262">
        <v>8</v>
      </c>
      <c r="C57" s="262">
        <v>8</v>
      </c>
      <c r="D57" s="262">
        <v>8</v>
      </c>
      <c r="E57" s="262">
        <v>8</v>
      </c>
      <c r="F57" s="262">
        <v>8</v>
      </c>
      <c r="G57" s="125"/>
      <c r="H57" s="390"/>
      <c r="I57" s="17">
        <f>SUM(B57:H57)</f>
        <v>40</v>
      </c>
      <c r="J57" s="221" t="s">
        <v>234</v>
      </c>
      <c r="N57" s="72"/>
      <c r="S57" s="375"/>
      <c r="T57" s="376"/>
      <c r="Y57" s="72"/>
      <c r="AE57" s="274"/>
      <c r="AF57" s="274"/>
    </row>
    <row r="58" spans="1:32" ht="17.45" customHeight="1">
      <c r="A58" s="362" t="s">
        <v>64</v>
      </c>
      <c r="B58" s="30" t="s">
        <v>16</v>
      </c>
      <c r="C58" s="30" t="s">
        <v>16</v>
      </c>
      <c r="D58" s="30" t="s">
        <v>16</v>
      </c>
      <c r="E58" s="30" t="s">
        <v>16</v>
      </c>
      <c r="F58" s="30" t="s">
        <v>16</v>
      </c>
      <c r="G58" s="377"/>
      <c r="H58" s="378"/>
      <c r="I58" s="207"/>
      <c r="J58" s="363" t="s">
        <v>64</v>
      </c>
      <c r="M58" t="s">
        <v>332</v>
      </c>
      <c r="N58" t="s">
        <v>363</v>
      </c>
      <c r="P58">
        <v>555</v>
      </c>
      <c r="Q58" t="s">
        <v>334</v>
      </c>
      <c r="S58" t="s">
        <v>364</v>
      </c>
      <c r="AE58" s="72"/>
      <c r="AF58" s="72"/>
    </row>
    <row r="59" spans="1:32" ht="17.45" customHeight="1">
      <c r="A59" s="146" t="s">
        <v>235</v>
      </c>
      <c r="B59" s="133"/>
      <c r="C59" s="133"/>
      <c r="D59" s="133"/>
      <c r="E59" s="133"/>
      <c r="F59" s="133"/>
      <c r="G59" s="125"/>
      <c r="H59" s="390"/>
      <c r="I59" s="124">
        <f>SUM(B59:H59)</f>
        <v>0</v>
      </c>
      <c r="J59" s="221" t="s">
        <v>236</v>
      </c>
      <c r="O59" t="s">
        <v>28</v>
      </c>
      <c r="S59" s="391" t="s">
        <v>365</v>
      </c>
      <c r="T59" s="392"/>
    </row>
    <row r="60" spans="1:32" ht="17.45" customHeight="1">
      <c r="A60" s="209"/>
      <c r="B60" s="30" t="s">
        <v>16</v>
      </c>
      <c r="C60" s="30" t="s">
        <v>16</v>
      </c>
      <c r="D60" s="30" t="s">
        <v>16</v>
      </c>
      <c r="E60" s="30" t="s">
        <v>16</v>
      </c>
      <c r="F60" s="30" t="s">
        <v>16</v>
      </c>
      <c r="G60" s="207"/>
      <c r="H60" s="238"/>
      <c r="I60" s="207"/>
      <c r="J60" s="213"/>
      <c r="M60" t="s">
        <v>336</v>
      </c>
      <c r="O60" s="354">
        <f>N56</f>
        <v>443.25</v>
      </c>
      <c r="S60" s="393" t="s">
        <v>366</v>
      </c>
      <c r="T60" s="394"/>
    </row>
    <row r="61" spans="1:32" ht="17.45" customHeight="1">
      <c r="A61" s="111" t="s">
        <v>367</v>
      </c>
      <c r="B61" s="133"/>
      <c r="C61" s="133"/>
      <c r="D61" s="34"/>
      <c r="E61" s="34"/>
      <c r="F61" s="34"/>
      <c r="G61" s="227"/>
      <c r="H61" s="239"/>
      <c r="I61" s="124">
        <f>SUM(B61:H61)</f>
        <v>0</v>
      </c>
      <c r="J61" s="279" t="s">
        <v>238</v>
      </c>
      <c r="S61" s="395" t="s">
        <v>368</v>
      </c>
      <c r="T61" s="396"/>
      <c r="AE61" s="127"/>
      <c r="AF61" s="127"/>
    </row>
    <row r="62" spans="1:32" ht="17.45" customHeight="1">
      <c r="A62" s="209" t="s">
        <v>28</v>
      </c>
      <c r="B62" s="265" t="s">
        <v>239</v>
      </c>
      <c r="C62" s="265" t="s">
        <v>239</v>
      </c>
      <c r="D62" s="265" t="s">
        <v>239</v>
      </c>
      <c r="E62" s="265" t="s">
        <v>239</v>
      </c>
      <c r="F62" s="265" t="s">
        <v>239</v>
      </c>
      <c r="G62" s="266"/>
      <c r="H62" s="238"/>
      <c r="I62" s="207"/>
      <c r="J62" s="213" t="s">
        <v>28</v>
      </c>
      <c r="M62">
        <f>O60</f>
        <v>443.25</v>
      </c>
      <c r="N62" t="s">
        <v>337</v>
      </c>
      <c r="P62" s="160">
        <f>SUM(M62/37)</f>
        <v>11.97972972972973</v>
      </c>
      <c r="Q62" t="s">
        <v>334</v>
      </c>
      <c r="AE62" s="139"/>
      <c r="AF62" s="139"/>
    </row>
    <row r="63" spans="1:32" ht="17.45" customHeight="1">
      <c r="A63" s="146" t="s">
        <v>241</v>
      </c>
      <c r="B63" s="397">
        <v>8</v>
      </c>
      <c r="C63" s="397">
        <v>8</v>
      </c>
      <c r="D63" s="397">
        <v>8</v>
      </c>
      <c r="E63" s="397">
        <v>8</v>
      </c>
      <c r="F63" s="397">
        <v>8</v>
      </c>
      <c r="G63" s="227"/>
      <c r="H63" s="239"/>
      <c r="I63" s="124">
        <f>SUM(B63:H63)</f>
        <v>40</v>
      </c>
      <c r="J63" s="221" t="s">
        <v>242</v>
      </c>
      <c r="S63" s="398" t="s">
        <v>369</v>
      </c>
      <c r="T63" s="399"/>
      <c r="U63" s="400"/>
    </row>
    <row r="64" spans="1:32" ht="17.45" customHeight="1">
      <c r="A64" s="362" t="s">
        <v>70</v>
      </c>
      <c r="B64" s="270" t="s">
        <v>243</v>
      </c>
      <c r="C64" s="270" t="s">
        <v>243</v>
      </c>
      <c r="D64" s="270" t="s">
        <v>243</v>
      </c>
      <c r="E64" s="270" t="s">
        <v>243</v>
      </c>
      <c r="F64" s="270" t="s">
        <v>243</v>
      </c>
      <c r="G64" s="24"/>
      <c r="H64" s="258"/>
      <c r="I64" s="207"/>
      <c r="J64" s="363" t="s">
        <v>70</v>
      </c>
      <c r="M64" s="160">
        <f>P62</f>
        <v>11.97972972972973</v>
      </c>
      <c r="N64" t="s">
        <v>338</v>
      </c>
      <c r="P64" s="160">
        <f>SUM(P62*3)</f>
        <v>35.939189189189193</v>
      </c>
      <c r="Q64" t="s">
        <v>334</v>
      </c>
    </row>
    <row r="65" spans="1:31" ht="17.45" customHeight="1">
      <c r="A65" s="146" t="s">
        <v>71</v>
      </c>
      <c r="B65" s="275">
        <v>7</v>
      </c>
      <c r="C65" s="275">
        <v>7</v>
      </c>
      <c r="D65" s="275">
        <v>7</v>
      </c>
      <c r="E65" s="275">
        <v>7</v>
      </c>
      <c r="F65" s="275">
        <v>7</v>
      </c>
      <c r="G65" s="124"/>
      <c r="H65" s="401"/>
      <c r="I65" s="124">
        <f>SUM(B65:H65)</f>
        <v>35</v>
      </c>
      <c r="J65" s="245" t="s">
        <v>245</v>
      </c>
      <c r="S65" s="398" t="s">
        <v>370</v>
      </c>
      <c r="T65" s="399"/>
      <c r="U65" s="400"/>
    </row>
    <row r="66" spans="1:31" ht="17.45" customHeight="1">
      <c r="A66" s="209"/>
      <c r="B66" s="276" t="s">
        <v>246</v>
      </c>
      <c r="C66" s="276" t="s">
        <v>246</v>
      </c>
      <c r="D66" s="276" t="s">
        <v>246</v>
      </c>
      <c r="E66" s="276" t="s">
        <v>246</v>
      </c>
      <c r="F66" s="276" t="s">
        <v>246</v>
      </c>
      <c r="G66" s="24"/>
      <c r="H66" s="258"/>
      <c r="I66" s="212"/>
      <c r="J66" s="213"/>
      <c r="M66">
        <f>P58</f>
        <v>555</v>
      </c>
      <c r="N66" t="s">
        <v>339</v>
      </c>
      <c r="P66" s="356">
        <f>P64</f>
        <v>35.939189189189193</v>
      </c>
      <c r="Q66" t="s">
        <v>340</v>
      </c>
      <c r="R66" s="402">
        <f>SUM(M66-P66)</f>
        <v>519.06081081081084</v>
      </c>
    </row>
    <row r="67" spans="1:31" ht="17.45" customHeight="1">
      <c r="A67" s="115" t="s">
        <v>72</v>
      </c>
      <c r="B67" s="278">
        <v>7.5</v>
      </c>
      <c r="C67" s="278">
        <v>7.5</v>
      </c>
      <c r="D67" s="278">
        <v>7.5</v>
      </c>
      <c r="E67" s="278">
        <v>7.5</v>
      </c>
      <c r="F67" s="278">
        <v>7.5</v>
      </c>
      <c r="G67" s="17"/>
      <c r="H67" s="263"/>
      <c r="I67" s="285">
        <f>SUM(B67:H67)</f>
        <v>37.5</v>
      </c>
      <c r="J67" s="279" t="s">
        <v>248</v>
      </c>
      <c r="S67" s="403" t="s">
        <v>371</v>
      </c>
      <c r="T67" s="404"/>
      <c r="U67" s="405"/>
      <c r="AE67" s="127"/>
    </row>
    <row r="68" spans="1:31" ht="17.45" customHeight="1">
      <c r="A68" s="209"/>
      <c r="B68" s="280" t="s">
        <v>249</v>
      </c>
      <c r="C68" s="281" t="s">
        <v>249</v>
      </c>
      <c r="D68" s="281" t="s">
        <v>249</v>
      </c>
      <c r="E68" s="281" t="s">
        <v>249</v>
      </c>
      <c r="F68" s="281" t="s">
        <v>249</v>
      </c>
      <c r="G68" s="24"/>
      <c r="H68" s="258"/>
      <c r="I68" s="236"/>
      <c r="J68" s="213"/>
      <c r="M68" s="160">
        <f>I70</f>
        <v>518.25</v>
      </c>
      <c r="N68" t="s">
        <v>342</v>
      </c>
      <c r="O68" s="356">
        <f>R66</f>
        <v>519.06081081081084</v>
      </c>
      <c r="P68" s="358">
        <f>SUM(M68-O68)</f>
        <v>-0.81081081081083539</v>
      </c>
      <c r="S68" s="375"/>
      <c r="T68" s="376"/>
      <c r="AE68" s="139"/>
    </row>
    <row r="69" spans="1:31" ht="17.45" customHeight="1">
      <c r="A69" s="95" t="s">
        <v>73</v>
      </c>
      <c r="B69" s="284">
        <v>8</v>
      </c>
      <c r="C69" s="284">
        <v>8</v>
      </c>
      <c r="D69" s="284">
        <v>8</v>
      </c>
      <c r="E69" s="284">
        <v>8</v>
      </c>
      <c r="F69" s="284">
        <v>8</v>
      </c>
      <c r="G69" s="17"/>
      <c r="H69" s="17"/>
      <c r="I69" s="285">
        <f>SUM(B69:H69)</f>
        <v>40</v>
      </c>
      <c r="J69" s="221" t="s">
        <v>251</v>
      </c>
    </row>
    <row r="70" spans="1:31" ht="17.45" customHeight="1">
      <c r="A70" s="196" t="s">
        <v>30</v>
      </c>
      <c r="B70" s="286">
        <f t="shared" ref="B70:I70" si="2">SUM(B41,B43,B45,B47,B49,B51,B53,B55,B57,B59,B61,B63,B65,B67,B69)</f>
        <v>75.75</v>
      </c>
      <c r="C70" s="286">
        <f t="shared" si="2"/>
        <v>75.75</v>
      </c>
      <c r="D70" s="286">
        <f t="shared" si="2"/>
        <v>75.75</v>
      </c>
      <c r="E70" s="286">
        <f t="shared" si="2"/>
        <v>75.75</v>
      </c>
      <c r="F70" s="286">
        <f t="shared" si="2"/>
        <v>75.25</v>
      </c>
      <c r="G70" s="286">
        <f t="shared" si="2"/>
        <v>68.5</v>
      </c>
      <c r="H70" s="286">
        <f t="shared" si="2"/>
        <v>71.5</v>
      </c>
      <c r="I70" s="286">
        <f t="shared" si="2"/>
        <v>518.25</v>
      </c>
      <c r="J70" s="198"/>
    </row>
    <row r="71" spans="1:31" ht="17.45" customHeight="1">
      <c r="A71" s="72"/>
      <c r="B71" s="72"/>
      <c r="C71" s="72"/>
      <c r="D71" s="72"/>
      <c r="E71" s="72"/>
      <c r="F71" s="72"/>
      <c r="G71" s="204" t="s">
        <v>152</v>
      </c>
      <c r="H71" s="204" t="s">
        <v>153</v>
      </c>
      <c r="I71" s="204" t="s">
        <v>154</v>
      </c>
      <c r="M71" s="274"/>
      <c r="N71" s="274"/>
      <c r="O71" s="274"/>
      <c r="P71" s="274"/>
      <c r="Q71" s="274"/>
      <c r="R71" s="274"/>
    </row>
    <row r="72" spans="1:31" ht="17.45" customHeight="1">
      <c r="A72" s="72"/>
      <c r="B72" s="127"/>
      <c r="C72" s="127"/>
      <c r="D72" s="127"/>
      <c r="E72" s="127"/>
      <c r="F72" s="127"/>
      <c r="G72" s="130">
        <f>I70</f>
        <v>518.25</v>
      </c>
      <c r="H72" s="169">
        <f>SUM(G72*13/3)</f>
        <v>2245.75</v>
      </c>
      <c r="I72" s="130">
        <f>SUM(H72*12)</f>
        <v>26949</v>
      </c>
      <c r="M72" s="72"/>
      <c r="N72" s="72"/>
      <c r="O72" s="72"/>
      <c r="P72" s="72"/>
      <c r="Q72" s="72"/>
      <c r="R72" s="72"/>
    </row>
    <row r="73" spans="1:31" ht="17.45" customHeight="1">
      <c r="A73" s="72"/>
      <c r="B73" s="139"/>
      <c r="C73" s="139"/>
      <c r="D73" s="139"/>
      <c r="E73" s="139"/>
      <c r="F73" s="139"/>
      <c r="G73" s="72"/>
      <c r="H73" s="174"/>
      <c r="I73" s="72"/>
      <c r="N73" s="72"/>
      <c r="O73" s="72"/>
      <c r="P73" s="72"/>
      <c r="Q73" s="72"/>
      <c r="R73" s="72"/>
    </row>
    <row r="74" spans="1:31" ht="17.45" customHeight="1">
      <c r="A74" s="72"/>
      <c r="B74" s="72"/>
      <c r="C74" s="72"/>
      <c r="D74" s="72"/>
      <c r="E74" s="72"/>
      <c r="F74" s="72"/>
      <c r="G74" s="72"/>
      <c r="H74" s="174"/>
      <c r="I74" s="72"/>
      <c r="N74" s="72"/>
      <c r="O74" s="72"/>
      <c r="P74" s="72"/>
      <c r="Q74" s="72"/>
      <c r="R74" s="72"/>
    </row>
    <row r="75" spans="1:31" ht="17.100000000000001" customHeight="1">
      <c r="A75" s="1" t="s">
        <v>372</v>
      </c>
      <c r="B75" s="72"/>
      <c r="C75" s="72"/>
      <c r="D75" s="72"/>
      <c r="E75" s="72"/>
      <c r="F75" s="72"/>
      <c r="N75" s="72"/>
      <c r="O75" s="72"/>
      <c r="P75" s="72"/>
      <c r="Q75" s="72"/>
      <c r="R75" s="72"/>
    </row>
    <row r="76" spans="1:31" ht="17.100000000000001" customHeight="1">
      <c r="A76" s="205" t="s">
        <v>190</v>
      </c>
      <c r="B76" s="24" t="s">
        <v>2</v>
      </c>
      <c r="C76" s="25" t="s">
        <v>3</v>
      </c>
      <c r="D76" s="25" t="s">
        <v>4</v>
      </c>
      <c r="E76" s="25" t="s">
        <v>5</v>
      </c>
      <c r="F76" s="25" t="s">
        <v>6</v>
      </c>
      <c r="G76" s="25" t="s">
        <v>7</v>
      </c>
      <c r="H76" s="206" t="s">
        <v>8</v>
      </c>
      <c r="I76" s="207" t="s">
        <v>9</v>
      </c>
      <c r="J76" s="208" t="s">
        <v>10</v>
      </c>
      <c r="N76" s="72"/>
      <c r="O76" s="72"/>
      <c r="P76" s="72"/>
      <c r="Q76" s="72"/>
      <c r="R76" s="72"/>
    </row>
    <row r="77" spans="1:31" ht="17.100000000000001" customHeight="1">
      <c r="A77" s="209"/>
      <c r="B77" s="210" t="s">
        <v>191</v>
      </c>
      <c r="C77" s="210" t="s">
        <v>191</v>
      </c>
      <c r="D77" s="210" t="s">
        <v>191</v>
      </c>
      <c r="E77" s="210" t="s">
        <v>191</v>
      </c>
      <c r="F77" s="210" t="s">
        <v>191</v>
      </c>
      <c r="G77" s="211" t="s">
        <v>192</v>
      </c>
      <c r="H77" s="211" t="s">
        <v>192</v>
      </c>
      <c r="I77" s="212"/>
      <c r="J77" s="213"/>
      <c r="N77" s="72"/>
      <c r="O77" s="72"/>
      <c r="P77" s="72"/>
      <c r="Q77" s="72"/>
      <c r="R77" s="72"/>
    </row>
    <row r="78" spans="1:31" ht="17.100000000000001" customHeight="1">
      <c r="A78" s="95" t="s">
        <v>43</v>
      </c>
      <c r="B78" s="219">
        <v>8.25</v>
      </c>
      <c r="C78" s="219">
        <v>8.25</v>
      </c>
      <c r="D78" s="219">
        <v>8.25</v>
      </c>
      <c r="E78" s="219">
        <v>8.25</v>
      </c>
      <c r="F78" s="219">
        <v>8.25</v>
      </c>
      <c r="G78" s="220">
        <v>12.25</v>
      </c>
      <c r="H78" s="220">
        <v>12.25</v>
      </c>
      <c r="I78" s="17">
        <f>SUM(B78:H78)</f>
        <v>65.75</v>
      </c>
      <c r="J78" s="221" t="s">
        <v>196</v>
      </c>
      <c r="N78" s="72"/>
      <c r="O78" s="72"/>
      <c r="P78" s="72"/>
      <c r="Q78" s="72"/>
      <c r="R78" s="72"/>
    </row>
    <row r="79" spans="1:31" ht="17.100000000000001" customHeight="1">
      <c r="A79" s="209"/>
      <c r="B79" s="30" t="s">
        <v>16</v>
      </c>
      <c r="C79" s="30" t="s">
        <v>16</v>
      </c>
      <c r="D79" s="30" t="s">
        <v>16</v>
      </c>
      <c r="E79" s="30" t="s">
        <v>16</v>
      </c>
      <c r="F79" s="30" t="s">
        <v>16</v>
      </c>
      <c r="G79" s="234"/>
      <c r="H79" s="235"/>
      <c r="I79" s="236"/>
      <c r="J79" s="213"/>
      <c r="L79" s="127"/>
      <c r="M79" s="127"/>
      <c r="N79" s="127"/>
      <c r="O79" s="72"/>
      <c r="P79" s="72"/>
      <c r="Q79" s="72"/>
      <c r="R79" s="72"/>
    </row>
    <row r="80" spans="1:31" ht="17.100000000000001" customHeight="1">
      <c r="A80" s="95" t="s">
        <v>373</v>
      </c>
      <c r="B80" s="34"/>
      <c r="C80" s="34"/>
      <c r="D80" s="34"/>
      <c r="E80" s="34"/>
      <c r="F80" s="34"/>
      <c r="G80" s="18"/>
      <c r="H80" s="237"/>
      <c r="I80" s="17">
        <f>SUM(B80:H80)</f>
        <v>0</v>
      </c>
      <c r="J80" s="221" t="s">
        <v>210</v>
      </c>
      <c r="L80" s="139"/>
      <c r="M80" s="139"/>
      <c r="N80" s="139"/>
      <c r="O80" s="72"/>
      <c r="P80" s="72"/>
      <c r="Q80" s="72"/>
      <c r="R80" s="72"/>
    </row>
    <row r="81" spans="1:18" ht="17.100000000000001" customHeight="1">
      <c r="A81" s="209"/>
      <c r="B81" s="248" t="s">
        <v>218</v>
      </c>
      <c r="C81" s="248" t="s">
        <v>218</v>
      </c>
      <c r="D81" s="248" t="s">
        <v>218</v>
      </c>
      <c r="E81" s="248" t="s">
        <v>218</v>
      </c>
      <c r="F81" s="248" t="s">
        <v>219</v>
      </c>
      <c r="G81" s="241" t="s">
        <v>220</v>
      </c>
      <c r="H81" s="242" t="s">
        <v>220</v>
      </c>
      <c r="I81" s="207"/>
      <c r="J81" s="213"/>
      <c r="N81" s="72"/>
      <c r="O81" s="72"/>
      <c r="P81" s="72"/>
      <c r="Q81" s="72"/>
      <c r="R81" s="72"/>
    </row>
    <row r="82" spans="1:18" ht="17.100000000000001" customHeight="1">
      <c r="A82" s="95" t="s">
        <v>61</v>
      </c>
      <c r="B82" s="250">
        <v>7</v>
      </c>
      <c r="C82" s="250">
        <v>7</v>
      </c>
      <c r="D82" s="250">
        <v>7</v>
      </c>
      <c r="E82" s="250">
        <v>7</v>
      </c>
      <c r="F82" s="250">
        <v>6.5</v>
      </c>
      <c r="G82" s="246">
        <v>12</v>
      </c>
      <c r="H82" s="247">
        <v>12</v>
      </c>
      <c r="I82" s="17">
        <f>SUM(B82:H82)</f>
        <v>58.5</v>
      </c>
      <c r="J82" s="221" t="s">
        <v>224</v>
      </c>
      <c r="N82" s="72"/>
      <c r="O82" s="72"/>
      <c r="P82" s="72"/>
      <c r="Q82" s="72"/>
      <c r="R82" s="72"/>
    </row>
    <row r="83" spans="1:18" ht="17.100000000000001" customHeight="1">
      <c r="A83" s="209"/>
      <c r="B83" s="30" t="s">
        <v>16</v>
      </c>
      <c r="C83" s="30" t="s">
        <v>16</v>
      </c>
      <c r="D83" s="30" t="s">
        <v>16</v>
      </c>
      <c r="E83" s="30" t="s">
        <v>16</v>
      </c>
      <c r="F83" s="30" t="s">
        <v>16</v>
      </c>
      <c r="G83" s="234"/>
      <c r="H83" s="235"/>
      <c r="I83" s="212"/>
      <c r="J83" s="213"/>
      <c r="N83" s="72"/>
      <c r="O83" s="72"/>
      <c r="P83" s="72"/>
      <c r="Q83" s="72"/>
      <c r="R83" s="72"/>
    </row>
    <row r="84" spans="1:18" ht="17.100000000000001" customHeight="1">
      <c r="A84" s="95" t="s">
        <v>235</v>
      </c>
      <c r="B84" s="133"/>
      <c r="C84" s="133"/>
      <c r="D84" s="133"/>
      <c r="E84" s="133"/>
      <c r="F84" s="133"/>
      <c r="G84" s="18"/>
      <c r="H84" s="237"/>
      <c r="I84" s="17">
        <f>SUM(B84:H84)</f>
        <v>0</v>
      </c>
      <c r="J84" s="221" t="s">
        <v>236</v>
      </c>
      <c r="N84" s="72"/>
      <c r="O84" s="72"/>
      <c r="P84" s="72"/>
      <c r="Q84" s="72"/>
      <c r="R84" s="72"/>
    </row>
    <row r="85" spans="1:18" ht="17.100000000000001" customHeight="1">
      <c r="A85" s="209"/>
      <c r="B85" s="270" t="s">
        <v>243</v>
      </c>
      <c r="C85" s="270" t="s">
        <v>243</v>
      </c>
      <c r="D85" s="270" t="s">
        <v>243</v>
      </c>
      <c r="E85" s="270" t="s">
        <v>243</v>
      </c>
      <c r="F85" s="270" t="s">
        <v>243</v>
      </c>
      <c r="G85" s="271"/>
      <c r="H85" s="272"/>
      <c r="I85" s="212"/>
      <c r="J85" s="213"/>
      <c r="N85" s="72"/>
      <c r="O85" s="72"/>
      <c r="P85" s="72"/>
      <c r="Q85" s="72"/>
      <c r="R85" s="72"/>
    </row>
    <row r="86" spans="1:18" ht="17.100000000000001" customHeight="1">
      <c r="A86" s="95" t="s">
        <v>71</v>
      </c>
      <c r="B86" s="275">
        <v>7</v>
      </c>
      <c r="C86" s="275">
        <v>7</v>
      </c>
      <c r="D86" s="275">
        <v>7</v>
      </c>
      <c r="E86" s="275">
        <v>7</v>
      </c>
      <c r="F86" s="275">
        <v>7</v>
      </c>
      <c r="G86" s="17"/>
      <c r="H86" s="263"/>
      <c r="I86" s="17">
        <f>SUM(B86:H86)</f>
        <v>35</v>
      </c>
      <c r="J86" s="221" t="s">
        <v>245</v>
      </c>
      <c r="N86" s="72"/>
      <c r="O86" s="72"/>
      <c r="P86" s="72"/>
      <c r="Q86" s="72"/>
      <c r="R86" s="72"/>
    </row>
    <row r="87" spans="1:18" ht="17.100000000000001" customHeight="1">
      <c r="A87" s="209"/>
      <c r="B87" s="222" t="s">
        <v>197</v>
      </c>
      <c r="C87" s="222" t="s">
        <v>197</v>
      </c>
      <c r="D87" s="222" t="s">
        <v>197</v>
      </c>
      <c r="E87" s="222" t="s">
        <v>197</v>
      </c>
      <c r="F87" s="222" t="s">
        <v>197</v>
      </c>
      <c r="G87" s="223" t="s">
        <v>198</v>
      </c>
      <c r="H87" s="224" t="s">
        <v>198</v>
      </c>
      <c r="I87" s="207"/>
      <c r="J87" s="213"/>
      <c r="N87" s="72"/>
      <c r="O87" s="72"/>
      <c r="P87" s="72"/>
      <c r="Q87" s="72"/>
      <c r="R87" s="72"/>
    </row>
    <row r="88" spans="1:18" ht="17.100000000000001" customHeight="1">
      <c r="A88" s="95" t="s">
        <v>201</v>
      </c>
      <c r="B88" s="91">
        <v>7</v>
      </c>
      <c r="C88" s="91">
        <v>7</v>
      </c>
      <c r="D88" s="91">
        <v>7</v>
      </c>
      <c r="E88" s="91">
        <v>7</v>
      </c>
      <c r="F88" s="91">
        <v>7</v>
      </c>
      <c r="G88" s="228">
        <v>11</v>
      </c>
      <c r="H88" s="229">
        <v>11</v>
      </c>
      <c r="I88" s="17">
        <f>SUM(B88:H88)</f>
        <v>57</v>
      </c>
      <c r="J88" s="221" t="s">
        <v>202</v>
      </c>
      <c r="N88" s="72"/>
      <c r="O88" s="72"/>
      <c r="P88" s="72"/>
      <c r="Q88" s="72"/>
      <c r="R88" s="72"/>
    </row>
    <row r="89" spans="1:18" ht="17.100000000000001" customHeight="1">
      <c r="A89" s="209"/>
      <c r="B89" s="30" t="s">
        <v>16</v>
      </c>
      <c r="C89" s="30" t="s">
        <v>16</v>
      </c>
      <c r="D89" s="30" t="s">
        <v>16</v>
      </c>
      <c r="E89" s="30" t="s">
        <v>16</v>
      </c>
      <c r="F89" s="30" t="s">
        <v>16</v>
      </c>
      <c r="G89" s="207"/>
      <c r="H89" s="238"/>
      <c r="I89" s="207"/>
      <c r="J89" s="213"/>
      <c r="N89" s="72"/>
      <c r="O89" s="72"/>
      <c r="P89" s="72"/>
      <c r="Q89" s="72"/>
      <c r="R89" s="72"/>
    </row>
    <row r="90" spans="1:18" ht="17.100000000000001" customHeight="1">
      <c r="A90" s="95" t="s">
        <v>211</v>
      </c>
      <c r="B90" s="34"/>
      <c r="C90" s="34"/>
      <c r="D90" s="34"/>
      <c r="E90" s="34"/>
      <c r="F90" s="34"/>
      <c r="G90" s="138"/>
      <c r="H90" s="240"/>
      <c r="I90" s="17">
        <f>SUM(B90:H90)</f>
        <v>0</v>
      </c>
      <c r="J90" s="221" t="s">
        <v>212</v>
      </c>
      <c r="N90" s="72"/>
      <c r="O90" s="72"/>
      <c r="P90" s="72"/>
      <c r="Q90" s="72"/>
      <c r="R90" s="72"/>
    </row>
    <row r="91" spans="1:18" ht="17.100000000000001" customHeight="1">
      <c r="A91" s="209"/>
      <c r="B91" s="251" t="s">
        <v>225</v>
      </c>
      <c r="C91" s="251" t="s">
        <v>225</v>
      </c>
      <c r="D91" s="251" t="s">
        <v>225</v>
      </c>
      <c r="E91" s="251" t="s">
        <v>225</v>
      </c>
      <c r="F91" s="251" t="s">
        <v>225</v>
      </c>
      <c r="G91" s="241" t="s">
        <v>226</v>
      </c>
      <c r="H91" s="242" t="s">
        <v>220</v>
      </c>
      <c r="I91" s="252"/>
      <c r="J91" s="213"/>
      <c r="N91" s="72"/>
      <c r="O91" s="72"/>
      <c r="P91" s="72"/>
      <c r="Q91" s="72"/>
      <c r="R91" s="72"/>
    </row>
    <row r="92" spans="1:18" ht="17.100000000000001" customHeight="1">
      <c r="A92" s="95" t="s">
        <v>229</v>
      </c>
      <c r="B92" s="255">
        <v>7</v>
      </c>
      <c r="C92" s="255">
        <v>7</v>
      </c>
      <c r="D92" s="255">
        <v>7</v>
      </c>
      <c r="E92" s="255">
        <v>7</v>
      </c>
      <c r="F92" s="255">
        <v>7</v>
      </c>
      <c r="G92" s="256">
        <v>9</v>
      </c>
      <c r="H92" s="247">
        <v>12</v>
      </c>
      <c r="I92" s="17">
        <f>SUM(B92:H92)</f>
        <v>56</v>
      </c>
      <c r="J92" s="221" t="s">
        <v>230</v>
      </c>
      <c r="L92" s="127"/>
      <c r="M92" s="127"/>
      <c r="N92" s="127"/>
      <c r="O92" s="72"/>
      <c r="P92" s="72"/>
      <c r="Q92" s="72"/>
      <c r="R92" s="72"/>
    </row>
    <row r="93" spans="1:18" ht="17.100000000000001" customHeight="1">
      <c r="A93" s="209"/>
      <c r="B93" s="30" t="s">
        <v>16</v>
      </c>
      <c r="C93" s="30" t="s">
        <v>16</v>
      </c>
      <c r="D93" s="30" t="s">
        <v>16</v>
      </c>
      <c r="E93" s="30" t="s">
        <v>16</v>
      </c>
      <c r="F93" s="30" t="s">
        <v>16</v>
      </c>
      <c r="G93" s="207"/>
      <c r="H93" s="238"/>
      <c r="I93" s="207"/>
      <c r="J93" s="213"/>
      <c r="L93" s="139"/>
      <c r="M93" s="139"/>
      <c r="N93" s="139"/>
      <c r="O93" s="72"/>
      <c r="P93" s="72"/>
      <c r="Q93" s="72"/>
      <c r="R93" s="72"/>
    </row>
    <row r="94" spans="1:18" ht="17.100000000000001" customHeight="1">
      <c r="A94" s="111" t="s">
        <v>237</v>
      </c>
      <c r="B94" s="133"/>
      <c r="C94" s="133"/>
      <c r="D94" s="34"/>
      <c r="E94" s="34"/>
      <c r="F94" s="34"/>
      <c r="G94" s="227"/>
      <c r="H94" s="239"/>
      <c r="I94" s="124">
        <f>SUM(B94:H94)</f>
        <v>0</v>
      </c>
      <c r="J94" s="264" t="s">
        <v>238</v>
      </c>
      <c r="N94" s="72"/>
      <c r="O94" s="72"/>
      <c r="P94" s="72"/>
      <c r="Q94" s="72"/>
      <c r="R94" s="72"/>
    </row>
    <row r="95" spans="1:18" ht="17.100000000000001" customHeight="1">
      <c r="A95" s="209"/>
      <c r="B95" s="276" t="s">
        <v>246</v>
      </c>
      <c r="C95" s="276" t="s">
        <v>246</v>
      </c>
      <c r="D95" s="276" t="s">
        <v>246</v>
      </c>
      <c r="E95" s="276" t="s">
        <v>246</v>
      </c>
      <c r="F95" s="276" t="s">
        <v>246</v>
      </c>
      <c r="G95" s="24"/>
      <c r="H95" s="258"/>
      <c r="I95" s="27"/>
      <c r="J95" s="213"/>
      <c r="N95" s="274"/>
      <c r="O95" s="274"/>
      <c r="P95" s="72"/>
      <c r="Q95" s="72"/>
      <c r="R95" s="72"/>
    </row>
    <row r="96" spans="1:18" ht="17.100000000000001" customHeight="1">
      <c r="A96" s="115" t="s">
        <v>72</v>
      </c>
      <c r="B96" s="278">
        <v>7.5</v>
      </c>
      <c r="C96" s="278">
        <v>7.5</v>
      </c>
      <c r="D96" s="278">
        <v>7.5</v>
      </c>
      <c r="E96" s="278">
        <v>7.5</v>
      </c>
      <c r="F96" s="278">
        <v>7.5</v>
      </c>
      <c r="G96" s="17"/>
      <c r="H96" s="263"/>
      <c r="I96" s="36">
        <f>SUM(B96:H96)</f>
        <v>37.5</v>
      </c>
      <c r="J96" s="279" t="s">
        <v>248</v>
      </c>
      <c r="L96" s="274"/>
      <c r="M96" s="274"/>
      <c r="N96" s="72"/>
      <c r="O96" s="72"/>
      <c r="P96" s="274"/>
      <c r="Q96" s="72"/>
      <c r="R96" s="72"/>
    </row>
    <row r="97" spans="1:19" ht="17.100000000000001" customHeight="1">
      <c r="A97" s="209"/>
      <c r="B97" s="230" t="s">
        <v>203</v>
      </c>
      <c r="C97" s="230" t="s">
        <v>203</v>
      </c>
      <c r="D97" s="230" t="s">
        <v>203</v>
      </c>
      <c r="E97" s="230" t="s">
        <v>203</v>
      </c>
      <c r="F97" s="230" t="s">
        <v>203</v>
      </c>
      <c r="G97" s="224" t="s">
        <v>204</v>
      </c>
      <c r="H97" s="224" t="s">
        <v>204</v>
      </c>
      <c r="I97" s="207"/>
      <c r="J97" s="213"/>
      <c r="L97" s="72"/>
      <c r="M97" s="72"/>
      <c r="N97" s="72"/>
      <c r="O97" s="72"/>
      <c r="P97" s="72"/>
      <c r="Q97" s="72"/>
      <c r="R97" s="72"/>
    </row>
    <row r="98" spans="1:19" ht="17.100000000000001" customHeight="1">
      <c r="A98" s="95" t="s">
        <v>207</v>
      </c>
      <c r="B98" s="233">
        <v>8</v>
      </c>
      <c r="C98" s="233">
        <v>8</v>
      </c>
      <c r="D98" s="233">
        <v>8</v>
      </c>
      <c r="E98" s="233">
        <v>8</v>
      </c>
      <c r="F98" s="233">
        <v>8</v>
      </c>
      <c r="G98" s="228">
        <v>12</v>
      </c>
      <c r="H98" s="228">
        <v>12</v>
      </c>
      <c r="I98" s="17">
        <f>SUM(B98:H98)</f>
        <v>64</v>
      </c>
      <c r="J98" s="221" t="s">
        <v>208</v>
      </c>
      <c r="N98" s="72"/>
      <c r="O98" s="72"/>
      <c r="P98" s="72"/>
      <c r="Q98" s="72"/>
      <c r="R98" s="72"/>
    </row>
    <row r="99" spans="1:19" ht="17.100000000000001" customHeight="1">
      <c r="A99" s="205"/>
      <c r="B99" s="30" t="s">
        <v>16</v>
      </c>
      <c r="C99" s="30" t="s">
        <v>16</v>
      </c>
      <c r="D99" s="30" t="s">
        <v>16</v>
      </c>
      <c r="E99" s="30" t="s">
        <v>16</v>
      </c>
      <c r="F99" s="30" t="s">
        <v>16</v>
      </c>
      <c r="G99" s="241" t="s">
        <v>213</v>
      </c>
      <c r="H99" s="242" t="s">
        <v>214</v>
      </c>
      <c r="I99" s="207"/>
      <c r="J99" s="243"/>
      <c r="N99" s="72"/>
      <c r="O99" s="72"/>
      <c r="P99" s="72"/>
      <c r="Q99" s="72"/>
      <c r="R99" s="72"/>
    </row>
    <row r="100" spans="1:19" ht="17.100000000000001" customHeight="1">
      <c r="A100" s="95" t="s">
        <v>216</v>
      </c>
      <c r="B100" s="34"/>
      <c r="C100" s="34"/>
      <c r="D100" s="34"/>
      <c r="E100" s="34"/>
      <c r="F100" s="34"/>
      <c r="G100" s="246">
        <v>12.25</v>
      </c>
      <c r="H100" s="247">
        <v>12.25</v>
      </c>
      <c r="I100" s="17">
        <f>SUM(B100:H100)</f>
        <v>24.5</v>
      </c>
      <c r="J100" s="221" t="s">
        <v>217</v>
      </c>
      <c r="N100" s="72"/>
      <c r="O100" s="72"/>
      <c r="P100" s="72"/>
      <c r="Q100" s="72"/>
      <c r="R100" s="72"/>
    </row>
    <row r="101" spans="1:19" ht="17.100000000000001" customHeight="1">
      <c r="A101" s="209"/>
      <c r="B101" s="257" t="s">
        <v>231</v>
      </c>
      <c r="C101" s="257" t="s">
        <v>231</v>
      </c>
      <c r="D101" s="257" t="s">
        <v>231</v>
      </c>
      <c r="E101" s="257" t="s">
        <v>231</v>
      </c>
      <c r="F101" s="257" t="s">
        <v>231</v>
      </c>
      <c r="G101" s="24"/>
      <c r="H101" s="258"/>
      <c r="I101" s="207"/>
      <c r="J101" s="213"/>
      <c r="N101" s="72"/>
      <c r="O101" s="72"/>
      <c r="P101" s="72"/>
      <c r="Q101" s="72"/>
      <c r="R101" s="72"/>
    </row>
    <row r="102" spans="1:19" ht="17.100000000000001" customHeight="1">
      <c r="A102" s="95" t="s">
        <v>233</v>
      </c>
      <c r="B102" s="262">
        <v>8</v>
      </c>
      <c r="C102" s="262">
        <v>8</v>
      </c>
      <c r="D102" s="262">
        <v>8</v>
      </c>
      <c r="E102" s="262">
        <v>8</v>
      </c>
      <c r="F102" s="262">
        <v>8</v>
      </c>
      <c r="G102" s="17"/>
      <c r="H102" s="263"/>
      <c r="I102" s="17">
        <f>SUM(B102:H102)</f>
        <v>40</v>
      </c>
      <c r="J102" s="221" t="s">
        <v>234</v>
      </c>
      <c r="N102" s="72"/>
      <c r="O102" s="72"/>
      <c r="P102" s="72"/>
      <c r="Q102" s="72"/>
      <c r="R102" s="72"/>
    </row>
    <row r="103" spans="1:19" ht="17.100000000000001" customHeight="1">
      <c r="A103" s="209" t="s">
        <v>28</v>
      </c>
      <c r="B103" s="265" t="s">
        <v>239</v>
      </c>
      <c r="C103" s="265" t="s">
        <v>239</v>
      </c>
      <c r="D103" s="265" t="s">
        <v>239</v>
      </c>
      <c r="E103" s="265" t="s">
        <v>239</v>
      </c>
      <c r="F103" s="265" t="s">
        <v>239</v>
      </c>
      <c r="G103" s="266"/>
      <c r="H103" s="238"/>
      <c r="I103" s="207"/>
      <c r="J103" s="213" t="s">
        <v>28</v>
      </c>
      <c r="N103" s="72"/>
      <c r="O103" s="72"/>
      <c r="P103" s="72"/>
      <c r="Q103" s="72"/>
      <c r="R103" s="72"/>
    </row>
    <row r="104" spans="1:19" ht="17.100000000000001" customHeight="1">
      <c r="A104" s="146" t="s">
        <v>241</v>
      </c>
      <c r="B104" s="269">
        <v>8</v>
      </c>
      <c r="C104" s="269">
        <v>8</v>
      </c>
      <c r="D104" s="269">
        <v>8</v>
      </c>
      <c r="E104" s="269">
        <v>8</v>
      </c>
      <c r="F104" s="269">
        <v>8</v>
      </c>
      <c r="G104" s="227"/>
      <c r="H104" s="239"/>
      <c r="I104" s="124">
        <f>SUM(B104:H104)</f>
        <v>40</v>
      </c>
      <c r="J104" s="245" t="s">
        <v>242</v>
      </c>
      <c r="N104" s="72"/>
      <c r="O104" s="72"/>
      <c r="P104" s="72"/>
      <c r="Q104" s="72"/>
      <c r="R104" s="72"/>
    </row>
    <row r="105" spans="1:19" ht="17.100000000000001" customHeight="1">
      <c r="A105" s="209"/>
      <c r="B105" s="280" t="s">
        <v>249</v>
      </c>
      <c r="C105" s="281" t="s">
        <v>249</v>
      </c>
      <c r="D105" s="281" t="s">
        <v>249</v>
      </c>
      <c r="E105" s="281" t="s">
        <v>249</v>
      </c>
      <c r="F105" s="281" t="s">
        <v>249</v>
      </c>
      <c r="G105" s="24"/>
      <c r="H105" s="258"/>
      <c r="I105" s="236"/>
      <c r="J105" s="213"/>
      <c r="N105" s="72"/>
      <c r="O105" s="72"/>
      <c r="P105" s="72"/>
      <c r="Q105" s="72"/>
      <c r="R105" s="72"/>
    </row>
    <row r="106" spans="1:19" ht="17.100000000000001" customHeight="1">
      <c r="A106" s="95" t="s">
        <v>73</v>
      </c>
      <c r="B106" s="284">
        <v>8</v>
      </c>
      <c r="C106" s="284">
        <v>8</v>
      </c>
      <c r="D106" s="284">
        <v>8</v>
      </c>
      <c r="E106" s="284">
        <v>8</v>
      </c>
      <c r="F106" s="284">
        <v>8</v>
      </c>
      <c r="G106" s="17"/>
      <c r="H106" s="17"/>
      <c r="I106" s="285">
        <f>SUM(B106:H106)</f>
        <v>40</v>
      </c>
      <c r="J106" s="221" t="s">
        <v>251</v>
      </c>
      <c r="N106" s="72"/>
      <c r="O106" s="72"/>
      <c r="P106" s="72"/>
      <c r="Q106" s="72"/>
      <c r="R106" s="72"/>
    </row>
    <row r="107" spans="1:19" ht="17.45" customHeight="1">
      <c r="A107" s="196" t="s">
        <v>30</v>
      </c>
      <c r="B107" s="286">
        <f t="shared" ref="B107:I107" si="3">SUM(B78,B80,B82,B84,B86,B88,B90,B92,B94,B96,B98,B100,B102,B104,B106)</f>
        <v>75.75</v>
      </c>
      <c r="C107" s="286">
        <f t="shared" si="3"/>
        <v>75.75</v>
      </c>
      <c r="D107" s="286">
        <f t="shared" si="3"/>
        <v>75.75</v>
      </c>
      <c r="E107" s="286">
        <f t="shared" si="3"/>
        <v>75.75</v>
      </c>
      <c r="F107" s="286">
        <f t="shared" si="3"/>
        <v>75.25</v>
      </c>
      <c r="G107" s="286">
        <f t="shared" si="3"/>
        <v>68.5</v>
      </c>
      <c r="H107" s="286">
        <f t="shared" si="3"/>
        <v>71.5</v>
      </c>
      <c r="I107" s="286">
        <f t="shared" si="3"/>
        <v>518.25</v>
      </c>
      <c r="J107" s="198"/>
      <c r="N107" s="72"/>
      <c r="O107" s="72"/>
      <c r="P107" s="72"/>
      <c r="Q107" s="72"/>
      <c r="R107" s="72"/>
    </row>
    <row r="108" spans="1:19" ht="17.45" customHeight="1">
      <c r="A108" s="72"/>
      <c r="B108" s="72"/>
      <c r="C108" s="72"/>
      <c r="D108" s="72"/>
      <c r="E108" s="72"/>
      <c r="F108" s="72"/>
      <c r="G108" s="204" t="s">
        <v>152</v>
      </c>
      <c r="H108" s="204" t="s">
        <v>153</v>
      </c>
      <c r="I108" s="204" t="s">
        <v>154</v>
      </c>
      <c r="N108" s="72"/>
      <c r="O108" s="72"/>
      <c r="P108" s="72"/>
      <c r="Q108" s="72"/>
      <c r="R108" s="72"/>
    </row>
    <row r="109" spans="1:19" ht="17.45" customHeight="1">
      <c r="A109" s="274"/>
      <c r="B109" s="274"/>
      <c r="C109" s="274"/>
      <c r="D109" s="274"/>
      <c r="E109" s="274"/>
      <c r="F109" s="72"/>
      <c r="G109" s="130">
        <f>I107</f>
        <v>518.25</v>
      </c>
      <c r="H109" s="169">
        <f>SUM(G109*13/3)</f>
        <v>2245.75</v>
      </c>
      <c r="I109" s="130">
        <f>SUM(H109*12)</f>
        <v>26949</v>
      </c>
      <c r="N109" s="72"/>
      <c r="O109" s="72"/>
      <c r="P109" s="72"/>
      <c r="Q109" s="72"/>
      <c r="R109" s="72"/>
    </row>
    <row r="110" spans="1:19" ht="17.45" customHeight="1">
      <c r="A110" s="406"/>
      <c r="B110" s="406"/>
      <c r="C110" s="406"/>
      <c r="D110" s="406"/>
      <c r="E110" s="406"/>
      <c r="F110" s="72"/>
      <c r="G110" s="72"/>
      <c r="H110" s="174"/>
      <c r="I110" s="72"/>
      <c r="N110" s="72"/>
      <c r="O110" s="72"/>
      <c r="P110" s="72"/>
      <c r="Q110" s="72"/>
      <c r="R110" s="72"/>
    </row>
    <row r="111" spans="1:19" ht="17.100000000000001" customHeight="1">
      <c r="A111" s="1" t="s">
        <v>253</v>
      </c>
      <c r="B111" s="72"/>
      <c r="C111" s="72"/>
      <c r="D111" s="72"/>
      <c r="E111" s="72"/>
      <c r="F111" s="72"/>
      <c r="L111" s="72"/>
      <c r="M111" s="274"/>
      <c r="N111" s="274"/>
      <c r="O111" s="274"/>
      <c r="P111" s="274"/>
      <c r="Q111" s="274"/>
      <c r="R111" s="274"/>
      <c r="S111" s="407"/>
    </row>
    <row r="112" spans="1:19" ht="17.100000000000001" customHeight="1">
      <c r="A112" s="61" t="s">
        <v>254</v>
      </c>
      <c r="B112" s="62" t="s">
        <v>2</v>
      </c>
      <c r="C112" s="63" t="s">
        <v>3</v>
      </c>
      <c r="D112" s="63" t="s">
        <v>4</v>
      </c>
      <c r="E112" s="63" t="s">
        <v>5</v>
      </c>
      <c r="F112" s="63" t="s">
        <v>6</v>
      </c>
      <c r="G112" s="63" t="s">
        <v>7</v>
      </c>
      <c r="H112" s="64" t="s">
        <v>8</v>
      </c>
      <c r="I112" s="65" t="s">
        <v>9</v>
      </c>
      <c r="J112" s="66" t="s">
        <v>10</v>
      </c>
      <c r="L112" s="274"/>
      <c r="M112" s="72"/>
      <c r="N112" s="72"/>
      <c r="O112" s="72"/>
      <c r="P112" s="72"/>
      <c r="Q112" s="72"/>
      <c r="R112" s="72"/>
      <c r="S112" s="408"/>
    </row>
    <row r="113" spans="1:20" ht="17.100000000000001" customHeight="1">
      <c r="A113" s="41" t="s">
        <v>28</v>
      </c>
      <c r="B113" s="10" t="s">
        <v>374</v>
      </c>
      <c r="C113" s="10" t="s">
        <v>374</v>
      </c>
      <c r="D113" s="10" t="s">
        <v>374</v>
      </c>
      <c r="E113" s="10" t="s">
        <v>374</v>
      </c>
      <c r="F113" s="10" t="s">
        <v>375</v>
      </c>
      <c r="G113" s="5"/>
      <c r="H113" s="119"/>
      <c r="I113" s="118"/>
      <c r="J113" s="32" t="s">
        <v>376</v>
      </c>
      <c r="L113" s="72"/>
      <c r="M113" s="127"/>
      <c r="N113" s="127"/>
      <c r="O113" s="127"/>
      <c r="P113" s="127"/>
      <c r="Q113" s="127"/>
      <c r="R113" s="407"/>
      <c r="S113" s="407"/>
    </row>
    <row r="114" spans="1:20" ht="17.100000000000001" customHeight="1">
      <c r="A114" s="16" t="s">
        <v>117</v>
      </c>
      <c r="B114" s="17">
        <v>7.75</v>
      </c>
      <c r="C114" s="17">
        <v>7.75</v>
      </c>
      <c r="D114" s="17">
        <v>7.75</v>
      </c>
      <c r="E114" s="17">
        <v>7.75</v>
      </c>
      <c r="F114" s="17">
        <v>6</v>
      </c>
      <c r="G114" s="19"/>
      <c r="H114" s="20"/>
      <c r="I114" s="36">
        <f>SUM(B114:H114)</f>
        <v>37</v>
      </c>
      <c r="J114" s="37" t="s">
        <v>377</v>
      </c>
      <c r="L114" s="274"/>
      <c r="M114" s="139"/>
      <c r="N114" s="139"/>
      <c r="O114" s="139"/>
      <c r="P114" s="139"/>
      <c r="Q114" s="139"/>
      <c r="R114" s="408"/>
      <c r="S114" s="408"/>
    </row>
    <row r="115" spans="1:20" ht="17.100000000000001" customHeight="1">
      <c r="A115" s="61" t="s">
        <v>146</v>
      </c>
      <c r="B115" s="62" t="s">
        <v>2</v>
      </c>
      <c r="C115" s="63" t="s">
        <v>3</v>
      </c>
      <c r="D115" s="63" t="s">
        <v>4</v>
      </c>
      <c r="E115" s="63" t="s">
        <v>5</v>
      </c>
      <c r="F115" s="63" t="s">
        <v>6</v>
      </c>
      <c r="G115" s="63" t="s">
        <v>7</v>
      </c>
      <c r="H115" s="64" t="s">
        <v>8</v>
      </c>
      <c r="I115" s="65" t="s">
        <v>9</v>
      </c>
      <c r="J115" s="66" t="s">
        <v>10</v>
      </c>
      <c r="L115" s="274"/>
      <c r="M115" s="139"/>
      <c r="N115" s="139"/>
      <c r="O115" s="139"/>
      <c r="P115" s="139"/>
      <c r="Q115" s="139"/>
      <c r="R115" s="408"/>
      <c r="S115" s="408"/>
    </row>
    <row r="116" spans="1:20" ht="17.100000000000001" customHeight="1">
      <c r="A116" s="41" t="s">
        <v>28</v>
      </c>
      <c r="B116" s="10" t="s">
        <v>378</v>
      </c>
      <c r="C116" s="10" t="s">
        <v>378</v>
      </c>
      <c r="D116" s="10" t="s">
        <v>378</v>
      </c>
      <c r="E116" s="10" t="s">
        <v>378</v>
      </c>
      <c r="F116" s="10" t="s">
        <v>379</v>
      </c>
      <c r="G116" s="5"/>
      <c r="H116" s="119"/>
      <c r="I116" s="118"/>
      <c r="J116" s="32" t="s">
        <v>376</v>
      </c>
      <c r="L116" s="274"/>
      <c r="M116" s="139"/>
      <c r="N116" s="139"/>
      <c r="O116" s="139"/>
      <c r="P116" s="139"/>
      <c r="Q116" s="139"/>
      <c r="R116" s="408"/>
      <c r="S116" s="408"/>
    </row>
    <row r="117" spans="1:20" ht="17.100000000000001" customHeight="1">
      <c r="A117" s="16" t="s">
        <v>261</v>
      </c>
      <c r="B117" s="17">
        <v>7.75</v>
      </c>
      <c r="C117" s="17">
        <v>7.75</v>
      </c>
      <c r="D117" s="17">
        <v>7.75</v>
      </c>
      <c r="E117" s="17">
        <v>7.75</v>
      </c>
      <c r="F117" s="17">
        <v>6</v>
      </c>
      <c r="G117" s="19"/>
      <c r="H117" s="20"/>
      <c r="I117" s="36">
        <f>SUM(B117:H117)</f>
        <v>37</v>
      </c>
      <c r="J117" s="37" t="s">
        <v>377</v>
      </c>
      <c r="L117" s="274"/>
      <c r="M117" s="139"/>
      <c r="N117" s="139"/>
      <c r="O117" s="139"/>
      <c r="P117" s="139"/>
      <c r="Q117" s="139"/>
      <c r="R117" s="408"/>
      <c r="S117" s="408"/>
    </row>
    <row r="118" spans="1:20" ht="17.100000000000001" customHeight="1">
      <c r="A118" s="274"/>
      <c r="B118" s="72"/>
      <c r="C118" s="72"/>
      <c r="D118" s="72"/>
      <c r="E118" s="72"/>
      <c r="F118" s="139"/>
      <c r="G118" s="204" t="s">
        <v>152</v>
      </c>
      <c r="H118" s="204" t="s">
        <v>153</v>
      </c>
      <c r="I118" s="204" t="s">
        <v>154</v>
      </c>
      <c r="J118" s="73"/>
      <c r="L118" s="72"/>
      <c r="M118" s="127"/>
      <c r="N118" s="127"/>
      <c r="O118" s="127"/>
      <c r="P118" s="127"/>
      <c r="Q118" s="127"/>
      <c r="R118" s="407"/>
      <c r="S118" s="407"/>
    </row>
    <row r="119" spans="1:20" ht="17.100000000000001" customHeight="1">
      <c r="A119" s="274"/>
      <c r="B119" s="72"/>
      <c r="C119" s="72"/>
      <c r="D119" s="72"/>
      <c r="E119" s="72"/>
      <c r="F119" s="139"/>
      <c r="G119" s="130">
        <f>SUM(I114,I117)</f>
        <v>74</v>
      </c>
      <c r="H119" s="169">
        <f>SUM(G119*13/3)</f>
        <v>320.66666666666669</v>
      </c>
      <c r="I119" s="130">
        <f>SUM(H119*12)</f>
        <v>3848</v>
      </c>
      <c r="J119" s="73"/>
      <c r="M119" s="139"/>
      <c r="N119" s="139"/>
      <c r="O119" s="139"/>
      <c r="P119" s="139"/>
      <c r="Q119" s="139"/>
      <c r="R119" s="408"/>
      <c r="S119" s="408"/>
    </row>
    <row r="120" spans="1:20" ht="17.100000000000001" customHeight="1">
      <c r="A120" s="1" t="s">
        <v>262</v>
      </c>
      <c r="B120" s="72"/>
      <c r="C120" s="72"/>
      <c r="D120" s="72"/>
      <c r="E120" s="72"/>
      <c r="F120" s="72"/>
    </row>
    <row r="121" spans="1:20" ht="17.100000000000001" customHeight="1">
      <c r="A121" s="61" t="s">
        <v>263</v>
      </c>
      <c r="B121" s="62" t="s">
        <v>2</v>
      </c>
      <c r="C121" s="63" t="s">
        <v>3</v>
      </c>
      <c r="D121" s="63" t="s">
        <v>4</v>
      </c>
      <c r="E121" s="63" t="s">
        <v>5</v>
      </c>
      <c r="F121" s="63" t="s">
        <v>6</v>
      </c>
      <c r="G121" s="63" t="s">
        <v>7</v>
      </c>
      <c r="H121" s="64" t="s">
        <v>8</v>
      </c>
      <c r="I121" s="65" t="s">
        <v>9</v>
      </c>
      <c r="J121" s="66" t="s">
        <v>10</v>
      </c>
    </row>
    <row r="122" spans="1:20" ht="17.100000000000001" customHeight="1">
      <c r="A122" s="41" t="s">
        <v>28</v>
      </c>
      <c r="B122" s="10" t="s">
        <v>264</v>
      </c>
      <c r="C122" s="10" t="s">
        <v>264</v>
      </c>
      <c r="D122" s="10" t="s">
        <v>264</v>
      </c>
      <c r="E122" s="10" t="s">
        <v>264</v>
      </c>
      <c r="F122" s="10" t="s">
        <v>265</v>
      </c>
      <c r="G122" s="5"/>
      <c r="H122" s="119"/>
      <c r="I122" s="118"/>
      <c r="J122" s="32"/>
    </row>
    <row r="123" spans="1:20" ht="17.100000000000001" customHeight="1">
      <c r="A123" s="16" t="s">
        <v>119</v>
      </c>
      <c r="B123" s="17">
        <v>8</v>
      </c>
      <c r="C123" s="17">
        <v>8</v>
      </c>
      <c r="D123" s="17">
        <v>8</v>
      </c>
      <c r="E123" s="17">
        <v>8</v>
      </c>
      <c r="F123" s="17">
        <v>5</v>
      </c>
      <c r="G123" s="19"/>
      <c r="H123" s="20"/>
      <c r="I123" s="36">
        <f>SUM(B123:H123)</f>
        <v>37</v>
      </c>
      <c r="J123" s="37"/>
      <c r="L123" s="274"/>
      <c r="M123" s="274"/>
      <c r="N123" s="274"/>
      <c r="O123" s="274"/>
      <c r="P123" s="274"/>
    </row>
    <row r="124" spans="1:20" ht="17.100000000000001" customHeight="1">
      <c r="A124" s="274"/>
      <c r="B124" s="72"/>
      <c r="C124" s="72"/>
      <c r="D124" s="72"/>
      <c r="E124" s="72"/>
      <c r="F124" s="139"/>
      <c r="G124" s="204" t="s">
        <v>152</v>
      </c>
      <c r="H124" s="204" t="s">
        <v>153</v>
      </c>
      <c r="I124" s="204" t="s">
        <v>154</v>
      </c>
      <c r="J124" s="73"/>
      <c r="L124" s="72"/>
      <c r="M124" s="72"/>
      <c r="N124" s="72"/>
      <c r="O124" s="72"/>
      <c r="P124" s="72"/>
    </row>
    <row r="125" spans="1:20" ht="17.100000000000001" customHeight="1">
      <c r="A125" s="274"/>
      <c r="B125" s="72"/>
      <c r="C125" s="72"/>
      <c r="D125" s="72"/>
      <c r="E125" s="72"/>
      <c r="F125" s="139"/>
      <c r="G125" s="130">
        <f>I123</f>
        <v>37</v>
      </c>
      <c r="H125" s="169">
        <f>SUM(G125*13/3)</f>
        <v>160.33333333333334</v>
      </c>
      <c r="I125" s="130">
        <f>SUM(H125*12)</f>
        <v>1924</v>
      </c>
      <c r="J125" s="73"/>
      <c r="L125" s="274"/>
      <c r="M125" s="274"/>
      <c r="N125" s="274"/>
      <c r="O125" s="274"/>
      <c r="P125" s="274"/>
    </row>
    <row r="126" spans="1:20" ht="17.100000000000001" customHeight="1">
      <c r="A126" s="1" t="s">
        <v>380</v>
      </c>
      <c r="B126" s="72"/>
      <c r="C126" s="72"/>
      <c r="D126" s="72"/>
      <c r="E126" s="72"/>
      <c r="F126" s="72"/>
    </row>
    <row r="127" spans="1:20" ht="17.100000000000001" customHeight="1">
      <c r="A127" s="23" t="s">
        <v>123</v>
      </c>
      <c r="B127" s="24" t="s">
        <v>2</v>
      </c>
      <c r="C127" s="25" t="s">
        <v>3</v>
      </c>
      <c r="D127" s="25" t="s">
        <v>4</v>
      </c>
      <c r="E127" s="25" t="s">
        <v>5</v>
      </c>
      <c r="F127" s="25" t="s">
        <v>6</v>
      </c>
      <c r="G127" s="25" t="s">
        <v>7</v>
      </c>
      <c r="H127" s="26" t="s">
        <v>8</v>
      </c>
      <c r="I127" s="27" t="s">
        <v>9</v>
      </c>
      <c r="J127" s="28" t="s">
        <v>10</v>
      </c>
      <c r="M127" s="340"/>
      <c r="N127" s="341" t="s">
        <v>322</v>
      </c>
      <c r="O127">
        <v>37</v>
      </c>
      <c r="P127" t="s">
        <v>381</v>
      </c>
      <c r="Q127">
        <v>2</v>
      </c>
      <c r="R127" t="s">
        <v>382</v>
      </c>
      <c r="S127">
        <f>O127*Q127</f>
        <v>74</v>
      </c>
      <c r="T127" t="s">
        <v>383</v>
      </c>
    </row>
    <row r="128" spans="1:20" ht="17.100000000000001" customHeight="1">
      <c r="A128" s="29" t="s">
        <v>87</v>
      </c>
      <c r="B128" s="30" t="s">
        <v>269</v>
      </c>
      <c r="C128" s="30" t="s">
        <v>269</v>
      </c>
      <c r="D128" s="30" t="s">
        <v>269</v>
      </c>
      <c r="E128" s="30" t="s">
        <v>269</v>
      </c>
      <c r="F128" s="409" t="s">
        <v>270</v>
      </c>
      <c r="G128" s="5"/>
      <c r="H128" s="5"/>
      <c r="I128" s="30"/>
      <c r="J128" s="32" t="s">
        <v>384</v>
      </c>
      <c r="M128" s="329"/>
      <c r="N128" s="345" t="s">
        <v>323</v>
      </c>
      <c r="O128" t="s">
        <v>28</v>
      </c>
    </row>
    <row r="129" spans="1:22" ht="17.100000000000001" customHeight="1">
      <c r="A129" s="181"/>
      <c r="B129" s="133">
        <v>0</v>
      </c>
      <c r="C129" s="133">
        <v>0</v>
      </c>
      <c r="D129" s="133">
        <v>0</v>
      </c>
      <c r="E129" s="133">
        <v>0</v>
      </c>
      <c r="F129" s="178">
        <v>0</v>
      </c>
      <c r="G129" s="182"/>
      <c r="H129" s="182"/>
      <c r="I129" s="133">
        <f>SUM(B129:H129)</f>
        <v>0</v>
      </c>
      <c r="J129" s="200"/>
      <c r="M129" s="329" t="s">
        <v>324</v>
      </c>
      <c r="N129" s="345">
        <v>0</v>
      </c>
      <c r="O129" t="s">
        <v>385</v>
      </c>
      <c r="Q129">
        <f>I131</f>
        <v>0</v>
      </c>
    </row>
    <row r="130" spans="1:22" ht="17.100000000000001" customHeight="1">
      <c r="A130" s="29" t="s">
        <v>91</v>
      </c>
      <c r="B130" s="30" t="s">
        <v>273</v>
      </c>
      <c r="C130" s="30" t="s">
        <v>273</v>
      </c>
      <c r="D130" s="30" t="s">
        <v>273</v>
      </c>
      <c r="E130" s="30" t="s">
        <v>273</v>
      </c>
      <c r="F130" s="30" t="s">
        <v>274</v>
      </c>
      <c r="G130" s="410"/>
      <c r="H130" s="410"/>
      <c r="I130" s="30"/>
      <c r="J130" s="32" t="s">
        <v>386</v>
      </c>
      <c r="M130" s="329" t="s">
        <v>325</v>
      </c>
      <c r="N130" s="345">
        <f>I131</f>
        <v>0</v>
      </c>
    </row>
    <row r="131" spans="1:22" ht="17.100000000000001" customHeight="1">
      <c r="A131" s="163"/>
      <c r="B131" s="34">
        <v>0</v>
      </c>
      <c r="C131" s="34">
        <v>0</v>
      </c>
      <c r="D131" s="34">
        <v>0</v>
      </c>
      <c r="E131" s="34">
        <v>0</v>
      </c>
      <c r="F131" s="34">
        <v>0</v>
      </c>
      <c r="G131" s="140"/>
      <c r="H131" s="140"/>
      <c r="I131" s="34">
        <f>SUM(B131:H131)</f>
        <v>0</v>
      </c>
      <c r="J131" s="142"/>
      <c r="M131" s="329" t="s">
        <v>326</v>
      </c>
      <c r="N131" s="345">
        <v>0</v>
      </c>
      <c r="O131">
        <f>Q129</f>
        <v>0</v>
      </c>
      <c r="P131" t="s">
        <v>387</v>
      </c>
      <c r="Q131" s="160">
        <f>SUM(O131/37)</f>
        <v>0</v>
      </c>
    </row>
    <row r="132" spans="1:22" ht="17.100000000000001" customHeight="1">
      <c r="A132" s="196" t="s">
        <v>30</v>
      </c>
      <c r="B132" s="196">
        <f t="shared" ref="B132:I132" si="4">SUM(B129,B131)</f>
        <v>0</v>
      </c>
      <c r="C132" s="196">
        <f t="shared" si="4"/>
        <v>0</v>
      </c>
      <c r="D132" s="196">
        <f t="shared" si="4"/>
        <v>0</v>
      </c>
      <c r="E132" s="196">
        <f t="shared" si="4"/>
        <v>0</v>
      </c>
      <c r="F132" s="196">
        <f t="shared" si="4"/>
        <v>0</v>
      </c>
      <c r="G132" s="196">
        <f t="shared" si="4"/>
        <v>0</v>
      </c>
      <c r="H132" s="196">
        <f t="shared" si="4"/>
        <v>0</v>
      </c>
      <c r="I132" s="196">
        <f t="shared" si="4"/>
        <v>0</v>
      </c>
      <c r="J132" s="198"/>
      <c r="O132" t="s">
        <v>388</v>
      </c>
      <c r="Q132" s="160"/>
    </row>
    <row r="133" spans="1:22" ht="17.100000000000001" customHeight="1">
      <c r="A133" s="72"/>
      <c r="B133" s="72"/>
      <c r="C133" s="72"/>
      <c r="D133" s="72"/>
      <c r="E133" s="72"/>
      <c r="F133" s="72"/>
      <c r="G133" s="204" t="s">
        <v>152</v>
      </c>
      <c r="H133" s="204" t="s">
        <v>153</v>
      </c>
      <c r="I133" s="204" t="s">
        <v>154</v>
      </c>
      <c r="Q133" s="160"/>
      <c r="V133" s="411"/>
    </row>
    <row r="134" spans="1:22" ht="17.100000000000001" customHeight="1">
      <c r="A134" s="72"/>
      <c r="B134" s="72"/>
      <c r="C134" s="72"/>
      <c r="D134" s="72"/>
      <c r="E134" s="72"/>
      <c r="F134" s="72"/>
      <c r="G134" s="130">
        <f>I132</f>
        <v>0</v>
      </c>
      <c r="H134" s="169">
        <f>SUM(G134*13/3)</f>
        <v>0</v>
      </c>
      <c r="I134" s="130">
        <f>SUM(H134*12)</f>
        <v>0</v>
      </c>
      <c r="O134" t="s">
        <v>389</v>
      </c>
      <c r="Q134" s="160"/>
    </row>
    <row r="135" spans="1:22" ht="17.100000000000001" customHeight="1">
      <c r="A135" s="72"/>
      <c r="B135" s="72"/>
      <c r="C135" s="72"/>
      <c r="D135" s="72"/>
      <c r="E135" s="72"/>
      <c r="F135" s="72"/>
      <c r="G135" s="72"/>
      <c r="H135" s="174"/>
      <c r="I135" s="72"/>
      <c r="O135" t="s">
        <v>390</v>
      </c>
      <c r="Q135" s="361"/>
      <c r="S135" s="160"/>
      <c r="U135" s="412"/>
    </row>
    <row r="136" spans="1:22" ht="18" customHeight="1">
      <c r="A136" s="1" t="s">
        <v>103</v>
      </c>
      <c r="B136" s="72"/>
      <c r="C136" s="72"/>
      <c r="D136" s="72"/>
      <c r="E136" s="72"/>
      <c r="F136" s="72"/>
    </row>
    <row r="137" spans="1:22" ht="18" customHeight="1">
      <c r="A137" s="61" t="s">
        <v>104</v>
      </c>
      <c r="B137" s="62" t="s">
        <v>2</v>
      </c>
      <c r="C137" s="63" t="s">
        <v>3</v>
      </c>
      <c r="D137" s="63" t="s">
        <v>4</v>
      </c>
      <c r="E137" s="63" t="s">
        <v>5</v>
      </c>
      <c r="F137" s="63" t="s">
        <v>6</v>
      </c>
      <c r="G137" s="63" t="s">
        <v>7</v>
      </c>
      <c r="H137" s="64" t="s">
        <v>8</v>
      </c>
      <c r="I137" s="65" t="s">
        <v>9</v>
      </c>
      <c r="J137" s="66" t="s">
        <v>10</v>
      </c>
      <c r="M137" s="340"/>
      <c r="N137" s="341" t="s">
        <v>322</v>
      </c>
      <c r="O137" t="s">
        <v>391</v>
      </c>
    </row>
    <row r="138" spans="1:22" ht="18" customHeight="1">
      <c r="A138" s="41" t="s">
        <v>105</v>
      </c>
      <c r="B138" s="118" t="s">
        <v>89</v>
      </c>
      <c r="C138" s="118" t="s">
        <v>89</v>
      </c>
      <c r="D138" s="118" t="s">
        <v>89</v>
      </c>
      <c r="E138" s="118" t="s">
        <v>89</v>
      </c>
      <c r="F138" s="118" t="s">
        <v>77</v>
      </c>
      <c r="G138" s="5"/>
      <c r="H138" s="119"/>
      <c r="I138" s="118"/>
      <c r="J138" s="32"/>
      <c r="M138" s="329"/>
      <c r="N138" s="345" t="s">
        <v>323</v>
      </c>
      <c r="O138" t="s">
        <v>28</v>
      </c>
    </row>
    <row r="139" spans="1:22" ht="18" customHeight="1">
      <c r="A139" s="120"/>
      <c r="B139" s="17">
        <v>7.5</v>
      </c>
      <c r="C139" s="17">
        <v>7.5</v>
      </c>
      <c r="D139" s="17">
        <v>7.5</v>
      </c>
      <c r="E139" s="17">
        <v>7.5</v>
      </c>
      <c r="F139" s="18">
        <v>7</v>
      </c>
      <c r="G139" s="19"/>
      <c r="H139" s="20"/>
      <c r="I139" s="36">
        <f>SUM(B139:H139)</f>
        <v>37</v>
      </c>
      <c r="J139" s="37"/>
      <c r="M139" s="329" t="s">
        <v>324</v>
      </c>
      <c r="N139" s="345">
        <v>0</v>
      </c>
      <c r="O139" t="s">
        <v>392</v>
      </c>
    </row>
    <row r="140" spans="1:22" ht="18" customHeight="1">
      <c r="A140" s="129" t="s">
        <v>106</v>
      </c>
      <c r="B140" s="30" t="s">
        <v>279</v>
      </c>
      <c r="C140" s="30" t="s">
        <v>279</v>
      </c>
      <c r="D140" s="30" t="s">
        <v>279</v>
      </c>
      <c r="E140" s="30" t="s">
        <v>279</v>
      </c>
      <c r="F140" s="30" t="s">
        <v>280</v>
      </c>
      <c r="G140" s="12"/>
      <c r="H140" s="13"/>
      <c r="I140" s="122"/>
      <c r="J140" s="40"/>
      <c r="M140" s="329" t="s">
        <v>325</v>
      </c>
      <c r="N140" s="345">
        <v>34</v>
      </c>
    </row>
    <row r="141" spans="1:22" ht="18" customHeight="1">
      <c r="A141" s="123"/>
      <c r="B141" s="130">
        <v>7</v>
      </c>
      <c r="C141" s="130">
        <v>7</v>
      </c>
      <c r="D141" s="130">
        <v>7</v>
      </c>
      <c r="E141" s="130">
        <v>7</v>
      </c>
      <c r="F141" s="125">
        <v>6</v>
      </c>
      <c r="G141" s="126"/>
      <c r="H141" s="127"/>
      <c r="I141" s="36">
        <f>SUM(B141:H141)</f>
        <v>34</v>
      </c>
      <c r="J141" s="85"/>
      <c r="M141" s="329" t="s">
        <v>326</v>
      </c>
      <c r="N141" s="345">
        <v>0</v>
      </c>
      <c r="O141" t="s">
        <v>393</v>
      </c>
    </row>
    <row r="142" spans="1:22" ht="18" customHeight="1">
      <c r="A142" s="29" t="s">
        <v>108</v>
      </c>
      <c r="B142" s="118" t="s">
        <v>109</v>
      </c>
      <c r="C142" s="118" t="s">
        <v>109</v>
      </c>
      <c r="D142" s="118" t="s">
        <v>109</v>
      </c>
      <c r="E142" s="118" t="s">
        <v>109</v>
      </c>
      <c r="F142" s="118" t="s">
        <v>110</v>
      </c>
      <c r="G142" s="118"/>
      <c r="H142" s="118"/>
      <c r="I142" s="118"/>
      <c r="J142" s="32"/>
      <c r="M142" s="331" t="s">
        <v>329</v>
      </c>
      <c r="N142" s="350">
        <f>SUM(N139:N141)</f>
        <v>34</v>
      </c>
    </row>
    <row r="143" spans="1:22" ht="18" customHeight="1">
      <c r="A143" s="16"/>
      <c r="B143" s="17" t="s">
        <v>283</v>
      </c>
      <c r="C143" s="17" t="s">
        <v>283</v>
      </c>
      <c r="D143" s="17" t="s">
        <v>283</v>
      </c>
      <c r="E143" s="17" t="s">
        <v>283</v>
      </c>
      <c r="F143" s="17" t="s">
        <v>283</v>
      </c>
      <c r="G143" s="18"/>
      <c r="H143" s="35"/>
      <c r="I143" s="36">
        <f>SUM(B143:H143)</f>
        <v>0</v>
      </c>
      <c r="J143" s="37"/>
      <c r="O143" t="s">
        <v>394</v>
      </c>
    </row>
    <row r="144" spans="1:22" ht="18" customHeight="1">
      <c r="A144" s="58" t="s">
        <v>30</v>
      </c>
      <c r="B144" s="58">
        <f t="shared" ref="B144:I144" si="5">SUM(B139,B141,B143)</f>
        <v>14.5</v>
      </c>
      <c r="C144" s="58">
        <f t="shared" si="5"/>
        <v>14.5</v>
      </c>
      <c r="D144" s="58">
        <f t="shared" si="5"/>
        <v>14.5</v>
      </c>
      <c r="E144" s="58">
        <f t="shared" si="5"/>
        <v>14.5</v>
      </c>
      <c r="F144" s="58">
        <f t="shared" si="5"/>
        <v>13</v>
      </c>
      <c r="G144" s="58">
        <f t="shared" si="5"/>
        <v>0</v>
      </c>
      <c r="H144" s="58">
        <f t="shared" si="5"/>
        <v>0</v>
      </c>
      <c r="I144" s="70">
        <f t="shared" si="5"/>
        <v>71</v>
      </c>
      <c r="J144" s="71"/>
    </row>
    <row r="145" spans="1:20" ht="18" customHeight="1">
      <c r="A145" s="72"/>
      <c r="B145" s="72"/>
      <c r="C145" s="72"/>
      <c r="D145" s="72"/>
      <c r="E145" s="72"/>
      <c r="F145" s="139"/>
      <c r="G145" s="204" t="s">
        <v>152</v>
      </c>
      <c r="H145" s="204" t="s">
        <v>153</v>
      </c>
      <c r="I145" s="204" t="s">
        <v>154</v>
      </c>
      <c r="J145" s="73"/>
      <c r="O145" t="s">
        <v>395</v>
      </c>
      <c r="P145" s="72"/>
      <c r="T145" t="s">
        <v>341</v>
      </c>
    </row>
    <row r="146" spans="1:20" ht="18" customHeight="1">
      <c r="A146" s="72"/>
      <c r="B146" s="72"/>
      <c r="C146" s="72"/>
      <c r="D146" s="72"/>
      <c r="E146" s="72"/>
      <c r="F146" s="72"/>
      <c r="G146" s="130">
        <f>I144</f>
        <v>71</v>
      </c>
      <c r="H146" s="169">
        <f>SUM(G146*13/3)</f>
        <v>307.66666666666669</v>
      </c>
      <c r="I146" s="130">
        <f>SUM(H146*12)</f>
        <v>3692</v>
      </c>
      <c r="J146" s="73"/>
    </row>
    <row r="147" spans="1:20" ht="18" customHeight="1">
      <c r="A147" s="72"/>
      <c r="B147" s="72"/>
      <c r="C147" s="72"/>
      <c r="D147" s="72"/>
      <c r="E147" s="72"/>
      <c r="F147" s="72"/>
      <c r="G147" s="72"/>
      <c r="H147" s="174"/>
      <c r="I147" s="72"/>
      <c r="J147" s="73"/>
      <c r="O147" t="s">
        <v>396</v>
      </c>
    </row>
    <row r="148" spans="1:20" ht="18" customHeight="1">
      <c r="A148" s="312" t="s">
        <v>286</v>
      </c>
      <c r="B148" s="72"/>
      <c r="C148" s="72"/>
      <c r="D148" s="72"/>
      <c r="E148" s="72"/>
      <c r="F148" s="139"/>
      <c r="G148" s="139"/>
      <c r="H148" s="139"/>
      <c r="I148" s="72"/>
      <c r="J148" s="73"/>
      <c r="N148" s="72"/>
    </row>
    <row r="149" spans="1:20" ht="18" customHeight="1">
      <c r="A149" s="61" t="s">
        <v>128</v>
      </c>
      <c r="B149" s="62" t="s">
        <v>2</v>
      </c>
      <c r="C149" s="63" t="s">
        <v>3</v>
      </c>
      <c r="D149" s="63" t="s">
        <v>4</v>
      </c>
      <c r="E149" s="63" t="s">
        <v>5</v>
      </c>
      <c r="F149" s="63" t="s">
        <v>6</v>
      </c>
      <c r="G149" s="63" t="s">
        <v>7</v>
      </c>
      <c r="H149" s="64" t="s">
        <v>8</v>
      </c>
      <c r="I149" s="65" t="s">
        <v>9</v>
      </c>
      <c r="J149" s="66" t="s">
        <v>10</v>
      </c>
      <c r="N149" s="72"/>
    </row>
    <row r="150" spans="1:20" ht="18" customHeight="1">
      <c r="A150" s="29" t="s">
        <v>28</v>
      </c>
      <c r="B150" s="30" t="s">
        <v>124</v>
      </c>
      <c r="C150" s="30" t="s">
        <v>124</v>
      </c>
      <c r="D150" s="30" t="s">
        <v>124</v>
      </c>
      <c r="E150" s="30" t="s">
        <v>124</v>
      </c>
      <c r="F150" s="31" t="s">
        <v>125</v>
      </c>
      <c r="G150" s="4"/>
      <c r="H150" s="413" t="s">
        <v>28</v>
      </c>
      <c r="I150" s="7"/>
      <c r="J150" s="32" t="s">
        <v>28</v>
      </c>
      <c r="N150" s="72"/>
    </row>
    <row r="151" spans="1:20" ht="18" customHeight="1">
      <c r="A151" s="315">
        <v>1</v>
      </c>
      <c r="B151" s="34">
        <v>7.75</v>
      </c>
      <c r="C151" s="34">
        <v>7.75</v>
      </c>
      <c r="D151" s="34">
        <v>7.75</v>
      </c>
      <c r="E151" s="34">
        <v>7.75</v>
      </c>
      <c r="F151" s="140">
        <v>6</v>
      </c>
      <c r="G151" s="17"/>
      <c r="H151" s="263" t="s">
        <v>28</v>
      </c>
      <c r="I151" s="34">
        <f>SUM(B151:H151)</f>
        <v>37</v>
      </c>
      <c r="J151" s="37"/>
      <c r="N151" s="72"/>
    </row>
    <row r="152" spans="1:20" ht="18" customHeight="1">
      <c r="A152" s="147" t="s">
        <v>28</v>
      </c>
      <c r="B152" s="30" t="s">
        <v>124</v>
      </c>
      <c r="C152" s="30" t="s">
        <v>124</v>
      </c>
      <c r="D152" s="30" t="s">
        <v>124</v>
      </c>
      <c r="E152" s="30" t="s">
        <v>124</v>
      </c>
      <c r="F152" s="31" t="s">
        <v>125</v>
      </c>
      <c r="G152" s="414"/>
      <c r="H152" s="11"/>
      <c r="I152" s="54"/>
      <c r="J152" s="40"/>
      <c r="N152" s="72"/>
    </row>
    <row r="153" spans="1:20" ht="18" customHeight="1">
      <c r="A153" s="315">
        <v>2</v>
      </c>
      <c r="B153" s="34">
        <v>7.75</v>
      </c>
      <c r="C153" s="34">
        <v>7.75</v>
      </c>
      <c r="D153" s="34">
        <v>7.75</v>
      </c>
      <c r="E153" s="34">
        <v>7.75</v>
      </c>
      <c r="F153" s="140">
        <v>6</v>
      </c>
      <c r="G153" s="18"/>
      <c r="H153" s="140"/>
      <c r="I153" s="34">
        <f>SUM(B153:H153)</f>
        <v>37</v>
      </c>
      <c r="J153" s="142"/>
      <c r="N153" s="72"/>
    </row>
    <row r="154" spans="1:20" ht="18" customHeight="1">
      <c r="A154" s="29"/>
      <c r="B154" s="30" t="s">
        <v>124</v>
      </c>
      <c r="C154" s="30" t="s">
        <v>124</v>
      </c>
      <c r="D154" s="30" t="s">
        <v>124</v>
      </c>
      <c r="E154" s="30" t="s">
        <v>124</v>
      </c>
      <c r="F154" s="31" t="s">
        <v>125</v>
      </c>
      <c r="G154" s="118"/>
      <c r="H154" s="31"/>
      <c r="I154" s="7"/>
      <c r="J154" s="32"/>
      <c r="N154" s="72"/>
    </row>
    <row r="155" spans="1:20" ht="18" customHeight="1">
      <c r="A155" s="315">
        <v>3</v>
      </c>
      <c r="B155" s="34">
        <v>7.75</v>
      </c>
      <c r="C155" s="34">
        <v>7.75</v>
      </c>
      <c r="D155" s="34">
        <v>7.75</v>
      </c>
      <c r="E155" s="34">
        <v>7.75</v>
      </c>
      <c r="F155" s="140">
        <v>6</v>
      </c>
      <c r="G155" s="17"/>
      <c r="H155" s="140"/>
      <c r="I155" s="34">
        <f>SUM(B155:H155)</f>
        <v>37</v>
      </c>
      <c r="J155" s="37"/>
    </row>
    <row r="156" spans="1:20" ht="18" customHeight="1">
      <c r="A156" s="415"/>
      <c r="B156" s="30" t="s">
        <v>124</v>
      </c>
      <c r="C156" s="30" t="s">
        <v>124</v>
      </c>
      <c r="D156" s="30" t="s">
        <v>124</v>
      </c>
      <c r="E156" s="30" t="s">
        <v>124</v>
      </c>
      <c r="F156" s="31" t="s">
        <v>125</v>
      </c>
      <c r="G156" s="11"/>
      <c r="H156" s="11"/>
      <c r="I156" s="14"/>
      <c r="J156" s="40"/>
      <c r="P156" s="72"/>
    </row>
    <row r="157" spans="1:20" ht="18" customHeight="1">
      <c r="A157" s="315">
        <v>4</v>
      </c>
      <c r="B157" s="34">
        <v>7.75</v>
      </c>
      <c r="C157" s="34">
        <v>7.75</v>
      </c>
      <c r="D157" s="34">
        <v>7.75</v>
      </c>
      <c r="E157" s="34">
        <v>7.75</v>
      </c>
      <c r="F157" s="140">
        <v>6</v>
      </c>
      <c r="G157" s="140"/>
      <c r="H157" s="140"/>
      <c r="I157" s="34">
        <f>SUM(B157:H157)</f>
        <v>37</v>
      </c>
      <c r="J157" s="37"/>
      <c r="P157" s="72"/>
    </row>
    <row r="158" spans="1:20" ht="18" customHeight="1">
      <c r="A158" s="416"/>
      <c r="B158" s="30" t="s">
        <v>124</v>
      </c>
      <c r="C158" s="30" t="s">
        <v>124</v>
      </c>
      <c r="D158" s="30" t="s">
        <v>124</v>
      </c>
      <c r="E158" s="30" t="s">
        <v>124</v>
      </c>
      <c r="F158" s="31" t="s">
        <v>125</v>
      </c>
      <c r="G158" s="377"/>
      <c r="H158" s="377"/>
      <c r="I158" s="417"/>
      <c r="J158" s="418"/>
      <c r="P158" s="72"/>
    </row>
    <row r="159" spans="1:20" ht="18" customHeight="1">
      <c r="A159" s="315">
        <v>5</v>
      </c>
      <c r="B159" s="34">
        <v>7.75</v>
      </c>
      <c r="C159" s="34">
        <v>7.75</v>
      </c>
      <c r="D159" s="34">
        <v>7.75</v>
      </c>
      <c r="E159" s="34">
        <v>7.75</v>
      </c>
      <c r="F159" s="140">
        <v>6</v>
      </c>
      <c r="G159" s="18"/>
      <c r="H159" s="18"/>
      <c r="I159" s="34">
        <f>SUM(B159:H159)</f>
        <v>37</v>
      </c>
      <c r="J159" s="37"/>
    </row>
    <row r="160" spans="1:20" ht="18" customHeight="1">
      <c r="A160" s="147"/>
      <c r="B160" s="30" t="s">
        <v>124</v>
      </c>
      <c r="C160" s="30" t="s">
        <v>124</v>
      </c>
      <c r="D160" s="30" t="s">
        <v>124</v>
      </c>
      <c r="E160" s="30" t="s">
        <v>124</v>
      </c>
      <c r="F160" s="31" t="s">
        <v>125</v>
      </c>
      <c r="G160" s="11"/>
      <c r="H160" s="11"/>
      <c r="I160" s="14"/>
      <c r="J160" s="40"/>
    </row>
    <row r="161" spans="1:20" ht="18" customHeight="1">
      <c r="A161" s="315">
        <v>6</v>
      </c>
      <c r="B161" s="34">
        <v>7.75</v>
      </c>
      <c r="C161" s="34">
        <v>7.75</v>
      </c>
      <c r="D161" s="34">
        <v>7.75</v>
      </c>
      <c r="E161" s="34">
        <v>7.75</v>
      </c>
      <c r="F161" s="140">
        <v>6</v>
      </c>
      <c r="G161" s="140"/>
      <c r="H161" s="140"/>
      <c r="I161" s="34">
        <f>SUM(B161:H161)</f>
        <v>37</v>
      </c>
      <c r="J161" s="37"/>
    </row>
    <row r="162" spans="1:20" ht="18" customHeight="1">
      <c r="A162" s="58" t="s">
        <v>30</v>
      </c>
      <c r="B162" s="58">
        <f t="shared" ref="B162:H162" si="6">SUM(B151,B153,B155,B157,B159,B161)</f>
        <v>46.5</v>
      </c>
      <c r="C162" s="58">
        <f t="shared" si="6"/>
        <v>46.5</v>
      </c>
      <c r="D162" s="58">
        <f t="shared" si="6"/>
        <v>46.5</v>
      </c>
      <c r="E162" s="58">
        <f t="shared" si="6"/>
        <v>46.5</v>
      </c>
      <c r="F162" s="58">
        <f t="shared" si="6"/>
        <v>36</v>
      </c>
      <c r="G162" s="58">
        <f t="shared" si="6"/>
        <v>0</v>
      </c>
      <c r="H162" s="58">
        <f t="shared" si="6"/>
        <v>0</v>
      </c>
      <c r="I162" s="70">
        <f>SUM(I151,I153,I155,I157,I161)</f>
        <v>185</v>
      </c>
      <c r="J162" s="71"/>
      <c r="M162" s="72"/>
      <c r="N162" s="72"/>
    </row>
    <row r="163" spans="1:20" ht="18" customHeight="1">
      <c r="A163" s="312"/>
      <c r="B163" s="72"/>
      <c r="C163" s="72"/>
      <c r="D163" s="72"/>
      <c r="E163" s="72"/>
      <c r="F163" s="139"/>
      <c r="G163" s="204" t="s">
        <v>152</v>
      </c>
      <c r="H163" s="204" t="s">
        <v>153</v>
      </c>
      <c r="I163" s="204" t="s">
        <v>154</v>
      </c>
      <c r="J163" s="73"/>
      <c r="M163" s="72"/>
      <c r="N163" s="72"/>
    </row>
    <row r="164" spans="1:20" ht="18" customHeight="1">
      <c r="A164" s="312"/>
      <c r="B164" s="72"/>
      <c r="C164" s="72"/>
      <c r="D164" s="72"/>
      <c r="E164" s="72"/>
      <c r="F164" s="139"/>
      <c r="G164" s="130">
        <f>I162</f>
        <v>185</v>
      </c>
      <c r="H164" s="169">
        <f>SUM(G164*13/3)</f>
        <v>801.66666666666663</v>
      </c>
      <c r="I164" s="130">
        <f>SUM(H164*12)</f>
        <v>9620</v>
      </c>
      <c r="J164" s="73"/>
      <c r="M164" s="72"/>
      <c r="N164" s="72"/>
    </row>
    <row r="165" spans="1:20" ht="18" customHeight="1">
      <c r="A165" s="274"/>
      <c r="B165" s="72"/>
      <c r="C165" s="72"/>
      <c r="D165" s="72"/>
      <c r="E165" s="72"/>
      <c r="F165" s="139"/>
      <c r="G165" s="72"/>
      <c r="H165" s="174"/>
      <c r="I165" s="72"/>
      <c r="J165" s="73"/>
      <c r="M165" s="72"/>
      <c r="N165" s="72"/>
    </row>
    <row r="166" spans="1:20" ht="17.100000000000001" customHeight="1">
      <c r="A166" s="1061" t="s">
        <v>397</v>
      </c>
      <c r="B166" s="72"/>
      <c r="C166" s="72"/>
      <c r="D166" s="72"/>
      <c r="E166" s="72"/>
      <c r="F166" s="72"/>
      <c r="O166">
        <v>37</v>
      </c>
      <c r="P166" t="s">
        <v>381</v>
      </c>
      <c r="Q166">
        <v>4</v>
      </c>
      <c r="R166" t="s">
        <v>382</v>
      </c>
      <c r="S166">
        <f>O166*Q166</f>
        <v>148</v>
      </c>
      <c r="T166" t="s">
        <v>383</v>
      </c>
    </row>
    <row r="167" spans="1:20" ht="17.100000000000001" customHeight="1">
      <c r="A167" s="205" t="s">
        <v>398</v>
      </c>
      <c r="B167" s="24" t="s">
        <v>2</v>
      </c>
      <c r="C167" s="25" t="s">
        <v>3</v>
      </c>
      <c r="D167" s="25" t="s">
        <v>4</v>
      </c>
      <c r="E167" s="25" t="s">
        <v>5</v>
      </c>
      <c r="F167" s="25" t="s">
        <v>6</v>
      </c>
      <c r="G167" s="25" t="s">
        <v>7</v>
      </c>
      <c r="H167" s="26" t="s">
        <v>8</v>
      </c>
      <c r="I167" s="27" t="s">
        <v>9</v>
      </c>
      <c r="J167" s="28" t="s">
        <v>10</v>
      </c>
      <c r="M167" s="340"/>
      <c r="N167" s="341" t="s">
        <v>322</v>
      </c>
      <c r="O167" t="s">
        <v>28</v>
      </c>
    </row>
    <row r="168" spans="1:20" ht="17.100000000000001" customHeight="1">
      <c r="A168" s="419"/>
      <c r="B168" s="5" t="s">
        <v>399</v>
      </c>
      <c r="C168" s="5" t="s">
        <v>400</v>
      </c>
      <c r="D168" s="5" t="s">
        <v>400</v>
      </c>
      <c r="E168" s="5" t="s">
        <v>401</v>
      </c>
      <c r="F168" s="5" t="s">
        <v>402</v>
      </c>
      <c r="G168" s="5"/>
      <c r="H168" s="5"/>
      <c r="I168" s="346"/>
      <c r="J168" s="32"/>
      <c r="M168" s="329"/>
      <c r="N168" s="345" t="s">
        <v>323</v>
      </c>
      <c r="O168" t="s">
        <v>385</v>
      </c>
      <c r="Q168">
        <f>N174</f>
        <v>105.25</v>
      </c>
    </row>
    <row r="169" spans="1:20" ht="17.100000000000001" customHeight="1">
      <c r="A169" s="420">
        <v>1</v>
      </c>
      <c r="B169" s="140">
        <v>8.5</v>
      </c>
      <c r="C169" s="140">
        <v>8.5</v>
      </c>
      <c r="D169" s="140">
        <v>8.5</v>
      </c>
      <c r="E169" s="140">
        <v>0</v>
      </c>
      <c r="F169" s="140">
        <v>0</v>
      </c>
      <c r="G169" s="140"/>
      <c r="H169" s="140"/>
      <c r="I169" s="140">
        <v>37</v>
      </c>
      <c r="J169" s="37"/>
      <c r="M169" s="329" t="s">
        <v>324</v>
      </c>
      <c r="N169" s="345">
        <v>37</v>
      </c>
    </row>
    <row r="170" spans="1:20" ht="17.100000000000001" customHeight="1">
      <c r="A170" s="419"/>
      <c r="B170" s="5" t="s">
        <v>403</v>
      </c>
      <c r="C170" s="5" t="s">
        <v>403</v>
      </c>
      <c r="D170" s="5" t="s">
        <v>403</v>
      </c>
      <c r="E170" s="5" t="s">
        <v>403</v>
      </c>
      <c r="F170" s="5" t="s">
        <v>404</v>
      </c>
      <c r="G170" s="5" t="s">
        <v>405</v>
      </c>
      <c r="H170" s="5" t="s">
        <v>405</v>
      </c>
      <c r="I170" s="346"/>
      <c r="J170" s="32"/>
      <c r="M170" s="329" t="s">
        <v>325</v>
      </c>
      <c r="N170" s="345">
        <v>68.25</v>
      </c>
      <c r="O170">
        <f>Q168</f>
        <v>105.25</v>
      </c>
      <c r="P170" t="s">
        <v>387</v>
      </c>
      <c r="Q170" s="160">
        <f>SUM(O170/37)</f>
        <v>2.8445945945945947</v>
      </c>
    </row>
    <row r="171" spans="1:20" ht="17.100000000000001" customHeight="1">
      <c r="A171" s="420">
        <v>2</v>
      </c>
      <c r="B171" s="140">
        <v>9.25</v>
      </c>
      <c r="C171" s="140">
        <v>9.25</v>
      </c>
      <c r="D171" s="140">
        <v>9.25</v>
      </c>
      <c r="E171" s="140">
        <v>9.25</v>
      </c>
      <c r="F171" s="140">
        <v>10.25</v>
      </c>
      <c r="G171" s="140">
        <v>10.5</v>
      </c>
      <c r="H171" s="140">
        <v>10.5</v>
      </c>
      <c r="I171" s="140">
        <f>SUM(B171:H171)</f>
        <v>68.25</v>
      </c>
      <c r="J171" s="37"/>
      <c r="M171" s="329" t="s">
        <v>326</v>
      </c>
      <c r="N171" s="345">
        <f>I173</f>
        <v>0</v>
      </c>
    </row>
    <row r="172" spans="1:20" ht="17.100000000000001" customHeight="1">
      <c r="A172" s="419"/>
      <c r="B172" s="31" t="s">
        <v>167</v>
      </c>
      <c r="C172" s="31" t="s">
        <v>167</v>
      </c>
      <c r="D172" s="31" t="s">
        <v>167</v>
      </c>
      <c r="E172" s="31" t="s">
        <v>167</v>
      </c>
      <c r="F172" s="31" t="s">
        <v>167</v>
      </c>
      <c r="G172" s="31"/>
      <c r="H172" s="31"/>
      <c r="I172" s="346"/>
      <c r="J172" s="32"/>
      <c r="M172" s="329" t="s">
        <v>236</v>
      </c>
      <c r="N172" s="345"/>
      <c r="O172" s="160">
        <f>Q170</f>
        <v>2.8445945945945947</v>
      </c>
      <c r="P172" t="s">
        <v>406</v>
      </c>
      <c r="S172" s="421">
        <f>SUM(O172*3)</f>
        <v>8.5337837837837842</v>
      </c>
      <c r="T172" t="s">
        <v>407</v>
      </c>
    </row>
    <row r="173" spans="1:20" ht="17.100000000000001" customHeight="1">
      <c r="A173" s="420">
        <v>3</v>
      </c>
      <c r="B173" s="140">
        <v>0</v>
      </c>
      <c r="C173" s="140">
        <v>0</v>
      </c>
      <c r="D173" s="140">
        <v>0</v>
      </c>
      <c r="E173" s="140">
        <v>0</v>
      </c>
      <c r="F173" s="140">
        <v>0</v>
      </c>
      <c r="G173" s="140"/>
      <c r="H173" s="140"/>
      <c r="I173" s="140">
        <f>SUM(B173:H173)</f>
        <v>0</v>
      </c>
      <c r="J173" s="37"/>
      <c r="M173" s="422" t="s">
        <v>28</v>
      </c>
      <c r="N173" s="423">
        <f>I177</f>
        <v>0</v>
      </c>
    </row>
    <row r="174" spans="1:20" ht="17.100000000000001" customHeight="1">
      <c r="A174" s="419"/>
      <c r="B174" s="5"/>
      <c r="C174" s="5"/>
      <c r="D174" s="5"/>
      <c r="E174" s="5"/>
      <c r="F174" s="5"/>
      <c r="G174" s="31"/>
      <c r="H174" s="31"/>
      <c r="I174" s="346"/>
      <c r="J174" s="32"/>
      <c r="M174" s="331" t="s">
        <v>329</v>
      </c>
      <c r="N174" s="350">
        <f>SUM(N169:N173)</f>
        <v>105.25</v>
      </c>
      <c r="O174" t="s">
        <v>28</v>
      </c>
      <c r="P174" s="354"/>
      <c r="Q174" s="354" t="s">
        <v>408</v>
      </c>
      <c r="S174" s="160">
        <f>S166-S172</f>
        <v>139.46621621621622</v>
      </c>
      <c r="T174" t="s">
        <v>409</v>
      </c>
    </row>
    <row r="175" spans="1:20" ht="17.100000000000001" customHeight="1">
      <c r="A175" s="420">
        <v>4</v>
      </c>
      <c r="B175" s="140"/>
      <c r="C175" s="140"/>
      <c r="D175" s="140"/>
      <c r="E175" s="140"/>
      <c r="F175" s="140"/>
      <c r="G175" s="140"/>
      <c r="H175" s="140"/>
      <c r="I175" s="140"/>
      <c r="J175" s="37"/>
      <c r="S175" s="160"/>
    </row>
    <row r="176" spans="1:20" ht="17.100000000000001" customHeight="1">
      <c r="A176" s="419"/>
      <c r="B176" s="5"/>
      <c r="C176" s="5"/>
      <c r="D176" s="5"/>
      <c r="E176" s="31"/>
      <c r="F176" s="31"/>
      <c r="G176" s="31"/>
      <c r="H176" s="31"/>
      <c r="I176" s="346"/>
      <c r="J176" s="32"/>
      <c r="S176" s="160"/>
    </row>
    <row r="177" spans="1:22" ht="17.100000000000001" customHeight="1">
      <c r="A177" s="420"/>
      <c r="B177" s="140"/>
      <c r="C177" s="140"/>
      <c r="D177" s="140"/>
      <c r="E177" s="140"/>
      <c r="F177" s="140"/>
      <c r="G177" s="140"/>
      <c r="H177" s="140"/>
      <c r="I177" s="140"/>
      <c r="J177" s="37"/>
      <c r="S177" s="160"/>
    </row>
    <row r="178" spans="1:22" ht="17.100000000000001" customHeight="1">
      <c r="A178" s="419"/>
      <c r="B178" s="31"/>
      <c r="C178" s="31"/>
      <c r="D178" s="31"/>
      <c r="E178" s="31"/>
      <c r="F178" s="31"/>
      <c r="G178" s="31"/>
      <c r="H178" s="31"/>
      <c r="I178" s="346"/>
      <c r="J178" s="32"/>
      <c r="S178" s="160"/>
    </row>
    <row r="179" spans="1:22" ht="17.100000000000001" customHeight="1">
      <c r="A179" s="420"/>
      <c r="B179" s="140"/>
      <c r="C179" s="140"/>
      <c r="D179" s="140"/>
      <c r="E179" s="140"/>
      <c r="F179" s="140"/>
      <c r="G179" s="140"/>
      <c r="H179" s="140"/>
      <c r="I179" s="140"/>
      <c r="J179" s="37"/>
      <c r="S179" s="160"/>
    </row>
    <row r="180" spans="1:22" ht="17.100000000000001" customHeight="1">
      <c r="A180" s="419"/>
      <c r="B180" s="5"/>
      <c r="C180" s="5"/>
      <c r="D180" s="5"/>
      <c r="E180" s="5"/>
      <c r="F180" s="5"/>
      <c r="G180" s="31"/>
      <c r="H180" s="31"/>
      <c r="I180" s="346"/>
      <c r="J180" s="32" t="s">
        <v>28</v>
      </c>
      <c r="S180" s="160"/>
    </row>
    <row r="181" spans="1:22" ht="17.100000000000001" customHeight="1">
      <c r="A181" s="420" t="s">
        <v>28</v>
      </c>
      <c r="B181" s="140"/>
      <c r="C181" s="140"/>
      <c r="D181" s="140"/>
      <c r="E181" s="140"/>
      <c r="F181" s="140"/>
      <c r="G181" s="140"/>
      <c r="H181" s="140"/>
      <c r="I181" s="140">
        <f>SUM(B181:H181)</f>
        <v>0</v>
      </c>
      <c r="J181" s="37"/>
      <c r="S181" s="160"/>
    </row>
    <row r="182" spans="1:22" ht="17.100000000000001" customHeight="1">
      <c r="A182" s="196" t="s">
        <v>30</v>
      </c>
      <c r="B182" s="196">
        <f t="shared" ref="B182:H182" si="7">SUM(B169,B171,B173,B175)</f>
        <v>17.75</v>
      </c>
      <c r="C182" s="196">
        <f t="shared" si="7"/>
        <v>17.75</v>
      </c>
      <c r="D182" s="196">
        <f t="shared" si="7"/>
        <v>17.75</v>
      </c>
      <c r="E182" s="196">
        <f t="shared" si="7"/>
        <v>9.25</v>
      </c>
      <c r="F182" s="196">
        <f t="shared" si="7"/>
        <v>10.25</v>
      </c>
      <c r="G182" s="196">
        <f t="shared" si="7"/>
        <v>10.5</v>
      </c>
      <c r="H182" s="196">
        <f t="shared" si="7"/>
        <v>10.5</v>
      </c>
      <c r="I182" s="196">
        <f>SUM(I169,I171,I173,I175,I177,I179,I181)</f>
        <v>105.25</v>
      </c>
      <c r="J182" s="198"/>
      <c r="O182" t="s">
        <v>410</v>
      </c>
      <c r="P182">
        <f>I182</f>
        <v>105.25</v>
      </c>
      <c r="Q182" s="361" t="s">
        <v>411</v>
      </c>
      <c r="S182" s="160">
        <f>S174</f>
        <v>139.46621621621622</v>
      </c>
      <c r="T182" t="s">
        <v>412</v>
      </c>
      <c r="U182" s="412">
        <f>P182-S182</f>
        <v>-34.216216216216225</v>
      </c>
    </row>
    <row r="183" spans="1:22" ht="17.100000000000001" customHeight="1">
      <c r="A183" s="72"/>
      <c r="B183" s="72"/>
      <c r="C183" s="72"/>
      <c r="D183" s="72"/>
      <c r="E183" s="72"/>
      <c r="F183" s="72"/>
      <c r="G183" s="204" t="s">
        <v>152</v>
      </c>
      <c r="H183" s="204" t="s">
        <v>153</v>
      </c>
      <c r="I183" s="204" t="s">
        <v>154</v>
      </c>
      <c r="V183" s="411"/>
    </row>
    <row r="184" spans="1:22" ht="17.100000000000001" customHeight="1">
      <c r="A184" s="72"/>
      <c r="B184" s="72"/>
      <c r="C184" s="72"/>
      <c r="D184" s="72"/>
      <c r="E184" s="72"/>
      <c r="F184" s="72"/>
      <c r="G184" s="130">
        <f>I182</f>
        <v>105.25</v>
      </c>
      <c r="H184" s="169">
        <f>SUM(G184*13/3)</f>
        <v>456.08333333333331</v>
      </c>
      <c r="I184" s="130">
        <f>SUM(H184*12)</f>
        <v>5473</v>
      </c>
    </row>
    <row r="185" spans="1:22" ht="17.100000000000001" customHeight="1">
      <c r="A185" s="72"/>
      <c r="B185" s="72"/>
      <c r="C185" s="72"/>
      <c r="D185" s="72"/>
      <c r="E185" s="72"/>
      <c r="F185" s="72"/>
      <c r="G185" s="72"/>
      <c r="H185" s="174"/>
      <c r="I185" s="72"/>
    </row>
    <row r="186" spans="1:22" ht="17.100000000000001" customHeight="1">
      <c r="A186" s="72"/>
      <c r="B186" s="72"/>
      <c r="C186" s="72"/>
      <c r="D186" s="72"/>
      <c r="E186" s="72"/>
      <c r="F186" s="72"/>
      <c r="G186" s="72"/>
      <c r="H186" s="174"/>
      <c r="I186" s="72"/>
    </row>
    <row r="187" spans="1:22" ht="17.100000000000001" customHeight="1">
      <c r="A187" s="1" t="s">
        <v>413</v>
      </c>
      <c r="B187" s="72"/>
      <c r="C187" s="72"/>
      <c r="D187" s="72"/>
      <c r="E187" s="72"/>
      <c r="F187" s="72"/>
      <c r="O187">
        <v>37</v>
      </c>
      <c r="P187" t="s">
        <v>381</v>
      </c>
      <c r="Q187">
        <v>4</v>
      </c>
      <c r="R187" t="s">
        <v>382</v>
      </c>
      <c r="S187">
        <f>O187*Q187</f>
        <v>148</v>
      </c>
      <c r="T187" t="s">
        <v>383</v>
      </c>
    </row>
    <row r="188" spans="1:22" ht="17.100000000000001" customHeight="1">
      <c r="A188" s="205" t="s">
        <v>398</v>
      </c>
      <c r="B188" s="24" t="s">
        <v>2</v>
      </c>
      <c r="C188" s="25" t="s">
        <v>3</v>
      </c>
      <c r="D188" s="25" t="s">
        <v>4</v>
      </c>
      <c r="E188" s="25" t="s">
        <v>5</v>
      </c>
      <c r="F188" s="25" t="s">
        <v>6</v>
      </c>
      <c r="G188" s="25" t="s">
        <v>7</v>
      </c>
      <c r="H188" s="26" t="s">
        <v>8</v>
      </c>
      <c r="I188" s="27" t="s">
        <v>9</v>
      </c>
      <c r="J188" s="28" t="s">
        <v>10</v>
      </c>
      <c r="M188" s="340"/>
      <c r="N188" s="341" t="s">
        <v>322</v>
      </c>
      <c r="O188" t="s">
        <v>28</v>
      </c>
    </row>
    <row r="189" spans="1:22" ht="17.100000000000001" customHeight="1">
      <c r="A189" s="419"/>
      <c r="B189" s="5" t="s">
        <v>167</v>
      </c>
      <c r="C189" s="5" t="s">
        <v>167</v>
      </c>
      <c r="D189" s="5" t="s">
        <v>414</v>
      </c>
      <c r="E189" s="5" t="s">
        <v>414</v>
      </c>
      <c r="F189" s="5" t="s">
        <v>414</v>
      </c>
      <c r="G189" s="5" t="s">
        <v>415</v>
      </c>
      <c r="H189" s="5" t="s">
        <v>416</v>
      </c>
      <c r="I189" s="346"/>
      <c r="J189" s="32"/>
      <c r="M189" s="329"/>
      <c r="N189" s="345" t="s">
        <v>323</v>
      </c>
      <c r="O189" t="s">
        <v>385</v>
      </c>
      <c r="Q189">
        <f>N195</f>
        <v>102</v>
      </c>
    </row>
    <row r="190" spans="1:22" ht="17.100000000000001" customHeight="1">
      <c r="A190" s="420" t="s">
        <v>417</v>
      </c>
      <c r="B190" s="140"/>
      <c r="C190" s="140"/>
      <c r="D190" s="140">
        <v>12</v>
      </c>
      <c r="E190" s="140">
        <v>12</v>
      </c>
      <c r="F190" s="140">
        <v>12</v>
      </c>
      <c r="G190" s="140">
        <v>12</v>
      </c>
      <c r="H190" s="140">
        <v>8</v>
      </c>
      <c r="I190" s="140">
        <f>SUM(B190:H190)</f>
        <v>56</v>
      </c>
      <c r="J190" s="37"/>
      <c r="M190" s="329" t="s">
        <v>324</v>
      </c>
      <c r="N190" s="345">
        <f>I190</f>
        <v>56</v>
      </c>
    </row>
    <row r="191" spans="1:22" ht="17.100000000000001" customHeight="1">
      <c r="A191" s="419"/>
      <c r="B191" s="5" t="s">
        <v>167</v>
      </c>
      <c r="C191" s="5" t="s">
        <v>167</v>
      </c>
      <c r="D191" s="5" t="s">
        <v>167</v>
      </c>
      <c r="E191" s="5" t="s">
        <v>167</v>
      </c>
      <c r="F191" s="5" t="s">
        <v>167</v>
      </c>
      <c r="G191" s="5"/>
      <c r="H191" s="5"/>
      <c r="I191" s="346"/>
      <c r="J191" s="32"/>
      <c r="M191" s="329" t="s">
        <v>325</v>
      </c>
      <c r="N191" s="345">
        <f>I192</f>
        <v>0</v>
      </c>
      <c r="O191">
        <f>Q189</f>
        <v>102</v>
      </c>
      <c r="P191" t="s">
        <v>387</v>
      </c>
      <c r="Q191" s="160">
        <f>SUM(O191/37)</f>
        <v>2.7567567567567566</v>
      </c>
    </row>
    <row r="192" spans="1:22" ht="17.100000000000001" customHeight="1">
      <c r="A192" s="420" t="s">
        <v>418</v>
      </c>
      <c r="B192" s="140"/>
      <c r="C192" s="140"/>
      <c r="D192" s="140"/>
      <c r="E192" s="140"/>
      <c r="F192" s="140"/>
      <c r="G192" s="140"/>
      <c r="H192" s="140"/>
      <c r="I192" s="140">
        <f>SUM(B192:H192)</f>
        <v>0</v>
      </c>
      <c r="J192" s="37"/>
      <c r="M192" s="329" t="s">
        <v>326</v>
      </c>
      <c r="N192" s="345">
        <f>I194</f>
        <v>46</v>
      </c>
    </row>
    <row r="193" spans="1:22" ht="17.100000000000001" customHeight="1">
      <c r="A193" s="419"/>
      <c r="B193" s="5" t="s">
        <v>414</v>
      </c>
      <c r="C193" s="5" t="s">
        <v>414</v>
      </c>
      <c r="D193" s="5" t="s">
        <v>167</v>
      </c>
      <c r="E193" s="5" t="s">
        <v>167</v>
      </c>
      <c r="F193" s="5" t="s">
        <v>167</v>
      </c>
      <c r="G193" s="5" t="s">
        <v>419</v>
      </c>
      <c r="H193" s="5" t="s">
        <v>420</v>
      </c>
      <c r="I193" s="346"/>
      <c r="J193" s="32"/>
      <c r="M193" s="329" t="s">
        <v>236</v>
      </c>
      <c r="N193" s="345">
        <v>0</v>
      </c>
      <c r="O193" s="160">
        <f>Q191</f>
        <v>2.7567567567567566</v>
      </c>
      <c r="P193" t="s">
        <v>406</v>
      </c>
      <c r="S193" s="421">
        <f>SUM(O193*3)</f>
        <v>8.2702702702702702</v>
      </c>
      <c r="T193" t="s">
        <v>407</v>
      </c>
    </row>
    <row r="194" spans="1:22" ht="17.100000000000001" customHeight="1">
      <c r="A194" s="420" t="s">
        <v>421</v>
      </c>
      <c r="B194" s="140">
        <v>12</v>
      </c>
      <c r="C194" s="140">
        <v>12</v>
      </c>
      <c r="D194" s="140"/>
      <c r="E194" s="140"/>
      <c r="F194" s="140"/>
      <c r="G194" s="140">
        <v>12</v>
      </c>
      <c r="H194" s="140">
        <v>10</v>
      </c>
      <c r="I194" s="140">
        <f>SUM(B194:H194)</f>
        <v>46</v>
      </c>
      <c r="J194" s="37"/>
      <c r="M194" s="422"/>
      <c r="N194" s="423"/>
    </row>
    <row r="195" spans="1:22" ht="17.100000000000001" customHeight="1">
      <c r="A195" s="424"/>
      <c r="B195" s="425" t="s">
        <v>422</v>
      </c>
      <c r="C195" s="425" t="s">
        <v>423</v>
      </c>
      <c r="D195" s="425" t="s">
        <v>423</v>
      </c>
      <c r="E195" s="425" t="s">
        <v>423</v>
      </c>
      <c r="F195" s="409" t="s">
        <v>424</v>
      </c>
      <c r="G195" s="31"/>
      <c r="H195" s="31"/>
      <c r="I195" s="346"/>
      <c r="J195" s="32"/>
      <c r="M195" s="331" t="s">
        <v>329</v>
      </c>
      <c r="N195" s="350">
        <f>SUM(N190:N194)</f>
        <v>102</v>
      </c>
      <c r="O195" t="s">
        <v>28</v>
      </c>
      <c r="P195" s="354"/>
      <c r="Q195" s="354" t="s">
        <v>408</v>
      </c>
      <c r="S195" s="160">
        <f>S187-S193</f>
        <v>139.72972972972974</v>
      </c>
      <c r="T195" t="s">
        <v>409</v>
      </c>
    </row>
    <row r="196" spans="1:22" ht="17.100000000000001" customHeight="1">
      <c r="A196" s="420" t="s">
        <v>425</v>
      </c>
      <c r="B196" s="18">
        <v>6.75</v>
      </c>
      <c r="C196" s="18">
        <v>7.75</v>
      </c>
      <c r="D196" s="18">
        <v>7.75</v>
      </c>
      <c r="E196" s="18">
        <v>7.75</v>
      </c>
      <c r="F196" s="18">
        <v>7.5</v>
      </c>
      <c r="G196" s="140"/>
      <c r="H196" s="140"/>
      <c r="I196" s="140">
        <f>SUM(B196:H196)</f>
        <v>37.5</v>
      </c>
      <c r="J196" s="37"/>
      <c r="S196" s="160"/>
    </row>
    <row r="197" spans="1:22" ht="17.100000000000001" customHeight="1">
      <c r="A197" s="419"/>
      <c r="B197" s="5"/>
      <c r="C197" s="5"/>
      <c r="D197" s="5"/>
      <c r="E197" s="31"/>
      <c r="F197" s="31"/>
      <c r="G197" s="31"/>
      <c r="H197" s="31"/>
      <c r="I197" s="346"/>
      <c r="J197" s="32"/>
      <c r="S197" s="160"/>
    </row>
    <row r="198" spans="1:22" ht="17.100000000000001" customHeight="1">
      <c r="A198" s="426" t="s">
        <v>426</v>
      </c>
      <c r="C198" s="140"/>
      <c r="D198" s="140"/>
      <c r="E198" s="140"/>
      <c r="F198" s="140"/>
      <c r="G198" s="140"/>
      <c r="H198" s="140"/>
      <c r="I198" s="140">
        <f>SUM(A198:H198)</f>
        <v>0</v>
      </c>
      <c r="J198" s="37"/>
      <c r="S198" s="160"/>
    </row>
    <row r="199" spans="1:22" ht="17.100000000000001" customHeight="1">
      <c r="A199" s="427"/>
      <c r="B199" s="428"/>
      <c r="C199" s="428"/>
      <c r="D199" s="428"/>
      <c r="E199" s="428"/>
      <c r="F199" s="428"/>
      <c r="G199" s="428"/>
      <c r="H199" s="428"/>
      <c r="I199" s="429"/>
      <c r="J199" s="430"/>
      <c r="S199" s="160"/>
    </row>
    <row r="200" spans="1:22" ht="17.100000000000001" customHeight="1">
      <c r="A200" s="431"/>
      <c r="B200" s="432"/>
      <c r="C200" s="432"/>
      <c r="D200" s="432"/>
      <c r="E200" s="432"/>
      <c r="F200" s="432"/>
      <c r="G200" s="432"/>
      <c r="H200" s="432"/>
      <c r="I200" s="432">
        <f>SUM(B200:H200)</f>
        <v>0</v>
      </c>
      <c r="J200" s="433"/>
      <c r="S200" s="160"/>
    </row>
    <row r="201" spans="1:22" ht="17.100000000000001" customHeight="1">
      <c r="A201" s="427"/>
      <c r="B201" s="434"/>
      <c r="C201" s="434"/>
      <c r="D201" s="434"/>
      <c r="E201" s="434"/>
      <c r="F201" s="434"/>
      <c r="G201" s="428"/>
      <c r="H201" s="428"/>
      <c r="I201" s="429"/>
      <c r="J201" s="430" t="s">
        <v>28</v>
      </c>
      <c r="S201" s="160"/>
    </row>
    <row r="202" spans="1:22" ht="17.100000000000001" customHeight="1">
      <c r="A202" s="431" t="s">
        <v>28</v>
      </c>
      <c r="B202" s="432"/>
      <c r="C202" s="432"/>
      <c r="D202" s="432"/>
      <c r="E202" s="432"/>
      <c r="F202" s="432"/>
      <c r="G202" s="432"/>
      <c r="H202" s="432"/>
      <c r="I202" s="432">
        <f>SUM(B202:H202)</f>
        <v>0</v>
      </c>
      <c r="J202" s="433"/>
      <c r="S202" s="160"/>
    </row>
    <row r="203" spans="1:22" ht="17.100000000000001" customHeight="1">
      <c r="A203" s="196" t="s">
        <v>30</v>
      </c>
      <c r="B203" s="196">
        <f t="shared" ref="B203:H203" si="8">SUM(B190,B192,B194,B196)</f>
        <v>18.75</v>
      </c>
      <c r="C203" s="196">
        <f t="shared" si="8"/>
        <v>19.75</v>
      </c>
      <c r="D203" s="196">
        <f t="shared" si="8"/>
        <v>19.75</v>
      </c>
      <c r="E203" s="196">
        <f t="shared" si="8"/>
        <v>19.75</v>
      </c>
      <c r="F203" s="196">
        <f t="shared" si="8"/>
        <v>19.5</v>
      </c>
      <c r="G203" s="196">
        <f t="shared" si="8"/>
        <v>24</v>
      </c>
      <c r="H203" s="196">
        <f t="shared" si="8"/>
        <v>18</v>
      </c>
      <c r="I203" s="196">
        <f>SUM(I190,I192,I194,I196,I198,I200,I202)</f>
        <v>139.5</v>
      </c>
      <c r="J203" s="198"/>
      <c r="O203" t="s">
        <v>410</v>
      </c>
      <c r="P203">
        <f>I203</f>
        <v>139.5</v>
      </c>
      <c r="Q203" s="361" t="s">
        <v>411</v>
      </c>
      <c r="S203" s="160">
        <f>S195</f>
        <v>139.72972972972974</v>
      </c>
      <c r="T203" t="s">
        <v>412</v>
      </c>
      <c r="U203" s="412">
        <f>P203-S203</f>
        <v>-0.22972972972974048</v>
      </c>
    </row>
    <row r="204" spans="1:22" ht="17.100000000000001" customHeight="1">
      <c r="A204" s="72"/>
      <c r="B204" s="72"/>
      <c r="C204" s="72"/>
      <c r="D204" s="72"/>
      <c r="E204" s="72"/>
      <c r="F204" s="72"/>
      <c r="G204" s="204" t="s">
        <v>152</v>
      </c>
      <c r="H204" s="204" t="s">
        <v>153</v>
      </c>
      <c r="I204" s="204" t="s">
        <v>154</v>
      </c>
      <c r="V204" s="411"/>
    </row>
    <row r="205" spans="1:22" ht="17.100000000000001" customHeight="1">
      <c r="A205" s="72"/>
      <c r="B205" s="72"/>
      <c r="C205" s="72"/>
      <c r="D205" s="72"/>
      <c r="E205" s="72"/>
      <c r="F205" s="72"/>
      <c r="G205" s="130">
        <f>I203</f>
        <v>139.5</v>
      </c>
      <c r="H205" s="169">
        <f>SUM(G205*13/3)</f>
        <v>604.5</v>
      </c>
      <c r="I205" s="130">
        <f>SUM(H205*12)</f>
        <v>7254</v>
      </c>
    </row>
    <row r="206" spans="1:22" ht="18" customHeight="1">
      <c r="A206" s="149" t="s">
        <v>127</v>
      </c>
      <c r="B206" s="72"/>
      <c r="C206" s="72"/>
      <c r="D206" s="72"/>
      <c r="E206" s="72"/>
      <c r="F206" s="139"/>
      <c r="G206" s="139"/>
      <c r="H206" s="139"/>
      <c r="I206" s="72"/>
      <c r="J206" s="73"/>
      <c r="K206" s="274"/>
    </row>
    <row r="207" spans="1:22" ht="18" customHeight="1">
      <c r="A207" s="123" t="s">
        <v>128</v>
      </c>
      <c r="B207" s="24" t="s">
        <v>2</v>
      </c>
      <c r="C207" s="25" t="s">
        <v>3</v>
      </c>
      <c r="D207" s="25" t="s">
        <v>4</v>
      </c>
      <c r="E207" s="25" t="s">
        <v>5</v>
      </c>
      <c r="F207" s="25" t="s">
        <v>6</v>
      </c>
      <c r="G207" s="25" t="s">
        <v>7</v>
      </c>
      <c r="H207" s="26" t="s">
        <v>8</v>
      </c>
      <c r="I207" s="27" t="s">
        <v>9</v>
      </c>
      <c r="J207" s="28" t="s">
        <v>10</v>
      </c>
      <c r="K207" s="72"/>
    </row>
    <row r="208" spans="1:22" ht="18" customHeight="1">
      <c r="A208" s="29" t="s">
        <v>28</v>
      </c>
      <c r="B208" s="30" t="s">
        <v>124</v>
      </c>
      <c r="C208" s="30" t="s">
        <v>124</v>
      </c>
      <c r="D208" s="30" t="s">
        <v>124</v>
      </c>
      <c r="E208" s="30" t="s">
        <v>124</v>
      </c>
      <c r="F208" s="31" t="s">
        <v>125</v>
      </c>
      <c r="G208" s="31"/>
      <c r="H208" s="31"/>
      <c r="I208" s="7"/>
      <c r="J208" s="32"/>
    </row>
    <row r="209" spans="1:10" ht="18" customHeight="1">
      <c r="A209" s="33" t="s">
        <v>28</v>
      </c>
      <c r="B209" s="34">
        <v>0</v>
      </c>
      <c r="C209" s="34">
        <v>0</v>
      </c>
      <c r="D209" s="34">
        <v>0</v>
      </c>
      <c r="E209" s="34">
        <v>0</v>
      </c>
      <c r="F209" s="34">
        <v>0</v>
      </c>
      <c r="G209" s="140"/>
      <c r="H209" s="140"/>
      <c r="I209" s="34">
        <f>SUM(B209:H209)</f>
        <v>0</v>
      </c>
      <c r="J209" s="37"/>
    </row>
    <row r="210" spans="1:10" ht="18" customHeight="1">
      <c r="A210" s="29"/>
      <c r="B210" s="30" t="s">
        <v>124</v>
      </c>
      <c r="C210" s="30" t="s">
        <v>124</v>
      </c>
      <c r="D210" s="30" t="s">
        <v>124</v>
      </c>
      <c r="E210" s="30" t="s">
        <v>124</v>
      </c>
      <c r="F210" s="31" t="s">
        <v>125</v>
      </c>
      <c r="G210" s="31"/>
      <c r="H210" s="31"/>
      <c r="I210" s="7"/>
      <c r="J210" s="32"/>
    </row>
    <row r="211" spans="1:10" ht="18" customHeight="1">
      <c r="A211" s="33" t="s">
        <v>28</v>
      </c>
      <c r="B211" s="34">
        <v>0</v>
      </c>
      <c r="C211" s="34">
        <v>0</v>
      </c>
      <c r="D211" s="34">
        <v>0</v>
      </c>
      <c r="E211" s="34">
        <v>0</v>
      </c>
      <c r="F211" s="34">
        <v>0</v>
      </c>
      <c r="G211" s="140"/>
      <c r="H211" s="140"/>
      <c r="I211" s="34">
        <f>SUM(B211:H211)</f>
        <v>0</v>
      </c>
      <c r="J211" s="37"/>
    </row>
    <row r="212" spans="1:10" ht="18" customHeight="1">
      <c r="A212" s="29"/>
      <c r="B212" s="30" t="s">
        <v>124</v>
      </c>
      <c r="C212" s="30" t="s">
        <v>124</v>
      </c>
      <c r="D212" s="30" t="s">
        <v>124</v>
      </c>
      <c r="E212" s="30" t="s">
        <v>124</v>
      </c>
      <c r="F212" s="31" t="s">
        <v>125</v>
      </c>
      <c r="G212" s="31"/>
      <c r="H212" s="31"/>
      <c r="I212" s="7"/>
      <c r="J212" s="32"/>
    </row>
    <row r="213" spans="1:10" ht="18" customHeight="1">
      <c r="A213" s="33"/>
      <c r="B213" s="34"/>
      <c r="C213" s="34"/>
      <c r="D213" s="34"/>
      <c r="E213" s="34"/>
      <c r="F213" s="34"/>
      <c r="G213" s="140"/>
      <c r="H213" s="140"/>
      <c r="I213" s="34">
        <f>SUM(B213:H213)</f>
        <v>0</v>
      </c>
      <c r="J213" s="37"/>
    </row>
    <row r="214" spans="1:10" ht="18" customHeight="1">
      <c r="A214" s="58" t="s">
        <v>30</v>
      </c>
      <c r="B214" s="58">
        <f t="shared" ref="B214:I214" si="9">SUM(B209,B211,B213)</f>
        <v>0</v>
      </c>
      <c r="C214" s="58">
        <f t="shared" si="9"/>
        <v>0</v>
      </c>
      <c r="D214" s="58">
        <f t="shared" si="9"/>
        <v>0</v>
      </c>
      <c r="E214" s="58">
        <f t="shared" si="9"/>
        <v>0</v>
      </c>
      <c r="F214" s="58">
        <f t="shared" si="9"/>
        <v>0</v>
      </c>
      <c r="G214" s="58">
        <f t="shared" si="9"/>
        <v>0</v>
      </c>
      <c r="H214" s="58">
        <f t="shared" si="9"/>
        <v>0</v>
      </c>
      <c r="I214" s="58">
        <f t="shared" si="9"/>
        <v>0</v>
      </c>
      <c r="J214" s="71"/>
    </row>
    <row r="215" spans="1:10" ht="18" customHeight="1">
      <c r="A215" s="72"/>
      <c r="B215" s="72"/>
      <c r="C215" s="72"/>
      <c r="D215" s="72"/>
      <c r="E215" s="72"/>
      <c r="F215" s="72"/>
      <c r="G215" s="204" t="s">
        <v>152</v>
      </c>
      <c r="H215" s="204" t="s">
        <v>153</v>
      </c>
      <c r="I215" s="204" t="s">
        <v>154</v>
      </c>
      <c r="J215" s="73"/>
    </row>
    <row r="216" spans="1:10" ht="18" customHeight="1">
      <c r="A216" s="72"/>
      <c r="B216" s="72"/>
      <c r="C216" s="72"/>
      <c r="D216" s="72"/>
      <c r="E216" s="72"/>
      <c r="F216" s="139"/>
      <c r="G216" s="130">
        <f>I214</f>
        <v>0</v>
      </c>
      <c r="H216" s="169">
        <f>SUM(G216*13/3)</f>
        <v>0</v>
      </c>
      <c r="I216" s="130">
        <f>SUM(H216*12)</f>
        <v>0</v>
      </c>
      <c r="J216" s="73"/>
    </row>
    <row r="217" spans="1:10" ht="18" customHeight="1">
      <c r="A217" s="72"/>
      <c r="B217" s="72"/>
      <c r="C217" s="72"/>
      <c r="D217" s="72"/>
      <c r="E217" s="72"/>
      <c r="F217" s="139"/>
      <c r="G217" s="72"/>
      <c r="H217" s="174"/>
      <c r="I217" s="72"/>
      <c r="J217" s="73"/>
    </row>
    <row r="218" spans="1:10" ht="18" customHeight="1">
      <c r="A218" s="72"/>
      <c r="B218" s="72"/>
      <c r="C218" s="72"/>
      <c r="D218" s="72"/>
      <c r="E218" s="72"/>
      <c r="F218" s="139"/>
      <c r="G218" s="139"/>
      <c r="H218" s="139"/>
      <c r="I218" s="72"/>
      <c r="J218" s="73"/>
    </row>
    <row r="219" spans="1:10" ht="18" customHeight="1">
      <c r="A219" s="328"/>
      <c r="B219" s="150" t="s">
        <v>2</v>
      </c>
      <c r="C219" s="63" t="s">
        <v>3</v>
      </c>
      <c r="D219" s="63" t="s">
        <v>4</v>
      </c>
      <c r="E219" s="63" t="s">
        <v>5</v>
      </c>
      <c r="F219" s="63" t="s">
        <v>6</v>
      </c>
      <c r="G219" s="63" t="s">
        <v>7</v>
      </c>
      <c r="H219" s="151" t="s">
        <v>8</v>
      </c>
      <c r="I219" s="152" t="s">
        <v>137</v>
      </c>
      <c r="J219" s="139" t="s">
        <v>28</v>
      </c>
    </row>
    <row r="220" spans="1:10" ht="18" customHeight="1">
      <c r="A220" s="329" t="s">
        <v>138</v>
      </c>
      <c r="B220" s="330">
        <f t="shared" ref="B220:I220" si="10">SUM(B4,B8,B25,B34,B70,B114,B117,B123,B132,B144,B162,B182,B203,B214)</f>
        <v>267.25</v>
      </c>
      <c r="C220" s="330">
        <f t="shared" si="10"/>
        <v>268.25</v>
      </c>
      <c r="D220" s="330">
        <f t="shared" si="10"/>
        <v>268.25</v>
      </c>
      <c r="E220" s="330">
        <f t="shared" si="10"/>
        <v>259.75</v>
      </c>
      <c r="F220" s="330">
        <f t="shared" si="10"/>
        <v>232.75</v>
      </c>
      <c r="G220" s="330">
        <f t="shared" si="10"/>
        <v>127.5</v>
      </c>
      <c r="H220" s="330">
        <f t="shared" si="10"/>
        <v>124.5</v>
      </c>
      <c r="I220" s="330">
        <f t="shared" si="10"/>
        <v>1522.75</v>
      </c>
      <c r="J220" s="72" t="s">
        <v>28</v>
      </c>
    </row>
    <row r="221" spans="1:10" ht="20.100000000000001" customHeight="1">
      <c r="A221" s="331" t="s">
        <v>140</v>
      </c>
      <c r="B221" s="17">
        <f t="shared" ref="B221:I221" si="11">SUM(B220*52)</f>
        <v>13897</v>
      </c>
      <c r="C221" s="17">
        <f t="shared" si="11"/>
        <v>13949</v>
      </c>
      <c r="D221" s="17">
        <f t="shared" si="11"/>
        <v>13949</v>
      </c>
      <c r="E221" s="17">
        <f t="shared" si="11"/>
        <v>13507</v>
      </c>
      <c r="F221" s="17">
        <f t="shared" si="11"/>
        <v>12103</v>
      </c>
      <c r="G221" s="17">
        <f t="shared" si="11"/>
        <v>6630</v>
      </c>
      <c r="H221" s="17">
        <f t="shared" si="11"/>
        <v>6474</v>
      </c>
      <c r="I221" s="17">
        <f t="shared" si="11"/>
        <v>79183</v>
      </c>
    </row>
    <row r="222" spans="1:10" ht="20.100000000000001" customHeight="1">
      <c r="A222" t="s">
        <v>427</v>
      </c>
      <c r="I222" s="160"/>
      <c r="J222" s="435">
        <f>SUM(I221/12)</f>
        <v>6598.583333333333</v>
      </c>
    </row>
    <row r="223" spans="1:10" ht="20.100000000000001" customHeight="1">
      <c r="A223" s="332" t="s">
        <v>318</v>
      </c>
      <c r="B223" s="45"/>
      <c r="C223" s="45"/>
      <c r="D223" s="45"/>
      <c r="E223" s="30">
        <v>56</v>
      </c>
      <c r="F223" s="45"/>
      <c r="G223" s="45"/>
      <c r="H223" s="7"/>
      <c r="I223" s="333">
        <f>SUM(E223)*26</f>
        <v>1456</v>
      </c>
    </row>
    <row r="224" spans="1:10" ht="20.100000000000001" customHeight="1">
      <c r="A224" s="334" t="s">
        <v>319</v>
      </c>
      <c r="B224" s="157"/>
      <c r="C224" s="157"/>
      <c r="D224" s="157"/>
      <c r="E224" s="157"/>
      <c r="F224" s="157"/>
      <c r="G224" s="157"/>
      <c r="H224" s="157"/>
      <c r="I224" s="335">
        <f>SUM(I223*2)</f>
        <v>2912</v>
      </c>
    </row>
    <row r="225" spans="1:10" ht="20.100000000000001" customHeight="1">
      <c r="A225" s="329" t="s">
        <v>143</v>
      </c>
      <c r="B225" s="153"/>
      <c r="C225" s="155"/>
      <c r="D225" s="157"/>
      <c r="E225" s="157"/>
      <c r="F225" s="157"/>
      <c r="G225" s="157"/>
      <c r="H225" s="157"/>
      <c r="I225" s="335">
        <f>48*12</f>
        <v>576</v>
      </c>
    </row>
    <row r="226" spans="1:10" ht="20.100000000000001" customHeight="1">
      <c r="A226" s="336" t="s">
        <v>137</v>
      </c>
      <c r="B226" s="53"/>
      <c r="C226" s="53"/>
      <c r="D226" s="53"/>
      <c r="E226" s="53"/>
      <c r="F226" s="53"/>
      <c r="G226" s="53"/>
      <c r="H226" s="53"/>
      <c r="I226" s="337">
        <f>SUM(I223:I225)</f>
        <v>4944</v>
      </c>
    </row>
    <row r="227" spans="1:10" ht="20.100000000000001" customHeight="1">
      <c r="I227" s="160"/>
    </row>
    <row r="228" spans="1:10" ht="20.100000000000001" customHeight="1">
      <c r="I228" s="160"/>
    </row>
    <row r="229" spans="1:10">
      <c r="A229" s="158" t="s">
        <v>144</v>
      </c>
      <c r="B229" s="158"/>
      <c r="C229" s="158"/>
      <c r="D229" s="158"/>
      <c r="E229" s="158"/>
      <c r="F229" s="158"/>
      <c r="G229" s="158"/>
      <c r="H229" s="158"/>
      <c r="I229" s="161">
        <f>SUM(I221,I226)</f>
        <v>84127</v>
      </c>
      <c r="J229" t="s">
        <v>428</v>
      </c>
    </row>
    <row r="233" spans="1:10">
      <c r="A233" s="1" t="s">
        <v>429</v>
      </c>
      <c r="B233" s="72"/>
      <c r="C233" s="72"/>
      <c r="D233" s="72"/>
      <c r="E233" s="72"/>
      <c r="F233" s="139"/>
      <c r="G233" s="139"/>
      <c r="H233" s="139"/>
      <c r="I233" s="72"/>
      <c r="J233" s="73"/>
    </row>
    <row r="234" spans="1:10">
      <c r="A234" s="61" t="s">
        <v>430</v>
      </c>
      <c r="B234" s="62" t="s">
        <v>2</v>
      </c>
      <c r="C234" s="63" t="s">
        <v>3</v>
      </c>
      <c r="D234" s="63" t="s">
        <v>4</v>
      </c>
      <c r="E234" s="63" t="s">
        <v>5</v>
      </c>
      <c r="F234" s="63" t="s">
        <v>6</v>
      </c>
      <c r="G234" s="63" t="s">
        <v>7</v>
      </c>
      <c r="H234" s="64" t="s">
        <v>8</v>
      </c>
      <c r="I234" s="65" t="s">
        <v>9</v>
      </c>
      <c r="J234" s="66" t="s">
        <v>10</v>
      </c>
    </row>
    <row r="235" spans="1:10">
      <c r="A235" s="436">
        <v>3700</v>
      </c>
      <c r="B235" s="30" t="s">
        <v>431</v>
      </c>
      <c r="C235" s="30" t="s">
        <v>431</v>
      </c>
      <c r="D235" s="30" t="s">
        <v>431</v>
      </c>
      <c r="E235" s="30" t="s">
        <v>431</v>
      </c>
      <c r="F235" s="31" t="s">
        <v>432</v>
      </c>
      <c r="G235" s="4"/>
      <c r="H235" s="413" t="s">
        <v>28</v>
      </c>
      <c r="I235" s="7"/>
      <c r="J235" s="32" t="s">
        <v>28</v>
      </c>
    </row>
    <row r="236" spans="1:10">
      <c r="A236" s="437"/>
      <c r="B236" s="34"/>
      <c r="C236" s="34"/>
      <c r="D236" s="34"/>
      <c r="E236" s="34"/>
      <c r="F236" s="140"/>
      <c r="G236" s="17"/>
      <c r="H236" s="263" t="s">
        <v>28</v>
      </c>
      <c r="I236" s="34">
        <f>SUM(B236:H236)</f>
        <v>0</v>
      </c>
      <c r="J236" s="37"/>
    </row>
    <row r="237" spans="1:10">
      <c r="A237" s="438">
        <v>3700</v>
      </c>
      <c r="B237" s="10" t="s">
        <v>124</v>
      </c>
      <c r="C237" s="10" t="s">
        <v>124</v>
      </c>
      <c r="D237" s="10" t="s">
        <v>124</v>
      </c>
      <c r="E237" s="10" t="s">
        <v>124</v>
      </c>
      <c r="F237" s="11" t="s">
        <v>125</v>
      </c>
      <c r="G237" s="439"/>
      <c r="H237" s="440" t="s">
        <v>28</v>
      </c>
      <c r="I237" s="14"/>
      <c r="J237" s="40" t="s">
        <v>28</v>
      </c>
    </row>
    <row r="238" spans="1:10">
      <c r="A238" s="441" t="s">
        <v>433</v>
      </c>
      <c r="B238" s="34">
        <v>7.75</v>
      </c>
      <c r="C238" s="34">
        <v>7.75</v>
      </c>
      <c r="D238" s="34">
        <v>7.75</v>
      </c>
      <c r="E238" s="34">
        <v>7.75</v>
      </c>
      <c r="F238" s="140">
        <v>6</v>
      </c>
      <c r="G238" s="17"/>
      <c r="H238" s="263" t="s">
        <v>28</v>
      </c>
      <c r="I238" s="34">
        <f>SUM(B238:H238)</f>
        <v>37</v>
      </c>
      <c r="J238" s="37"/>
    </row>
    <row r="239" spans="1:10">
      <c r="A239" s="436">
        <v>3701</v>
      </c>
      <c r="B239" s="30" t="s">
        <v>124</v>
      </c>
      <c r="C239" s="30" t="s">
        <v>124</v>
      </c>
      <c r="D239" s="30" t="s">
        <v>124</v>
      </c>
      <c r="E239" s="30" t="s">
        <v>124</v>
      </c>
      <c r="F239" s="31" t="s">
        <v>125</v>
      </c>
      <c r="G239" s="4"/>
      <c r="H239" s="413" t="s">
        <v>28</v>
      </c>
      <c r="I239" s="7"/>
      <c r="J239" s="32" t="s">
        <v>28</v>
      </c>
    </row>
    <row r="240" spans="1:10">
      <c r="A240" s="437" t="s">
        <v>434</v>
      </c>
      <c r="B240" s="34">
        <v>7.75</v>
      </c>
      <c r="C240" s="34">
        <v>7.75</v>
      </c>
      <c r="D240" s="34">
        <v>7.75</v>
      </c>
      <c r="E240" s="34">
        <v>7.75</v>
      </c>
      <c r="F240" s="140">
        <v>6</v>
      </c>
      <c r="G240" s="17"/>
      <c r="H240" s="263" t="s">
        <v>28</v>
      </c>
      <c r="I240" s="34">
        <f>SUM(B240:H240)</f>
        <v>37</v>
      </c>
      <c r="J240" s="37"/>
    </row>
    <row r="241" spans="1:10">
      <c r="A241" s="436">
        <v>3701</v>
      </c>
      <c r="B241" s="30" t="s">
        <v>124</v>
      </c>
      <c r="C241" s="30" t="s">
        <v>124</v>
      </c>
      <c r="D241" s="30" t="s">
        <v>124</v>
      </c>
      <c r="E241" s="30" t="s">
        <v>124</v>
      </c>
      <c r="F241" s="31" t="s">
        <v>125</v>
      </c>
      <c r="G241" s="4"/>
      <c r="H241" s="413" t="s">
        <v>28</v>
      </c>
      <c r="I241" s="7"/>
      <c r="J241" s="32" t="s">
        <v>28</v>
      </c>
    </row>
    <row r="242" spans="1:10">
      <c r="A242" s="437" t="s">
        <v>435</v>
      </c>
      <c r="B242" s="34">
        <v>7.75</v>
      </c>
      <c r="C242" s="34">
        <v>7.75</v>
      </c>
      <c r="D242" s="34">
        <v>7.75</v>
      </c>
      <c r="E242" s="34">
        <v>7.75</v>
      </c>
      <c r="F242" s="140">
        <v>6</v>
      </c>
      <c r="G242" s="17"/>
      <c r="H242" s="263" t="s">
        <v>28</v>
      </c>
      <c r="I242" s="34">
        <f>SUM(B242:H242)</f>
        <v>37</v>
      </c>
      <c r="J242" s="37"/>
    </row>
    <row r="243" spans="1:10">
      <c r="A243" s="438">
        <v>3701</v>
      </c>
      <c r="B243" s="10" t="s">
        <v>124</v>
      </c>
      <c r="C243" s="10" t="s">
        <v>124</v>
      </c>
      <c r="D243" s="10" t="s">
        <v>124</v>
      </c>
      <c r="E243" s="10" t="s">
        <v>124</v>
      </c>
      <c r="F243" s="11" t="s">
        <v>125</v>
      </c>
      <c r="G243" s="439"/>
      <c r="H243" s="440" t="s">
        <v>28</v>
      </c>
      <c r="I243" s="14"/>
      <c r="J243" s="40" t="s">
        <v>28</v>
      </c>
    </row>
    <row r="244" spans="1:10">
      <c r="A244" s="441" t="s">
        <v>436</v>
      </c>
      <c r="B244" s="34">
        <v>7.75</v>
      </c>
      <c r="C244" s="34">
        <v>7.75</v>
      </c>
      <c r="D244" s="34">
        <v>7.75</v>
      </c>
      <c r="E244" s="34">
        <v>7.75</v>
      </c>
      <c r="F244" s="140">
        <v>6</v>
      </c>
      <c r="G244" s="17"/>
      <c r="H244" s="263" t="s">
        <v>28</v>
      </c>
      <c r="I244" s="34">
        <f>SUM(B244:H244)</f>
        <v>37</v>
      </c>
      <c r="J244" s="37"/>
    </row>
    <row r="245" spans="1:10">
      <c r="A245" s="442">
        <v>3701</v>
      </c>
      <c r="B245" s="30" t="s">
        <v>124</v>
      </c>
      <c r="C245" s="30" t="s">
        <v>124</v>
      </c>
      <c r="D245" s="30" t="s">
        <v>124</v>
      </c>
      <c r="E245" s="30" t="s">
        <v>124</v>
      </c>
      <c r="F245" s="31" t="s">
        <v>125</v>
      </c>
      <c r="G245" s="4"/>
      <c r="H245" s="413" t="s">
        <v>28</v>
      </c>
      <c r="I245" s="7"/>
      <c r="J245" s="32" t="s">
        <v>28</v>
      </c>
    </row>
    <row r="246" spans="1:10">
      <c r="A246" s="441"/>
      <c r="B246" s="34">
        <v>7.75</v>
      </c>
      <c r="C246" s="34">
        <v>7.75</v>
      </c>
      <c r="D246" s="34">
        <v>7.75</v>
      </c>
      <c r="E246" s="34">
        <v>7.75</v>
      </c>
      <c r="F246" s="140">
        <v>6</v>
      </c>
      <c r="G246" s="17"/>
      <c r="H246" s="263" t="s">
        <v>28</v>
      </c>
      <c r="I246" s="34">
        <f>SUM(B246:H246)</f>
        <v>37</v>
      </c>
      <c r="J246" s="37"/>
    </row>
    <row r="247" spans="1:10">
      <c r="A247" s="442">
        <v>3701</v>
      </c>
      <c r="B247" s="30" t="s">
        <v>124</v>
      </c>
      <c r="C247" s="30" t="s">
        <v>124</v>
      </c>
      <c r="D247" s="30" t="s">
        <v>124</v>
      </c>
      <c r="E247" s="30" t="s">
        <v>124</v>
      </c>
      <c r="F247" s="31" t="s">
        <v>125</v>
      </c>
      <c r="G247" s="4"/>
      <c r="H247" s="413" t="s">
        <v>28</v>
      </c>
      <c r="I247" s="7"/>
      <c r="J247" s="32" t="s">
        <v>28</v>
      </c>
    </row>
    <row r="248" spans="1:10">
      <c r="A248" s="441" t="s">
        <v>437</v>
      </c>
      <c r="B248" s="34">
        <v>7.75</v>
      </c>
      <c r="C248" s="34">
        <v>7.75</v>
      </c>
      <c r="D248" s="34">
        <v>7.75</v>
      </c>
      <c r="E248" s="34">
        <v>7.75</v>
      </c>
      <c r="F248" s="140">
        <v>6</v>
      </c>
      <c r="G248" s="17"/>
      <c r="H248" s="263" t="s">
        <v>28</v>
      </c>
      <c r="I248" s="34">
        <f>SUM(B248:H248)</f>
        <v>37</v>
      </c>
      <c r="J248" s="37"/>
    </row>
    <row r="249" spans="1:10">
      <c r="A249" s="442">
        <v>3701</v>
      </c>
      <c r="B249" s="30" t="s">
        <v>124</v>
      </c>
      <c r="C249" s="30" t="s">
        <v>124</v>
      </c>
      <c r="D249" s="30" t="s">
        <v>124</v>
      </c>
      <c r="E249" s="30" t="s">
        <v>124</v>
      </c>
      <c r="F249" s="31" t="s">
        <v>125</v>
      </c>
      <c r="G249" s="4"/>
      <c r="H249" s="413" t="s">
        <v>28</v>
      </c>
      <c r="I249" s="7"/>
      <c r="J249" s="32" t="s">
        <v>28</v>
      </c>
    </row>
    <row r="250" spans="1:10">
      <c r="A250" s="441" t="s">
        <v>438</v>
      </c>
      <c r="B250" s="34">
        <v>7.75</v>
      </c>
      <c r="C250" s="34">
        <v>7.75</v>
      </c>
      <c r="D250" s="34">
        <v>7.75</v>
      </c>
      <c r="E250" s="34">
        <v>7.75</v>
      </c>
      <c r="F250" s="140">
        <v>6</v>
      </c>
      <c r="G250" s="17"/>
      <c r="H250" s="263" t="s">
        <v>28</v>
      </c>
      <c r="I250" s="34">
        <f>SUM(B250:H250)</f>
        <v>37</v>
      </c>
      <c r="J250" s="37"/>
    </row>
    <row r="251" spans="1:10">
      <c r="A251" s="442">
        <v>3701</v>
      </c>
      <c r="B251" s="30" t="s">
        <v>124</v>
      </c>
      <c r="C251" s="30" t="s">
        <v>124</v>
      </c>
      <c r="D251" s="30" t="s">
        <v>124</v>
      </c>
      <c r="E251" s="30" t="s">
        <v>124</v>
      </c>
      <c r="F251" s="31" t="s">
        <v>125</v>
      </c>
      <c r="G251" s="4"/>
      <c r="H251" s="413" t="s">
        <v>28</v>
      </c>
      <c r="I251" s="7"/>
      <c r="J251" s="32" t="s">
        <v>28</v>
      </c>
    </row>
    <row r="252" spans="1:10">
      <c r="A252" s="441" t="s">
        <v>439</v>
      </c>
      <c r="B252" s="34">
        <v>7.75</v>
      </c>
      <c r="C252" s="34">
        <v>7.75</v>
      </c>
      <c r="D252" s="34">
        <v>7.75</v>
      </c>
      <c r="E252" s="34">
        <v>7.75</v>
      </c>
      <c r="F252" s="140">
        <v>6</v>
      </c>
      <c r="G252" s="17"/>
      <c r="H252" s="263" t="s">
        <v>28</v>
      </c>
      <c r="I252" s="34">
        <f>SUM(B252:H252)</f>
        <v>37</v>
      </c>
      <c r="J252" s="37"/>
    </row>
    <row r="253" spans="1:10">
      <c r="A253" s="442">
        <v>3701</v>
      </c>
      <c r="B253" s="30" t="s">
        <v>124</v>
      </c>
      <c r="C253" s="30" t="s">
        <v>124</v>
      </c>
      <c r="D253" s="30" t="s">
        <v>124</v>
      </c>
      <c r="E253" s="30" t="s">
        <v>124</v>
      </c>
      <c r="F253" s="31" t="s">
        <v>125</v>
      </c>
      <c r="G253" s="4"/>
      <c r="H253" s="413" t="s">
        <v>28</v>
      </c>
      <c r="I253" s="7"/>
      <c r="J253" s="32" t="s">
        <v>28</v>
      </c>
    </row>
    <row r="254" spans="1:10">
      <c r="A254" s="441" t="s">
        <v>440</v>
      </c>
      <c r="B254" s="34">
        <v>7.75</v>
      </c>
      <c r="C254" s="34">
        <v>7.75</v>
      </c>
      <c r="D254" s="34">
        <v>7.75</v>
      </c>
      <c r="E254" s="34">
        <v>7.75</v>
      </c>
      <c r="F254" s="140">
        <v>6</v>
      </c>
      <c r="G254" s="17"/>
      <c r="H254" s="263" t="s">
        <v>28</v>
      </c>
      <c r="I254" s="34">
        <f>SUM(B254:H254)</f>
        <v>37</v>
      </c>
      <c r="J254" s="37"/>
    </row>
    <row r="255" spans="1:10">
      <c r="A255" s="442">
        <v>3701</v>
      </c>
      <c r="B255" s="30" t="s">
        <v>124</v>
      </c>
      <c r="C255" s="30" t="s">
        <v>124</v>
      </c>
      <c r="D255" s="30" t="s">
        <v>124</v>
      </c>
      <c r="E255" s="30" t="s">
        <v>124</v>
      </c>
      <c r="F255" s="31" t="s">
        <v>125</v>
      </c>
      <c r="G255" s="4"/>
      <c r="H255" s="413" t="s">
        <v>28</v>
      </c>
      <c r="I255" s="7"/>
      <c r="J255" s="32" t="s">
        <v>28</v>
      </c>
    </row>
    <row r="256" spans="1:10">
      <c r="A256" s="441" t="s">
        <v>441</v>
      </c>
      <c r="B256" s="34">
        <v>7.75</v>
      </c>
      <c r="C256" s="34">
        <v>7.75</v>
      </c>
      <c r="D256" s="34">
        <v>7.75</v>
      </c>
      <c r="E256" s="34">
        <v>7.75</v>
      </c>
      <c r="F256" s="140">
        <v>6</v>
      </c>
      <c r="G256" s="17"/>
      <c r="H256" s="263" t="s">
        <v>28</v>
      </c>
      <c r="I256" s="34">
        <f>SUM(B256:H256)</f>
        <v>37</v>
      </c>
      <c r="J256" s="37"/>
    </row>
    <row r="257" spans="1:10">
      <c r="A257" s="442">
        <v>3701</v>
      </c>
      <c r="B257" s="30" t="s">
        <v>124</v>
      </c>
      <c r="C257" s="30" t="s">
        <v>124</v>
      </c>
      <c r="D257" s="30" t="s">
        <v>124</v>
      </c>
      <c r="E257" s="30" t="s">
        <v>124</v>
      </c>
      <c r="F257" s="31" t="s">
        <v>125</v>
      </c>
      <c r="G257" s="4"/>
      <c r="H257" s="413" t="s">
        <v>28</v>
      </c>
      <c r="I257" s="7"/>
      <c r="J257" s="32" t="s">
        <v>28</v>
      </c>
    </row>
    <row r="258" spans="1:10">
      <c r="A258" s="441" t="s">
        <v>442</v>
      </c>
      <c r="B258" s="34">
        <v>7.75</v>
      </c>
      <c r="C258" s="34">
        <v>7.75</v>
      </c>
      <c r="D258" s="34">
        <v>7.75</v>
      </c>
      <c r="E258" s="34">
        <v>7.75</v>
      </c>
      <c r="F258" s="140">
        <v>6</v>
      </c>
      <c r="G258" s="17"/>
      <c r="H258" s="263" t="s">
        <v>28</v>
      </c>
      <c r="I258" s="34">
        <f>SUM(B258:H258)</f>
        <v>37</v>
      </c>
      <c r="J258" s="37"/>
    </row>
    <row r="259" spans="1:10">
      <c r="A259" s="442">
        <v>3701</v>
      </c>
      <c r="B259" s="30" t="s">
        <v>124</v>
      </c>
      <c r="C259" s="30" t="s">
        <v>124</v>
      </c>
      <c r="D259" s="30" t="s">
        <v>124</v>
      </c>
      <c r="E259" s="30" t="s">
        <v>124</v>
      </c>
      <c r="F259" s="31" t="s">
        <v>125</v>
      </c>
      <c r="G259" s="4"/>
      <c r="H259" s="413" t="s">
        <v>28</v>
      </c>
      <c r="I259" s="7"/>
      <c r="J259" s="32" t="s">
        <v>28</v>
      </c>
    </row>
    <row r="260" spans="1:10">
      <c r="A260" s="441" t="s">
        <v>443</v>
      </c>
      <c r="B260" s="34">
        <v>7.75</v>
      </c>
      <c r="C260" s="34">
        <v>7.75</v>
      </c>
      <c r="D260" s="34">
        <v>7.75</v>
      </c>
      <c r="E260" s="34">
        <v>7.75</v>
      </c>
      <c r="F260" s="140">
        <v>6</v>
      </c>
      <c r="G260" s="17"/>
      <c r="H260" s="263" t="s">
        <v>28</v>
      </c>
      <c r="I260" s="34">
        <f>SUM(B260:H260)</f>
        <v>37</v>
      </c>
      <c r="J260" s="37"/>
    </row>
    <row r="261" spans="1:10">
      <c r="A261" s="442">
        <v>3701</v>
      </c>
      <c r="B261" s="30" t="s">
        <v>124</v>
      </c>
      <c r="C261" s="30" t="s">
        <v>124</v>
      </c>
      <c r="D261" s="30" t="s">
        <v>124</v>
      </c>
      <c r="E261" s="30" t="s">
        <v>124</v>
      </c>
      <c r="F261" s="31" t="s">
        <v>125</v>
      </c>
      <c r="G261" s="4"/>
      <c r="H261" s="413" t="s">
        <v>28</v>
      </c>
      <c r="I261" s="7"/>
      <c r="J261" s="32" t="s">
        <v>28</v>
      </c>
    </row>
    <row r="262" spans="1:10">
      <c r="A262" s="441"/>
      <c r="B262" s="34"/>
      <c r="C262" s="34"/>
      <c r="D262" s="34"/>
      <c r="E262" s="34"/>
      <c r="F262" s="140"/>
      <c r="G262" s="17"/>
      <c r="H262" s="263" t="s">
        <v>28</v>
      </c>
      <c r="I262" s="34">
        <f>SUM(B262:H262)</f>
        <v>0</v>
      </c>
      <c r="J262" s="37"/>
    </row>
    <row r="263" spans="1:10">
      <c r="A263" s="442">
        <v>3701</v>
      </c>
      <c r="B263" s="30" t="s">
        <v>11</v>
      </c>
      <c r="C263" s="30" t="s">
        <v>11</v>
      </c>
      <c r="D263" s="30" t="s">
        <v>11</v>
      </c>
      <c r="E263" s="30" t="s">
        <v>11</v>
      </c>
      <c r="F263" s="31" t="s">
        <v>12</v>
      </c>
      <c r="G263" s="4"/>
      <c r="H263" s="413" t="s">
        <v>28</v>
      </c>
      <c r="I263" s="7"/>
      <c r="J263" s="32" t="s">
        <v>28</v>
      </c>
    </row>
    <row r="264" spans="1:10">
      <c r="A264" s="441"/>
      <c r="B264" s="34"/>
      <c r="C264" s="34"/>
      <c r="D264" s="34"/>
      <c r="E264" s="34"/>
      <c r="F264" s="140"/>
      <c r="G264" s="17"/>
      <c r="H264" s="263" t="s">
        <v>28</v>
      </c>
      <c r="I264" s="34">
        <f>SUM(B264:H264)</f>
        <v>0</v>
      </c>
      <c r="J264" s="37"/>
    </row>
    <row r="265" spans="1:10">
      <c r="A265" s="58" t="s">
        <v>30</v>
      </c>
      <c r="B265" s="58">
        <f t="shared" ref="B265:H265" si="12">SUM(B254,B256,B258,B260,B262,B264)</f>
        <v>31</v>
      </c>
      <c r="C265" s="58">
        <f t="shared" si="12"/>
        <v>31</v>
      </c>
      <c r="D265" s="58">
        <f t="shared" si="12"/>
        <v>31</v>
      </c>
      <c r="E265" s="58">
        <f t="shared" si="12"/>
        <v>31</v>
      </c>
      <c r="F265" s="58">
        <f t="shared" si="12"/>
        <v>24</v>
      </c>
      <c r="G265" s="58">
        <f t="shared" si="12"/>
        <v>0</v>
      </c>
      <c r="H265" s="58">
        <f t="shared" si="12"/>
        <v>0</v>
      </c>
      <c r="I265" s="70">
        <f>SUM(I236,I238,I240,I242,I244,I246,I248,I250,I252,I254,I256,I258,I260,I262,I264)</f>
        <v>444</v>
      </c>
      <c r="J265" s="71"/>
    </row>
    <row r="266" spans="1:10">
      <c r="A266" s="312"/>
      <c r="B266" s="72"/>
      <c r="C266" s="72"/>
      <c r="D266" s="72"/>
      <c r="E266" s="72"/>
      <c r="F266" s="139"/>
      <c r="G266" s="204" t="s">
        <v>152</v>
      </c>
      <c r="H266" s="204" t="s">
        <v>153</v>
      </c>
      <c r="I266" s="204" t="s">
        <v>154</v>
      </c>
      <c r="J266" s="73"/>
    </row>
    <row r="267" spans="1:10">
      <c r="A267" s="312"/>
      <c r="B267" s="72"/>
      <c r="C267" s="72"/>
      <c r="D267" s="72"/>
      <c r="E267" s="72"/>
      <c r="F267" s="139"/>
      <c r="G267" s="130">
        <f>I265</f>
        <v>444</v>
      </c>
      <c r="H267" s="169">
        <f>SUM(G267*13/3)</f>
        <v>1924</v>
      </c>
      <c r="I267" s="130">
        <f>SUM(H267*12)</f>
        <v>23088</v>
      </c>
      <c r="J267" s="73"/>
    </row>
  </sheetData>
  <sheetProtection password="CC44" sheet="1" objects="1" scenarios="1" selectLockedCells="1" selectUnlockedCells="1"/>
  <phoneticPr fontId="8" type="noConversion"/>
  <pageMargins left="0" right="0" top="0.19652777777777777" bottom="0" header="0.19652777777777777" footer="0.51180555555555551"/>
  <pageSetup paperSize="9" scale="90" firstPageNumber="0" pageOrder="overThenDown" orientation="landscape" horizontalDpi="300" verticalDpi="300" r:id="rId1"/>
  <headerFooter alignWithMargins="0">
    <oddHeader>&amp;ROpdateret &amp;D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6"/>
  <dimension ref="A1:AF267"/>
  <sheetViews>
    <sheetView topLeftCell="A4" zoomScale="67" zoomScaleNormal="67" workbookViewId="0">
      <selection activeCell="G54" sqref="G54"/>
    </sheetView>
  </sheetViews>
  <sheetFormatPr defaultRowHeight="12.75"/>
  <cols>
    <col min="1" max="1" width="26.28515625" customWidth="1"/>
    <col min="2" max="2" width="13" customWidth="1"/>
    <col min="3" max="3" width="12.85546875" customWidth="1"/>
    <col min="4" max="4" width="12.28515625" customWidth="1"/>
    <col min="5" max="5" width="12.140625" customWidth="1"/>
    <col min="6" max="6" width="12.28515625" customWidth="1"/>
    <col min="7" max="7" width="13.28515625" customWidth="1"/>
    <col min="8" max="8" width="13.140625" customWidth="1"/>
    <col min="9" max="9" width="12.5703125" customWidth="1"/>
    <col min="10" max="10" width="26" customWidth="1"/>
    <col min="14" max="14" width="16.5703125" customWidth="1"/>
    <col min="15" max="15" width="15.42578125" customWidth="1"/>
    <col min="17" max="17" width="9.85546875" customWidth="1"/>
    <col min="20" max="20" width="10.28515625" customWidth="1"/>
    <col min="23" max="23" width="15.85546875" customWidth="1"/>
    <col min="24" max="24" width="19.28515625" customWidth="1"/>
    <col min="25" max="25" width="11.28515625" customWidth="1"/>
  </cols>
  <sheetData>
    <row r="1" spans="1:15" ht="20.100000000000001" customHeight="1" thickBot="1">
      <c r="A1" s="1" t="s">
        <v>0</v>
      </c>
      <c r="B1" s="1"/>
      <c r="D1" s="2"/>
      <c r="E1" s="2"/>
    </row>
    <row r="2" spans="1:15" ht="20.100000000000001" customHeight="1">
      <c r="A2" s="3" t="s">
        <v>146</v>
      </c>
      <c r="B2" s="4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6" t="s">
        <v>8</v>
      </c>
      <c r="I2" s="7" t="s">
        <v>9</v>
      </c>
      <c r="J2" s="8" t="s">
        <v>10</v>
      </c>
    </row>
    <row r="3" spans="1:15" ht="20.100000000000001" customHeight="1">
      <c r="A3" s="9"/>
      <c r="B3" s="10" t="s">
        <v>147</v>
      </c>
      <c r="C3" s="10" t="s">
        <v>147</v>
      </c>
      <c r="D3" s="10" t="s">
        <v>147</v>
      </c>
      <c r="E3" s="10" t="s">
        <v>147</v>
      </c>
      <c r="F3" s="11" t="s">
        <v>148</v>
      </c>
      <c r="G3" s="12"/>
      <c r="H3" s="13"/>
      <c r="I3" s="14"/>
      <c r="J3" s="15"/>
    </row>
    <row r="4" spans="1:15" ht="20.100000000000001" customHeight="1" thickBot="1">
      <c r="A4" s="338" t="s">
        <v>321</v>
      </c>
      <c r="B4" s="17">
        <v>7.75</v>
      </c>
      <c r="C4" s="17">
        <v>7.75</v>
      </c>
      <c r="D4" s="17">
        <v>7.75</v>
      </c>
      <c r="E4" s="17">
        <v>7.75</v>
      </c>
      <c r="F4" s="18">
        <v>6</v>
      </c>
      <c r="G4" s="19"/>
      <c r="H4" s="20"/>
      <c r="I4" s="21">
        <f>SUM(B4:H4)</f>
        <v>37</v>
      </c>
      <c r="J4" s="22"/>
    </row>
    <row r="5" spans="1:15" ht="20.100000000000001" customHeight="1" thickBot="1">
      <c r="A5" s="1" t="s">
        <v>155</v>
      </c>
      <c r="B5" s="1"/>
      <c r="D5" s="2"/>
      <c r="E5" s="2"/>
    </row>
    <row r="6" spans="1:15" ht="20.100000000000001" customHeight="1">
      <c r="A6" s="201" t="s">
        <v>32</v>
      </c>
      <c r="B6" s="4" t="s">
        <v>2</v>
      </c>
      <c r="C6" s="5" t="s">
        <v>3</v>
      </c>
      <c r="D6" s="5" t="s">
        <v>4</v>
      </c>
      <c r="E6" s="5" t="s">
        <v>5</v>
      </c>
      <c r="F6" s="5" t="s">
        <v>6</v>
      </c>
      <c r="G6" s="5" t="s">
        <v>7</v>
      </c>
      <c r="H6" s="5" t="s">
        <v>8</v>
      </c>
      <c r="I6" s="45" t="s">
        <v>9</v>
      </c>
      <c r="J6" s="8" t="s">
        <v>10</v>
      </c>
    </row>
    <row r="7" spans="1:15" ht="20.100000000000001" customHeight="1">
      <c r="A7" s="306"/>
      <c r="B7" s="172" t="s">
        <v>33</v>
      </c>
      <c r="C7" s="172" t="s">
        <v>33</v>
      </c>
      <c r="D7" s="172" t="s">
        <v>33</v>
      </c>
      <c r="E7" s="172" t="s">
        <v>33</v>
      </c>
      <c r="F7" s="172" t="s">
        <v>34</v>
      </c>
      <c r="G7" s="297"/>
      <c r="H7" s="297"/>
      <c r="I7" s="153"/>
      <c r="J7" s="339"/>
    </row>
    <row r="8" spans="1:15" ht="20.100000000000001" customHeight="1" thickBot="1">
      <c r="A8" s="338" t="s">
        <v>156</v>
      </c>
      <c r="B8" s="140">
        <v>7.75</v>
      </c>
      <c r="C8" s="140">
        <v>7.75</v>
      </c>
      <c r="D8" s="140">
        <v>7.75</v>
      </c>
      <c r="E8" s="140">
        <v>7.75</v>
      </c>
      <c r="F8" s="140">
        <v>6</v>
      </c>
      <c r="G8" s="19"/>
      <c r="H8" s="20"/>
      <c r="I8" s="21">
        <f>SUM(B8:H8)</f>
        <v>37</v>
      </c>
      <c r="J8" s="22"/>
    </row>
    <row r="9" spans="1:15" ht="20.100000000000001" customHeight="1">
      <c r="A9" s="72"/>
      <c r="E9" s="72"/>
      <c r="F9" s="139"/>
      <c r="G9" s="204" t="s">
        <v>152</v>
      </c>
      <c r="H9" s="204" t="s">
        <v>153</v>
      </c>
      <c r="I9" s="204" t="s">
        <v>154</v>
      </c>
      <c r="J9" s="168"/>
    </row>
    <row r="10" spans="1:15" ht="20.100000000000001" customHeight="1">
      <c r="A10" s="72"/>
      <c r="E10" s="72"/>
      <c r="F10" s="139"/>
      <c r="G10" s="130">
        <f>I4+I8</f>
        <v>74</v>
      </c>
      <c r="H10" s="169">
        <f>SUM(G10*13/3)</f>
        <v>320.66666666666669</v>
      </c>
      <c r="I10" s="130">
        <f>SUM(H10*12)</f>
        <v>3848</v>
      </c>
      <c r="J10" s="168"/>
    </row>
    <row r="11" spans="1:15" ht="20.100000000000001" customHeight="1" thickBot="1">
      <c r="A11" s="1" t="s">
        <v>14</v>
      </c>
      <c r="B11" s="1"/>
      <c r="D11" s="2"/>
      <c r="E11" s="2"/>
    </row>
    <row r="12" spans="1:15" ht="18" customHeight="1" thickBot="1">
      <c r="A12" s="23" t="s">
        <v>15</v>
      </c>
      <c r="B12" s="24" t="s">
        <v>2</v>
      </c>
      <c r="C12" s="25" t="s">
        <v>3</v>
      </c>
      <c r="D12" s="25" t="s">
        <v>4</v>
      </c>
      <c r="E12" s="25" t="s">
        <v>5</v>
      </c>
      <c r="F12" s="25" t="s">
        <v>6</v>
      </c>
      <c r="G12" s="25" t="s">
        <v>7</v>
      </c>
      <c r="H12" s="26" t="s">
        <v>8</v>
      </c>
      <c r="I12" s="27" t="s">
        <v>9</v>
      </c>
      <c r="J12" s="28" t="s">
        <v>10</v>
      </c>
    </row>
    <row r="13" spans="1:15" ht="18" customHeight="1">
      <c r="A13" s="175" t="s">
        <v>28</v>
      </c>
      <c r="B13" s="5" t="s">
        <v>159</v>
      </c>
      <c r="C13" s="5" t="s">
        <v>159</v>
      </c>
      <c r="D13" s="5" t="s">
        <v>159</v>
      </c>
      <c r="E13" s="5" t="s">
        <v>159</v>
      </c>
      <c r="F13" s="5" t="s">
        <v>159</v>
      </c>
      <c r="G13" s="5" t="s">
        <v>160</v>
      </c>
      <c r="H13" s="5" t="s">
        <v>160</v>
      </c>
      <c r="I13" s="170"/>
      <c r="J13" s="176" t="s">
        <v>161</v>
      </c>
      <c r="M13" s="340"/>
      <c r="N13" s="341" t="s">
        <v>322</v>
      </c>
    </row>
    <row r="14" spans="1:15" ht="18" customHeight="1" thickBot="1">
      <c r="A14" s="342" t="s">
        <v>162</v>
      </c>
      <c r="B14" s="140">
        <v>8.25</v>
      </c>
      <c r="C14" s="140">
        <v>8.25</v>
      </c>
      <c r="D14" s="18">
        <v>8.25</v>
      </c>
      <c r="E14" s="18">
        <v>8.25</v>
      </c>
      <c r="F14" s="18">
        <v>8.25</v>
      </c>
      <c r="G14" s="18">
        <v>12.25</v>
      </c>
      <c r="H14" s="18">
        <v>12.25</v>
      </c>
      <c r="I14" s="343">
        <f>SUM(B14:H14)</f>
        <v>65.75</v>
      </c>
      <c r="J14" s="344" t="s">
        <v>163</v>
      </c>
      <c r="K14" s="179"/>
      <c r="M14" s="329"/>
      <c r="N14" s="345" t="s">
        <v>323</v>
      </c>
      <c r="O14" s="72"/>
    </row>
    <row r="15" spans="1:15" ht="18" customHeight="1">
      <c r="A15" s="175" t="s">
        <v>28</v>
      </c>
      <c r="B15" s="30" t="s">
        <v>167</v>
      </c>
      <c r="C15" s="30" t="s">
        <v>167</v>
      </c>
      <c r="D15" s="30" t="s">
        <v>167</v>
      </c>
      <c r="E15" s="30" t="s">
        <v>167</v>
      </c>
      <c r="F15" s="30" t="s">
        <v>167</v>
      </c>
      <c r="G15" s="170"/>
      <c r="H15" s="170"/>
      <c r="I15" s="346"/>
      <c r="J15" s="184" t="s">
        <v>168</v>
      </c>
      <c r="K15" s="72"/>
      <c r="M15" s="329" t="s">
        <v>324</v>
      </c>
      <c r="N15" s="345">
        <f>I14</f>
        <v>65.75</v>
      </c>
      <c r="O15" s="72"/>
    </row>
    <row r="16" spans="1:15" ht="18" customHeight="1" thickBot="1">
      <c r="A16" s="342" t="s">
        <v>169</v>
      </c>
      <c r="B16" s="140"/>
      <c r="C16" s="140"/>
      <c r="D16" s="140"/>
      <c r="E16" s="140"/>
      <c r="F16" s="140"/>
      <c r="G16" s="194"/>
      <c r="H16" s="194"/>
      <c r="I16" s="343">
        <f>SUM(B16:H16)</f>
        <v>0</v>
      </c>
      <c r="J16" s="344" t="s">
        <v>170</v>
      </c>
      <c r="K16" s="72"/>
      <c r="M16" s="329" t="s">
        <v>325</v>
      </c>
      <c r="N16" s="345">
        <f>I16</f>
        <v>0</v>
      </c>
      <c r="O16" s="72"/>
    </row>
    <row r="17" spans="1:17" ht="18" customHeight="1">
      <c r="A17" s="175" t="s">
        <v>28</v>
      </c>
      <c r="B17" s="5" t="s">
        <v>172</v>
      </c>
      <c r="C17" s="5" t="s">
        <v>172</v>
      </c>
      <c r="D17" s="5" t="s">
        <v>172</v>
      </c>
      <c r="E17" s="5" t="s">
        <v>172</v>
      </c>
      <c r="F17" s="5" t="s">
        <v>172</v>
      </c>
      <c r="G17" s="189"/>
      <c r="H17" s="189"/>
      <c r="I17" s="346"/>
      <c r="J17" s="184" t="s">
        <v>173</v>
      </c>
      <c r="K17" s="72"/>
      <c r="M17" s="329" t="s">
        <v>326</v>
      </c>
      <c r="N17" s="345">
        <v>0</v>
      </c>
      <c r="O17" s="72"/>
    </row>
    <row r="18" spans="1:17" ht="18" customHeight="1" thickBot="1">
      <c r="A18" s="347" t="s">
        <v>174</v>
      </c>
      <c r="B18" s="18">
        <v>8.25</v>
      </c>
      <c r="C18" s="18">
        <v>8.25</v>
      </c>
      <c r="D18" s="18">
        <v>8.25</v>
      </c>
      <c r="E18" s="18">
        <v>8.25</v>
      </c>
      <c r="F18" s="18">
        <v>8.25</v>
      </c>
      <c r="G18" s="140"/>
      <c r="H18" s="140"/>
      <c r="I18" s="343">
        <f>SUM(B18:H18)</f>
        <v>41.25</v>
      </c>
      <c r="J18" s="344" t="s">
        <v>176</v>
      </c>
      <c r="K18" s="144"/>
      <c r="M18" s="329" t="s">
        <v>236</v>
      </c>
      <c r="N18" s="345">
        <f>I20</f>
        <v>64.5</v>
      </c>
      <c r="O18" s="72"/>
    </row>
    <row r="19" spans="1:17" ht="18" customHeight="1">
      <c r="A19" s="348" t="s">
        <v>28</v>
      </c>
      <c r="B19" s="5" t="s">
        <v>177</v>
      </c>
      <c r="C19" s="5" t="s">
        <v>177</v>
      </c>
      <c r="D19" s="5" t="s">
        <v>177</v>
      </c>
      <c r="E19" s="5" t="s">
        <v>177</v>
      </c>
      <c r="F19" s="5" t="s">
        <v>177</v>
      </c>
      <c r="G19" s="189" t="s">
        <v>178</v>
      </c>
      <c r="H19" s="189" t="s">
        <v>178</v>
      </c>
      <c r="I19" s="346"/>
      <c r="J19" s="46"/>
      <c r="K19" s="72"/>
      <c r="M19" s="329" t="s">
        <v>327</v>
      </c>
      <c r="N19" s="345">
        <v>0</v>
      </c>
      <c r="O19" s="72"/>
    </row>
    <row r="20" spans="1:17" ht="18" customHeight="1" thickBot="1">
      <c r="A20" s="342" t="s">
        <v>179</v>
      </c>
      <c r="B20" s="140">
        <v>8</v>
      </c>
      <c r="C20" s="140">
        <v>8</v>
      </c>
      <c r="D20" s="140">
        <v>8</v>
      </c>
      <c r="E20" s="140">
        <v>8</v>
      </c>
      <c r="F20" s="140">
        <v>8</v>
      </c>
      <c r="G20" s="172">
        <v>12.25</v>
      </c>
      <c r="H20" s="172">
        <v>12.25</v>
      </c>
      <c r="I20" s="343">
        <f>SUM(B20:H20)</f>
        <v>64.5</v>
      </c>
      <c r="J20" s="49"/>
      <c r="K20" s="72"/>
      <c r="M20" s="329" t="s">
        <v>328</v>
      </c>
      <c r="N20" s="345">
        <f>I24</f>
        <v>36.25</v>
      </c>
      <c r="O20" s="72"/>
    </row>
    <row r="21" spans="1:17" ht="18" customHeight="1" thickBot="1">
      <c r="A21" s="175" t="s">
        <v>28</v>
      </c>
      <c r="B21" s="30" t="s">
        <v>167</v>
      </c>
      <c r="C21" s="30" t="s">
        <v>167</v>
      </c>
      <c r="D21" s="30" t="s">
        <v>167</v>
      </c>
      <c r="E21" s="30" t="s">
        <v>167</v>
      </c>
      <c r="F21" s="30" t="s">
        <v>167</v>
      </c>
      <c r="G21" s="192"/>
      <c r="H21" s="349"/>
      <c r="I21" s="346"/>
      <c r="J21" s="46"/>
      <c r="K21" s="72"/>
      <c r="M21" s="331" t="s">
        <v>329</v>
      </c>
      <c r="N21" s="350">
        <f>SUM(N15:N20)</f>
        <v>166.5</v>
      </c>
      <c r="O21" s="72"/>
    </row>
    <row r="22" spans="1:17" ht="18" customHeight="1" thickBot="1">
      <c r="A22" s="342" t="s">
        <v>182</v>
      </c>
      <c r="B22" s="124"/>
      <c r="C22" s="124"/>
      <c r="D22" s="124"/>
      <c r="E22" s="124"/>
      <c r="F22" s="124"/>
      <c r="G22" s="194"/>
      <c r="H22" s="351"/>
      <c r="I22" s="343">
        <f>SUM(B22:H22)</f>
        <v>0</v>
      </c>
      <c r="J22" s="49"/>
      <c r="K22" s="72"/>
    </row>
    <row r="23" spans="1:17" ht="18" customHeight="1">
      <c r="A23" s="175" t="s">
        <v>28</v>
      </c>
      <c r="B23" s="5" t="s">
        <v>330</v>
      </c>
      <c r="C23" s="5" t="s">
        <v>330</v>
      </c>
      <c r="D23" s="5" t="s">
        <v>330</v>
      </c>
      <c r="E23" s="5" t="s">
        <v>330</v>
      </c>
      <c r="F23" s="5" t="s">
        <v>330</v>
      </c>
      <c r="G23" s="170"/>
      <c r="H23" s="349"/>
      <c r="I23" s="346"/>
      <c r="J23" s="46" t="s">
        <v>331</v>
      </c>
      <c r="K23" s="72"/>
      <c r="M23" t="s">
        <v>332</v>
      </c>
      <c r="N23" t="s">
        <v>333</v>
      </c>
      <c r="P23">
        <v>222</v>
      </c>
      <c r="Q23" t="s">
        <v>334</v>
      </c>
    </row>
    <row r="24" spans="1:17" ht="18" customHeight="1" thickBot="1">
      <c r="A24" s="342" t="s">
        <v>335</v>
      </c>
      <c r="B24" s="140">
        <v>7.25</v>
      </c>
      <c r="C24" s="140">
        <v>7.25</v>
      </c>
      <c r="D24" s="140">
        <v>7.25</v>
      </c>
      <c r="E24" s="140">
        <v>7.25</v>
      </c>
      <c r="F24" s="140">
        <v>7.25</v>
      </c>
      <c r="G24" s="194"/>
      <c r="H24" s="352"/>
      <c r="I24" s="343">
        <f>SUM(B24:H24)</f>
        <v>36.25</v>
      </c>
      <c r="J24" s="49"/>
      <c r="K24" s="72"/>
      <c r="O24" t="s">
        <v>28</v>
      </c>
    </row>
    <row r="25" spans="1:17" ht="18" customHeight="1" thickBot="1">
      <c r="A25" s="58" t="s">
        <v>30</v>
      </c>
      <c r="B25" s="353">
        <f t="shared" ref="B25:I25" si="0">SUM(B14,B16,B18,B20,B22,B24)</f>
        <v>31.75</v>
      </c>
      <c r="C25" s="353">
        <f t="shared" si="0"/>
        <v>31.75</v>
      </c>
      <c r="D25" s="353">
        <f t="shared" si="0"/>
        <v>31.75</v>
      </c>
      <c r="E25" s="353">
        <f t="shared" si="0"/>
        <v>31.75</v>
      </c>
      <c r="F25" s="353">
        <f t="shared" si="0"/>
        <v>31.75</v>
      </c>
      <c r="G25" s="353">
        <f t="shared" si="0"/>
        <v>24.5</v>
      </c>
      <c r="H25" s="353">
        <f t="shared" si="0"/>
        <v>24.5</v>
      </c>
      <c r="I25" s="353">
        <f t="shared" si="0"/>
        <v>207.75</v>
      </c>
      <c r="J25" s="59"/>
      <c r="K25" s="72"/>
      <c r="M25" t="s">
        <v>336</v>
      </c>
      <c r="O25" s="354">
        <f>N21</f>
        <v>166.5</v>
      </c>
    </row>
    <row r="26" spans="1:17" ht="18" customHeight="1" thickTop="1" thickBot="1">
      <c r="A26" s="60" t="s">
        <v>31</v>
      </c>
      <c r="D26" s="2"/>
      <c r="E26" s="2"/>
    </row>
    <row r="27" spans="1:17" ht="18" customHeight="1" thickBot="1">
      <c r="A27" s="23" t="s">
        <v>32</v>
      </c>
      <c r="B27" s="24" t="s">
        <v>2</v>
      </c>
      <c r="C27" s="25" t="s">
        <v>3</v>
      </c>
      <c r="D27" s="25" t="s">
        <v>4</v>
      </c>
      <c r="E27" s="25" t="s">
        <v>5</v>
      </c>
      <c r="F27" s="25" t="s">
        <v>6</v>
      </c>
      <c r="G27" s="25" t="s">
        <v>7</v>
      </c>
      <c r="H27" s="26" t="s">
        <v>8</v>
      </c>
      <c r="I27" s="27" t="s">
        <v>9</v>
      </c>
      <c r="J27" s="28" t="s">
        <v>10</v>
      </c>
      <c r="M27">
        <f>O25</f>
        <v>166.5</v>
      </c>
      <c r="N27" t="s">
        <v>337</v>
      </c>
      <c r="P27" s="160">
        <f>SUM(N21/37)</f>
        <v>4.5</v>
      </c>
      <c r="Q27" t="s">
        <v>334</v>
      </c>
    </row>
    <row r="28" spans="1:17" ht="18" customHeight="1">
      <c r="A28" s="29"/>
      <c r="B28" s="31" t="s">
        <v>33</v>
      </c>
      <c r="C28" s="31" t="s">
        <v>33</v>
      </c>
      <c r="D28" s="31" t="s">
        <v>33</v>
      </c>
      <c r="E28" s="31" t="s">
        <v>33</v>
      </c>
      <c r="F28" s="31" t="s">
        <v>34</v>
      </c>
      <c r="G28" s="31"/>
      <c r="H28" s="31"/>
      <c r="I28" s="170"/>
      <c r="J28" s="32"/>
    </row>
    <row r="29" spans="1:17" ht="18" customHeight="1" thickBot="1">
      <c r="A29" s="33" t="s">
        <v>186</v>
      </c>
      <c r="B29" s="140">
        <v>7.75</v>
      </c>
      <c r="C29" s="140">
        <v>7.75</v>
      </c>
      <c r="D29" s="140">
        <v>7.75</v>
      </c>
      <c r="E29" s="140">
        <v>7.75</v>
      </c>
      <c r="F29" s="140">
        <v>6</v>
      </c>
      <c r="G29" s="140"/>
      <c r="H29" s="140"/>
      <c r="I29" s="140">
        <f>SUM(B29:H29)</f>
        <v>37</v>
      </c>
      <c r="J29" s="142"/>
      <c r="M29" s="160">
        <f>P27</f>
        <v>4.5</v>
      </c>
      <c r="N29" t="s">
        <v>338</v>
      </c>
      <c r="P29" s="160">
        <f>SUM(P27*3)</f>
        <v>13.5</v>
      </c>
      <c r="Q29" t="s">
        <v>334</v>
      </c>
    </row>
    <row r="30" spans="1:17" ht="18" customHeight="1">
      <c r="A30" s="29"/>
      <c r="B30" s="31" t="s">
        <v>33</v>
      </c>
      <c r="C30" s="31" t="s">
        <v>33</v>
      </c>
      <c r="D30" s="31" t="s">
        <v>33</v>
      </c>
      <c r="E30" s="31" t="s">
        <v>33</v>
      </c>
      <c r="F30" s="31" t="s">
        <v>34</v>
      </c>
      <c r="G30" s="31"/>
      <c r="H30" s="31"/>
      <c r="I30" s="170"/>
      <c r="J30" s="32"/>
      <c r="M30" s="160"/>
      <c r="P30" s="160"/>
    </row>
    <row r="31" spans="1:17" ht="18" customHeight="1" thickBot="1">
      <c r="A31" s="16" t="s">
        <v>187</v>
      </c>
      <c r="B31" s="140">
        <v>7.75</v>
      </c>
      <c r="C31" s="140">
        <v>7.75</v>
      </c>
      <c r="D31" s="140">
        <v>7.75</v>
      </c>
      <c r="E31" s="140">
        <v>7.75</v>
      </c>
      <c r="F31" s="140">
        <v>6</v>
      </c>
      <c r="G31" s="140"/>
      <c r="H31" s="140"/>
      <c r="I31" s="140">
        <f>SUM(B31:H31)</f>
        <v>37</v>
      </c>
      <c r="J31" s="142"/>
      <c r="M31" s="160"/>
      <c r="P31" s="160"/>
    </row>
    <row r="32" spans="1:17" ht="18" customHeight="1">
      <c r="A32" s="38"/>
      <c r="B32" s="11" t="s">
        <v>33</v>
      </c>
      <c r="C32" s="11" t="s">
        <v>33</v>
      </c>
      <c r="D32" s="11" t="s">
        <v>33</v>
      </c>
      <c r="E32" s="11" t="s">
        <v>33</v>
      </c>
      <c r="F32" s="11" t="s">
        <v>34</v>
      </c>
      <c r="G32" s="11"/>
      <c r="H32" s="39"/>
      <c r="I32" s="355"/>
      <c r="J32" s="40"/>
    </row>
    <row r="33" spans="1:25" ht="18" customHeight="1" thickBot="1">
      <c r="A33" s="16" t="s">
        <v>188</v>
      </c>
      <c r="B33" s="140">
        <v>7.75</v>
      </c>
      <c r="C33" s="140">
        <v>7.75</v>
      </c>
      <c r="D33" s="140">
        <v>7.75</v>
      </c>
      <c r="E33" s="140">
        <v>7.75</v>
      </c>
      <c r="F33" s="140">
        <v>6</v>
      </c>
      <c r="G33" s="18"/>
      <c r="H33" s="35"/>
      <c r="I33" s="343">
        <f>SUM(B33:H33)</f>
        <v>37</v>
      </c>
      <c r="J33" s="37"/>
      <c r="M33">
        <f>P23</f>
        <v>222</v>
      </c>
      <c r="N33" t="s">
        <v>339</v>
      </c>
      <c r="P33" s="356">
        <f>P29</f>
        <v>13.5</v>
      </c>
      <c r="Q33" t="s">
        <v>340</v>
      </c>
      <c r="R33" s="160">
        <f>SUM(M33-P33)</f>
        <v>208.5</v>
      </c>
      <c r="S33" t="s">
        <v>341</v>
      </c>
    </row>
    <row r="34" spans="1:25" ht="18" customHeight="1" thickBot="1">
      <c r="A34" s="58" t="s">
        <v>30</v>
      </c>
      <c r="B34" s="357">
        <f t="shared" ref="B34:I34" si="1">SUM(B29,B31,B33)</f>
        <v>23.25</v>
      </c>
      <c r="C34" s="357">
        <f t="shared" si="1"/>
        <v>23.25</v>
      </c>
      <c r="D34" s="357">
        <f t="shared" si="1"/>
        <v>23.25</v>
      </c>
      <c r="E34" s="357">
        <f t="shared" si="1"/>
        <v>23.25</v>
      </c>
      <c r="F34" s="357">
        <f t="shared" si="1"/>
        <v>18</v>
      </c>
      <c r="G34" s="357">
        <f t="shared" si="1"/>
        <v>0</v>
      </c>
      <c r="H34" s="357">
        <f t="shared" si="1"/>
        <v>0</v>
      </c>
      <c r="I34" s="357">
        <f t="shared" si="1"/>
        <v>111</v>
      </c>
      <c r="J34" s="71"/>
    </row>
    <row r="35" spans="1:25" ht="18" customHeight="1" thickTop="1" thickBot="1">
      <c r="A35" s="72"/>
      <c r="B35" s="72"/>
      <c r="C35" s="72"/>
      <c r="D35" s="72"/>
      <c r="E35" s="72"/>
      <c r="F35" s="72"/>
      <c r="G35" s="204" t="s">
        <v>152</v>
      </c>
      <c r="H35" s="204" t="s">
        <v>153</v>
      </c>
      <c r="I35" s="204" t="s">
        <v>154</v>
      </c>
      <c r="J35" s="73"/>
      <c r="M35">
        <f>I25</f>
        <v>207.75</v>
      </c>
      <c r="N35" t="s">
        <v>342</v>
      </c>
      <c r="O35" s="160">
        <f>R33</f>
        <v>208.5</v>
      </c>
      <c r="P35" s="358">
        <f>SUM(M35-O35)</f>
        <v>-0.75</v>
      </c>
    </row>
    <row r="36" spans="1:25" ht="18" customHeight="1">
      <c r="A36" s="72"/>
      <c r="B36" s="72"/>
      <c r="C36" s="72"/>
      <c r="D36" s="72"/>
      <c r="E36" s="72"/>
      <c r="F36" s="72"/>
      <c r="G36" s="130">
        <f>I25+I34</f>
        <v>318.75</v>
      </c>
      <c r="H36" s="169">
        <f>SUM(G36*13/3)</f>
        <v>1381.25</v>
      </c>
      <c r="I36" s="130">
        <f>SUM(H36*12)</f>
        <v>16575</v>
      </c>
      <c r="J36" s="73"/>
    </row>
    <row r="37" spans="1:25" ht="18" customHeight="1">
      <c r="A37" s="72"/>
      <c r="B37" s="72"/>
      <c r="C37" s="72"/>
      <c r="D37" s="72"/>
      <c r="E37" s="72"/>
      <c r="F37" s="72"/>
      <c r="G37" s="72"/>
      <c r="H37" s="174"/>
      <c r="I37" s="72"/>
      <c r="J37" s="73"/>
    </row>
    <row r="38" spans="1:25" ht="17.45" customHeight="1" thickBot="1">
      <c r="A38" s="1" t="s">
        <v>189</v>
      </c>
      <c r="B38" s="72"/>
      <c r="C38" s="72"/>
      <c r="D38" s="72"/>
      <c r="E38" s="72"/>
      <c r="F38" s="72"/>
    </row>
    <row r="39" spans="1:25" ht="17.45" customHeight="1" thickBot="1">
      <c r="A39" s="205" t="s">
        <v>190</v>
      </c>
      <c r="B39" s="24" t="s">
        <v>2</v>
      </c>
      <c r="C39" s="25" t="s">
        <v>3</v>
      </c>
      <c r="D39" s="25" t="s">
        <v>4</v>
      </c>
      <c r="E39" s="25" t="s">
        <v>5</v>
      </c>
      <c r="F39" s="25" t="s">
        <v>6</v>
      </c>
      <c r="G39" s="25" t="s">
        <v>7</v>
      </c>
      <c r="H39" s="206" t="s">
        <v>8</v>
      </c>
      <c r="I39" s="207" t="s">
        <v>9</v>
      </c>
      <c r="J39" s="208" t="s">
        <v>10</v>
      </c>
      <c r="K39" t="s">
        <v>28</v>
      </c>
      <c r="M39" s="359" t="s">
        <v>322</v>
      </c>
      <c r="N39" s="360"/>
      <c r="P39" s="361"/>
      <c r="Q39" s="361"/>
      <c r="R39" s="361"/>
      <c r="S39" t="s">
        <v>343</v>
      </c>
      <c r="V39" s="1" t="s">
        <v>28</v>
      </c>
    </row>
    <row r="40" spans="1:25" ht="17.45" customHeight="1">
      <c r="A40" s="362" t="s">
        <v>40</v>
      </c>
      <c r="B40" s="210" t="s">
        <v>191</v>
      </c>
      <c r="C40" s="210" t="s">
        <v>191</v>
      </c>
      <c r="D40" s="210" t="s">
        <v>191</v>
      </c>
      <c r="E40" s="210" t="s">
        <v>191</v>
      </c>
      <c r="F40" s="210" t="s">
        <v>191</v>
      </c>
      <c r="G40" s="211" t="s">
        <v>192</v>
      </c>
      <c r="H40" s="211" t="s">
        <v>192</v>
      </c>
      <c r="I40" s="207"/>
      <c r="J40" s="363" t="s">
        <v>40</v>
      </c>
      <c r="M40" s="364"/>
      <c r="N40" s="365" t="s">
        <v>344</v>
      </c>
      <c r="S40" s="366" t="s">
        <v>345</v>
      </c>
      <c r="T40" s="367"/>
      <c r="U40" s="368"/>
      <c r="V40" s="368"/>
      <c r="W40" s="361"/>
      <c r="Y40" s="72"/>
    </row>
    <row r="41" spans="1:25" ht="17.45" customHeight="1" thickBot="1">
      <c r="A41" s="95" t="s">
        <v>43</v>
      </c>
      <c r="B41" s="219">
        <v>8.25</v>
      </c>
      <c r="C41" s="219">
        <v>8.25</v>
      </c>
      <c r="D41" s="219">
        <v>8.25</v>
      </c>
      <c r="E41" s="219">
        <v>8.25</v>
      </c>
      <c r="F41" s="219">
        <v>8.25</v>
      </c>
      <c r="G41" s="220">
        <v>12.25</v>
      </c>
      <c r="H41" s="220">
        <v>12.25</v>
      </c>
      <c r="I41" s="17">
        <f>SUM(B41:H41)</f>
        <v>65.75</v>
      </c>
      <c r="J41" s="221" t="s">
        <v>196</v>
      </c>
      <c r="M41" s="329" t="s">
        <v>324</v>
      </c>
      <c r="N41" s="345">
        <f>I41</f>
        <v>65.75</v>
      </c>
      <c r="S41" s="369" t="s">
        <v>346</v>
      </c>
      <c r="T41" s="370"/>
      <c r="U41" s="370"/>
      <c r="V41" s="370"/>
      <c r="Y41" s="72"/>
    </row>
    <row r="42" spans="1:25" ht="17.45" customHeight="1">
      <c r="A42" s="209"/>
      <c r="B42" s="222" t="s">
        <v>197</v>
      </c>
      <c r="C42" s="222" t="s">
        <v>197</v>
      </c>
      <c r="D42" s="222" t="s">
        <v>197</v>
      </c>
      <c r="E42" s="222" t="s">
        <v>197</v>
      </c>
      <c r="F42" s="222" t="s">
        <v>197</v>
      </c>
      <c r="G42" s="223" t="s">
        <v>198</v>
      </c>
      <c r="H42" s="224" t="s">
        <v>198</v>
      </c>
      <c r="I42" s="207"/>
      <c r="J42" s="213"/>
      <c r="M42" s="329" t="s">
        <v>325</v>
      </c>
      <c r="N42" s="345">
        <f>I47</f>
        <v>0</v>
      </c>
      <c r="S42" s="371" t="s">
        <v>347</v>
      </c>
      <c r="T42" s="372"/>
      <c r="U42" s="372"/>
      <c r="V42" s="372"/>
      <c r="Y42" s="72"/>
    </row>
    <row r="43" spans="1:25" ht="17.45" customHeight="1" thickBot="1">
      <c r="A43" s="95" t="s">
        <v>201</v>
      </c>
      <c r="B43" s="91">
        <v>7</v>
      </c>
      <c r="C43" s="91">
        <v>7</v>
      </c>
      <c r="D43" s="91">
        <v>7</v>
      </c>
      <c r="E43" s="91">
        <v>7</v>
      </c>
      <c r="F43" s="91">
        <v>7</v>
      </c>
      <c r="G43" s="228">
        <v>11</v>
      </c>
      <c r="H43" s="229">
        <v>11</v>
      </c>
      <c r="I43" s="17">
        <f>SUM(B43:H43)</f>
        <v>57</v>
      </c>
      <c r="J43" s="221" t="s">
        <v>202</v>
      </c>
      <c r="K43" s="1" t="s">
        <v>28</v>
      </c>
      <c r="M43" s="329" t="s">
        <v>326</v>
      </c>
      <c r="N43" s="345">
        <f>I53</f>
        <v>58.5</v>
      </c>
      <c r="S43" s="373" t="s">
        <v>348</v>
      </c>
      <c r="T43" s="374"/>
      <c r="U43" s="374"/>
      <c r="V43" s="374"/>
      <c r="Y43" s="72"/>
    </row>
    <row r="44" spans="1:25" ht="17.45" customHeight="1">
      <c r="A44" s="209"/>
      <c r="B44" s="230" t="s">
        <v>203</v>
      </c>
      <c r="C44" s="230" t="s">
        <v>203</v>
      </c>
      <c r="D44" s="230" t="s">
        <v>203</v>
      </c>
      <c r="E44" s="230" t="s">
        <v>203</v>
      </c>
      <c r="F44" s="230" t="s">
        <v>203</v>
      </c>
      <c r="G44" s="224" t="s">
        <v>204</v>
      </c>
      <c r="H44" s="224" t="s">
        <v>204</v>
      </c>
      <c r="I44" s="207"/>
      <c r="J44" s="213"/>
      <c r="M44" s="329" t="s">
        <v>236</v>
      </c>
      <c r="N44" s="345">
        <f>I59</f>
        <v>0</v>
      </c>
      <c r="S44" s="375"/>
      <c r="T44" s="376"/>
      <c r="Y44" s="72"/>
    </row>
    <row r="45" spans="1:25" ht="17.45" customHeight="1" thickBot="1">
      <c r="A45" s="95" t="s">
        <v>207</v>
      </c>
      <c r="B45" s="233">
        <v>8</v>
      </c>
      <c r="C45" s="233">
        <v>8</v>
      </c>
      <c r="D45" s="233">
        <v>8</v>
      </c>
      <c r="E45" s="233">
        <v>8</v>
      </c>
      <c r="F45" s="233">
        <v>8</v>
      </c>
      <c r="G45" s="228">
        <v>12</v>
      </c>
      <c r="H45" s="228">
        <v>12</v>
      </c>
      <c r="I45" s="17">
        <f>SUM(B45:H45)</f>
        <v>64</v>
      </c>
      <c r="J45" s="221" t="s">
        <v>208</v>
      </c>
      <c r="M45" s="329" t="s">
        <v>327</v>
      </c>
      <c r="N45" s="345">
        <v>0</v>
      </c>
      <c r="Y45" s="72"/>
    </row>
    <row r="46" spans="1:25" ht="17.45" customHeight="1">
      <c r="A46" s="362" t="s">
        <v>52</v>
      </c>
      <c r="B46" s="30" t="s">
        <v>16</v>
      </c>
      <c r="C46" s="30" t="s">
        <v>16</v>
      </c>
      <c r="D46" s="30" t="s">
        <v>16</v>
      </c>
      <c r="E46" s="30" t="s">
        <v>16</v>
      </c>
      <c r="F46" s="30" t="s">
        <v>16</v>
      </c>
      <c r="G46" s="377"/>
      <c r="H46" s="378"/>
      <c r="I46" s="252"/>
      <c r="J46" s="363" t="s">
        <v>52</v>
      </c>
      <c r="M46" s="329" t="s">
        <v>328</v>
      </c>
      <c r="N46" s="345">
        <f>I43</f>
        <v>57</v>
      </c>
      <c r="S46" s="379" t="s">
        <v>349</v>
      </c>
      <c r="T46" s="380"/>
      <c r="U46" s="380"/>
      <c r="V46" s="380"/>
      <c r="Y46" s="72"/>
    </row>
    <row r="47" spans="1:25" ht="17.45" customHeight="1" thickBot="1">
      <c r="A47" s="95" t="s">
        <v>350</v>
      </c>
      <c r="B47" s="34"/>
      <c r="C47" s="34"/>
      <c r="D47" s="34"/>
      <c r="E47" s="34"/>
      <c r="F47" s="34"/>
      <c r="G47" s="18"/>
      <c r="H47" s="237"/>
      <c r="I47" s="17">
        <f>SUM(B47:H47)</f>
        <v>0</v>
      </c>
      <c r="J47" s="221" t="s">
        <v>210</v>
      </c>
      <c r="M47" s="329" t="s">
        <v>212</v>
      </c>
      <c r="N47" s="345">
        <f>I49</f>
        <v>0</v>
      </c>
      <c r="S47" s="1"/>
      <c r="Y47" s="72"/>
    </row>
    <row r="48" spans="1:25" ht="17.45" customHeight="1">
      <c r="A48" s="209"/>
      <c r="B48" s="30" t="s">
        <v>16</v>
      </c>
      <c r="C48" s="30" t="s">
        <v>16</v>
      </c>
      <c r="D48" s="30" t="s">
        <v>16</v>
      </c>
      <c r="E48" s="30" t="s">
        <v>16</v>
      </c>
      <c r="F48" s="30" t="s">
        <v>16</v>
      </c>
      <c r="G48" s="207"/>
      <c r="H48" s="238"/>
      <c r="I48" s="207"/>
      <c r="J48" s="213"/>
      <c r="M48" s="329" t="s">
        <v>230</v>
      </c>
      <c r="N48" s="345">
        <f>I55</f>
        <v>56</v>
      </c>
      <c r="S48" s="379" t="s">
        <v>351</v>
      </c>
      <c r="T48" s="380"/>
      <c r="U48" s="380"/>
      <c r="V48" s="380"/>
      <c r="Y48" s="72"/>
    </row>
    <row r="49" spans="1:32" ht="17.45" customHeight="1" thickBot="1">
      <c r="A49" s="95" t="s">
        <v>211</v>
      </c>
      <c r="B49" s="34"/>
      <c r="C49" s="34"/>
      <c r="D49" s="34"/>
      <c r="E49" s="34"/>
      <c r="F49" s="34"/>
      <c r="G49" s="138"/>
      <c r="H49" s="240"/>
      <c r="I49" s="17">
        <f>SUM(B49:H49)</f>
        <v>0</v>
      </c>
      <c r="J49" s="221" t="s">
        <v>212</v>
      </c>
      <c r="M49" s="329" t="s">
        <v>238</v>
      </c>
      <c r="N49" s="345">
        <f>I61</f>
        <v>0</v>
      </c>
      <c r="S49" s="1"/>
      <c r="Y49" s="72"/>
    </row>
    <row r="50" spans="1:32" ht="17.45" customHeight="1">
      <c r="A50" s="205"/>
      <c r="B50" s="30" t="s">
        <v>16</v>
      </c>
      <c r="C50" s="30" t="s">
        <v>16</v>
      </c>
      <c r="D50" s="30" t="s">
        <v>16</v>
      </c>
      <c r="E50" s="30" t="s">
        <v>16</v>
      </c>
      <c r="F50" s="30" t="s">
        <v>16</v>
      </c>
      <c r="G50" s="241" t="s">
        <v>213</v>
      </c>
      <c r="H50" s="242" t="s">
        <v>214</v>
      </c>
      <c r="I50" s="207"/>
      <c r="J50" s="243"/>
      <c r="M50" s="329" t="s">
        <v>352</v>
      </c>
      <c r="N50" s="345">
        <f>I67</f>
        <v>37.5</v>
      </c>
      <c r="S50" s="379" t="s">
        <v>353</v>
      </c>
      <c r="T50" s="380"/>
      <c r="U50" s="380"/>
      <c r="V50" s="380"/>
      <c r="Y50" s="72"/>
    </row>
    <row r="51" spans="1:32" ht="17.45" customHeight="1" thickBot="1">
      <c r="A51" s="95" t="s">
        <v>216</v>
      </c>
      <c r="B51" s="34"/>
      <c r="C51" s="34"/>
      <c r="D51" s="34"/>
      <c r="E51" s="34"/>
      <c r="F51" s="34"/>
      <c r="G51" s="246">
        <v>12.25</v>
      </c>
      <c r="H51" s="247">
        <v>12.25</v>
      </c>
      <c r="I51" s="17">
        <f>SUM(B51:H51)</f>
        <v>24.5</v>
      </c>
      <c r="J51" s="221" t="s">
        <v>217</v>
      </c>
      <c r="M51" s="329" t="s">
        <v>354</v>
      </c>
      <c r="N51" s="345">
        <f>I45</f>
        <v>64</v>
      </c>
      <c r="Y51" s="72"/>
    </row>
    <row r="52" spans="1:32" ht="17.45" customHeight="1">
      <c r="A52" s="362" t="s">
        <v>59</v>
      </c>
      <c r="B52" s="248" t="s">
        <v>218</v>
      </c>
      <c r="C52" s="248" t="s">
        <v>218</v>
      </c>
      <c r="D52" s="248" t="s">
        <v>218</v>
      </c>
      <c r="E52" s="248" t="s">
        <v>218</v>
      </c>
      <c r="F52" s="248" t="s">
        <v>219</v>
      </c>
      <c r="G52" s="241" t="s">
        <v>220</v>
      </c>
      <c r="H52" s="242" t="s">
        <v>220</v>
      </c>
      <c r="I52" s="207"/>
      <c r="J52" s="363" t="s">
        <v>59</v>
      </c>
      <c r="K52" s="1" t="s">
        <v>28</v>
      </c>
      <c r="M52" s="329" t="s">
        <v>355</v>
      </c>
      <c r="N52" s="345">
        <f>I51</f>
        <v>24.5</v>
      </c>
      <c r="S52" t="s">
        <v>356</v>
      </c>
      <c r="Y52" s="72"/>
    </row>
    <row r="53" spans="1:32" ht="17.45" customHeight="1" thickBot="1">
      <c r="A53" s="95" t="s">
        <v>61</v>
      </c>
      <c r="B53" s="250">
        <v>7</v>
      </c>
      <c r="C53" s="250">
        <v>7</v>
      </c>
      <c r="D53" s="250">
        <v>7</v>
      </c>
      <c r="E53" s="250">
        <v>7</v>
      </c>
      <c r="F53" s="250">
        <v>6.5</v>
      </c>
      <c r="G53" s="246">
        <v>12</v>
      </c>
      <c r="H53" s="247">
        <v>12</v>
      </c>
      <c r="I53" s="17">
        <f>SUM(B53:H53)</f>
        <v>58.5</v>
      </c>
      <c r="J53" s="221" t="s">
        <v>224</v>
      </c>
      <c r="M53" s="329" t="s">
        <v>234</v>
      </c>
      <c r="N53" s="345">
        <f>I57</f>
        <v>40</v>
      </c>
      <c r="S53" s="381" t="s">
        <v>357</v>
      </c>
      <c r="T53" s="382"/>
      <c r="U53" s="382"/>
      <c r="V53" s="382"/>
      <c r="Y53" s="72"/>
    </row>
    <row r="54" spans="1:32" ht="17.45" customHeight="1">
      <c r="A54" s="209"/>
      <c r="B54" s="251" t="s">
        <v>225</v>
      </c>
      <c r="C54" s="251" t="s">
        <v>225</v>
      </c>
      <c r="D54" s="251" t="s">
        <v>225</v>
      </c>
      <c r="E54" s="251" t="s">
        <v>225</v>
      </c>
      <c r="F54" s="251" t="s">
        <v>225</v>
      </c>
      <c r="G54" s="241" t="s">
        <v>226</v>
      </c>
      <c r="H54" s="242" t="s">
        <v>220</v>
      </c>
      <c r="I54" s="252"/>
      <c r="J54" s="213"/>
      <c r="M54" s="329" t="s">
        <v>358</v>
      </c>
      <c r="N54" s="345">
        <f>I63</f>
        <v>40</v>
      </c>
      <c r="S54" s="383" t="s">
        <v>359</v>
      </c>
      <c r="T54" s="384"/>
      <c r="U54" s="384"/>
      <c r="V54" s="384"/>
      <c r="Y54" s="72"/>
    </row>
    <row r="55" spans="1:32" ht="17.45" customHeight="1" thickBot="1">
      <c r="A55" s="146" t="s">
        <v>229</v>
      </c>
      <c r="B55" s="255">
        <v>7</v>
      </c>
      <c r="C55" s="255">
        <v>7</v>
      </c>
      <c r="D55" s="255">
        <v>7</v>
      </c>
      <c r="E55" s="255">
        <v>7</v>
      </c>
      <c r="F55" s="255">
        <v>7</v>
      </c>
      <c r="G55" s="256">
        <v>9</v>
      </c>
      <c r="H55" s="247">
        <v>12</v>
      </c>
      <c r="I55" s="17">
        <f>SUM(B55:H55)</f>
        <v>56</v>
      </c>
      <c r="J55" s="221" t="s">
        <v>230</v>
      </c>
      <c r="M55" s="329" t="s">
        <v>360</v>
      </c>
      <c r="N55" s="345">
        <v>0</v>
      </c>
      <c r="S55" s="385" t="s">
        <v>361</v>
      </c>
      <c r="T55" s="386"/>
      <c r="U55" s="387"/>
      <c r="V55" s="387"/>
      <c r="Y55" s="72"/>
    </row>
    <row r="56" spans="1:32" ht="17.45" customHeight="1" thickBot="1">
      <c r="A56" s="209"/>
      <c r="B56" s="257" t="s">
        <v>231</v>
      </c>
      <c r="C56" s="257" t="s">
        <v>231</v>
      </c>
      <c r="D56" s="257" t="s">
        <v>231</v>
      </c>
      <c r="E56" s="257" t="s">
        <v>231</v>
      </c>
      <c r="F56" s="257" t="s">
        <v>231</v>
      </c>
      <c r="G56" s="377"/>
      <c r="H56" s="378"/>
      <c r="I56" s="207"/>
      <c r="J56" s="213"/>
      <c r="M56" s="331" t="s">
        <v>329</v>
      </c>
      <c r="N56" s="350">
        <f>SUM(N41:N55)</f>
        <v>443.25</v>
      </c>
      <c r="S56" s="388" t="s">
        <v>362</v>
      </c>
      <c r="T56" s="389"/>
      <c r="U56" s="389"/>
      <c r="V56" s="389"/>
      <c r="Y56" s="72"/>
    </row>
    <row r="57" spans="1:32" ht="17.45" customHeight="1" thickBot="1">
      <c r="A57" s="95" t="s">
        <v>233</v>
      </c>
      <c r="B57" s="262">
        <v>8</v>
      </c>
      <c r="C57" s="262">
        <v>8</v>
      </c>
      <c r="D57" s="262">
        <v>8</v>
      </c>
      <c r="E57" s="262">
        <v>8</v>
      </c>
      <c r="F57" s="262">
        <v>8</v>
      </c>
      <c r="G57" s="125"/>
      <c r="H57" s="390"/>
      <c r="I57" s="17">
        <f>SUM(B57:H57)</f>
        <v>40</v>
      </c>
      <c r="J57" s="221" t="s">
        <v>234</v>
      </c>
      <c r="N57" s="72"/>
      <c r="S57" s="375"/>
      <c r="T57" s="376"/>
      <c r="Y57" s="72"/>
      <c r="AE57" s="274"/>
      <c r="AF57" s="274"/>
    </row>
    <row r="58" spans="1:32" ht="17.45" customHeight="1">
      <c r="A58" s="362" t="s">
        <v>64</v>
      </c>
      <c r="B58" s="30" t="s">
        <v>16</v>
      </c>
      <c r="C58" s="30" t="s">
        <v>16</v>
      </c>
      <c r="D58" s="30" t="s">
        <v>16</v>
      </c>
      <c r="E58" s="30" t="s">
        <v>16</v>
      </c>
      <c r="F58" s="30" t="s">
        <v>16</v>
      </c>
      <c r="G58" s="377"/>
      <c r="H58" s="378"/>
      <c r="I58" s="207"/>
      <c r="J58" s="363" t="s">
        <v>64</v>
      </c>
      <c r="M58" t="s">
        <v>332</v>
      </c>
      <c r="N58" t="s">
        <v>363</v>
      </c>
      <c r="P58">
        <v>555</v>
      </c>
      <c r="Q58" t="s">
        <v>334</v>
      </c>
      <c r="S58" t="s">
        <v>364</v>
      </c>
      <c r="AE58" s="72"/>
      <c r="AF58" s="72"/>
    </row>
    <row r="59" spans="1:32" ht="17.45" customHeight="1" thickBot="1">
      <c r="A59" s="146" t="s">
        <v>235</v>
      </c>
      <c r="B59" s="133"/>
      <c r="C59" s="133"/>
      <c r="D59" s="133"/>
      <c r="E59" s="133"/>
      <c r="F59" s="133"/>
      <c r="G59" s="125"/>
      <c r="H59" s="390"/>
      <c r="I59" s="124">
        <f>SUM(B59:H59)</f>
        <v>0</v>
      </c>
      <c r="J59" s="221" t="s">
        <v>236</v>
      </c>
      <c r="O59" t="s">
        <v>28</v>
      </c>
      <c r="S59" s="391" t="s">
        <v>365</v>
      </c>
      <c r="T59" s="392"/>
    </row>
    <row r="60" spans="1:32" ht="17.45" customHeight="1">
      <c r="A60" s="209"/>
      <c r="B60" s="30" t="s">
        <v>16</v>
      </c>
      <c r="C60" s="30" t="s">
        <v>16</v>
      </c>
      <c r="D60" s="30" t="s">
        <v>16</v>
      </c>
      <c r="E60" s="30" t="s">
        <v>16</v>
      </c>
      <c r="F60" s="30" t="s">
        <v>16</v>
      </c>
      <c r="G60" s="207"/>
      <c r="H60" s="238"/>
      <c r="I60" s="207"/>
      <c r="J60" s="213"/>
      <c r="M60" t="s">
        <v>336</v>
      </c>
      <c r="O60" s="354">
        <f>N56</f>
        <v>443.25</v>
      </c>
      <c r="S60" s="393" t="s">
        <v>366</v>
      </c>
      <c r="T60" s="394"/>
    </row>
    <row r="61" spans="1:32" ht="17.45" customHeight="1" thickBot="1">
      <c r="A61" s="111" t="s">
        <v>367</v>
      </c>
      <c r="B61" s="133"/>
      <c r="C61" s="133"/>
      <c r="D61" s="34"/>
      <c r="E61" s="34"/>
      <c r="F61" s="34"/>
      <c r="G61" s="227"/>
      <c r="H61" s="239"/>
      <c r="I61" s="124">
        <f>SUM(B61:H61)</f>
        <v>0</v>
      </c>
      <c r="J61" s="279" t="s">
        <v>238</v>
      </c>
      <c r="S61" s="395" t="s">
        <v>368</v>
      </c>
      <c r="T61" s="396"/>
      <c r="AE61" s="127"/>
      <c r="AF61" s="127"/>
    </row>
    <row r="62" spans="1:32" ht="17.45" customHeight="1">
      <c r="A62" s="209" t="s">
        <v>28</v>
      </c>
      <c r="B62" s="265" t="s">
        <v>239</v>
      </c>
      <c r="C62" s="265" t="s">
        <v>239</v>
      </c>
      <c r="D62" s="265" t="s">
        <v>239</v>
      </c>
      <c r="E62" s="265" t="s">
        <v>239</v>
      </c>
      <c r="F62" s="265" t="s">
        <v>239</v>
      </c>
      <c r="G62" s="266"/>
      <c r="H62" s="238"/>
      <c r="I62" s="207"/>
      <c r="J62" s="213" t="s">
        <v>28</v>
      </c>
      <c r="M62">
        <f>O60</f>
        <v>443.25</v>
      </c>
      <c r="N62" t="s">
        <v>337</v>
      </c>
      <c r="P62" s="160">
        <f>SUM(M62/37)</f>
        <v>11.97972972972973</v>
      </c>
      <c r="Q62" t="s">
        <v>334</v>
      </c>
      <c r="AE62" s="139"/>
      <c r="AF62" s="139"/>
    </row>
    <row r="63" spans="1:32" ht="17.45" customHeight="1" thickBot="1">
      <c r="A63" s="146" t="s">
        <v>241</v>
      </c>
      <c r="B63" s="397">
        <v>8</v>
      </c>
      <c r="C63" s="397">
        <v>8</v>
      </c>
      <c r="D63" s="397">
        <v>8</v>
      </c>
      <c r="E63" s="397">
        <v>8</v>
      </c>
      <c r="F63" s="397">
        <v>8</v>
      </c>
      <c r="G63" s="227"/>
      <c r="H63" s="239"/>
      <c r="I63" s="124">
        <f>SUM(B63:H63)</f>
        <v>40</v>
      </c>
      <c r="J63" s="221" t="s">
        <v>242</v>
      </c>
      <c r="S63" s="398" t="s">
        <v>369</v>
      </c>
      <c r="T63" s="399"/>
      <c r="U63" s="400"/>
    </row>
    <row r="64" spans="1:32" ht="17.45" customHeight="1">
      <c r="A64" s="362" t="s">
        <v>70</v>
      </c>
      <c r="B64" s="270" t="s">
        <v>243</v>
      </c>
      <c r="C64" s="270" t="s">
        <v>243</v>
      </c>
      <c r="D64" s="270" t="s">
        <v>243</v>
      </c>
      <c r="E64" s="270" t="s">
        <v>243</v>
      </c>
      <c r="F64" s="270" t="s">
        <v>243</v>
      </c>
      <c r="G64" s="24"/>
      <c r="H64" s="258"/>
      <c r="I64" s="207"/>
      <c r="J64" s="363" t="s">
        <v>70</v>
      </c>
      <c r="M64" s="160">
        <f>P62</f>
        <v>11.97972972972973</v>
      </c>
      <c r="N64" t="s">
        <v>338</v>
      </c>
      <c r="P64" s="160">
        <f>SUM(P62*3)</f>
        <v>35.939189189189193</v>
      </c>
      <c r="Q64" t="s">
        <v>334</v>
      </c>
    </row>
    <row r="65" spans="1:31" ht="17.45" customHeight="1" thickBot="1">
      <c r="A65" s="146" t="s">
        <v>71</v>
      </c>
      <c r="B65" s="275">
        <v>7</v>
      </c>
      <c r="C65" s="275">
        <v>7</v>
      </c>
      <c r="D65" s="275">
        <v>7</v>
      </c>
      <c r="E65" s="275">
        <v>7</v>
      </c>
      <c r="F65" s="275">
        <v>7</v>
      </c>
      <c r="G65" s="124"/>
      <c r="H65" s="401"/>
      <c r="I65" s="124">
        <f>SUM(B65:H65)</f>
        <v>35</v>
      </c>
      <c r="J65" s="245" t="s">
        <v>245</v>
      </c>
      <c r="S65" s="398" t="s">
        <v>370</v>
      </c>
      <c r="T65" s="399"/>
      <c r="U65" s="400"/>
    </row>
    <row r="66" spans="1:31" ht="17.45" customHeight="1">
      <c r="A66" s="209"/>
      <c r="B66" s="276" t="s">
        <v>246</v>
      </c>
      <c r="C66" s="276" t="s">
        <v>246</v>
      </c>
      <c r="D66" s="276" t="s">
        <v>246</v>
      </c>
      <c r="E66" s="276" t="s">
        <v>246</v>
      </c>
      <c r="F66" s="276" t="s">
        <v>246</v>
      </c>
      <c r="G66" s="24"/>
      <c r="H66" s="258"/>
      <c r="I66" s="212"/>
      <c r="J66" s="213"/>
      <c r="M66">
        <f>P58</f>
        <v>555</v>
      </c>
      <c r="N66" t="s">
        <v>339</v>
      </c>
      <c r="P66" s="356">
        <f>P64</f>
        <v>35.939189189189193</v>
      </c>
      <c r="Q66" t="s">
        <v>340</v>
      </c>
      <c r="R66" s="402">
        <f>SUM(M66-P66)</f>
        <v>519.06081081081084</v>
      </c>
    </row>
    <row r="67" spans="1:31" ht="17.45" customHeight="1" thickBot="1">
      <c r="A67" s="115" t="s">
        <v>72</v>
      </c>
      <c r="B67" s="278">
        <v>7.5</v>
      </c>
      <c r="C67" s="278">
        <v>7.5</v>
      </c>
      <c r="D67" s="278">
        <v>7.5</v>
      </c>
      <c r="E67" s="278">
        <v>7.5</v>
      </c>
      <c r="F67" s="278">
        <v>7.5</v>
      </c>
      <c r="G67" s="17"/>
      <c r="H67" s="263"/>
      <c r="I67" s="285">
        <f>SUM(B67:H67)</f>
        <v>37.5</v>
      </c>
      <c r="J67" s="279" t="s">
        <v>248</v>
      </c>
      <c r="S67" s="403" t="s">
        <v>371</v>
      </c>
      <c r="T67" s="404"/>
      <c r="U67" s="405"/>
      <c r="AE67" s="127"/>
    </row>
    <row r="68" spans="1:31" ht="17.45" customHeight="1" thickBot="1">
      <c r="A68" s="209"/>
      <c r="B68" s="280" t="s">
        <v>249</v>
      </c>
      <c r="C68" s="281" t="s">
        <v>249</v>
      </c>
      <c r="D68" s="281" t="s">
        <v>249</v>
      </c>
      <c r="E68" s="281" t="s">
        <v>249</v>
      </c>
      <c r="F68" s="281" t="s">
        <v>249</v>
      </c>
      <c r="G68" s="24"/>
      <c r="H68" s="258"/>
      <c r="I68" s="236"/>
      <c r="J68" s="213"/>
      <c r="M68" s="160">
        <f>I70</f>
        <v>518.25</v>
      </c>
      <c r="N68" t="s">
        <v>342</v>
      </c>
      <c r="O68" s="356">
        <f>R66</f>
        <v>519.06081081081084</v>
      </c>
      <c r="P68" s="358">
        <f>SUM(M68-O68)</f>
        <v>-0.81081081081083539</v>
      </c>
      <c r="S68" s="375"/>
      <c r="T68" s="376"/>
      <c r="AE68" s="139"/>
    </row>
    <row r="69" spans="1:31" ht="17.45" customHeight="1" thickBot="1">
      <c r="A69" s="95" t="s">
        <v>73</v>
      </c>
      <c r="B69" s="284">
        <v>8</v>
      </c>
      <c r="C69" s="284">
        <v>8</v>
      </c>
      <c r="D69" s="284">
        <v>8</v>
      </c>
      <c r="E69" s="284">
        <v>8</v>
      </c>
      <c r="F69" s="284">
        <v>8</v>
      </c>
      <c r="G69" s="17"/>
      <c r="H69" s="17"/>
      <c r="I69" s="285">
        <f>SUM(B69:H69)</f>
        <v>40</v>
      </c>
      <c r="J69" s="221" t="s">
        <v>251</v>
      </c>
    </row>
    <row r="70" spans="1:31" ht="17.45" customHeight="1" thickBot="1">
      <c r="A70" s="196" t="s">
        <v>30</v>
      </c>
      <c r="B70" s="286">
        <f t="shared" ref="B70:I70" si="2">SUM(B41,B43,B45,B47,B49,B51,B53,B55,B57,B59,B61,B63,B65,B67,B69)</f>
        <v>75.75</v>
      </c>
      <c r="C70" s="286">
        <f t="shared" si="2"/>
        <v>75.75</v>
      </c>
      <c r="D70" s="286">
        <f t="shared" si="2"/>
        <v>75.75</v>
      </c>
      <c r="E70" s="286">
        <f t="shared" si="2"/>
        <v>75.75</v>
      </c>
      <c r="F70" s="286">
        <f t="shared" si="2"/>
        <v>75.25</v>
      </c>
      <c r="G70" s="286">
        <f t="shared" si="2"/>
        <v>68.5</v>
      </c>
      <c r="H70" s="286">
        <f t="shared" si="2"/>
        <v>71.5</v>
      </c>
      <c r="I70" s="286">
        <f t="shared" si="2"/>
        <v>518.25</v>
      </c>
      <c r="J70" s="198"/>
    </row>
    <row r="71" spans="1:31" ht="17.45" customHeight="1" thickTop="1">
      <c r="A71" s="72"/>
      <c r="B71" s="72"/>
      <c r="C71" s="72"/>
      <c r="D71" s="72"/>
      <c r="E71" s="72"/>
      <c r="F71" s="72"/>
      <c r="G71" s="204" t="s">
        <v>152</v>
      </c>
      <c r="H71" s="204" t="s">
        <v>153</v>
      </c>
      <c r="I71" s="204" t="s">
        <v>154</v>
      </c>
      <c r="M71" s="274"/>
      <c r="N71" s="274"/>
      <c r="O71" s="274"/>
      <c r="P71" s="274"/>
      <c r="Q71" s="274"/>
      <c r="R71" s="274"/>
    </row>
    <row r="72" spans="1:31" ht="17.45" customHeight="1">
      <c r="A72" s="72"/>
      <c r="B72" s="127"/>
      <c r="C72" s="127"/>
      <c r="D72" s="127"/>
      <c r="E72" s="127"/>
      <c r="F72" s="127"/>
      <c r="G72" s="130">
        <f>I70</f>
        <v>518.25</v>
      </c>
      <c r="H72" s="169">
        <f>SUM(G72*13/3)</f>
        <v>2245.75</v>
      </c>
      <c r="I72" s="130">
        <f>SUM(H72*12)</f>
        <v>26949</v>
      </c>
      <c r="M72" s="72"/>
      <c r="N72" s="72"/>
      <c r="O72" s="72"/>
      <c r="P72" s="72"/>
      <c r="Q72" s="72"/>
      <c r="R72" s="72"/>
    </row>
    <row r="73" spans="1:31" ht="17.45" customHeight="1">
      <c r="A73" s="72"/>
      <c r="B73" s="139"/>
      <c r="C73" s="139"/>
      <c r="D73" s="139"/>
      <c r="E73" s="139"/>
      <c r="F73" s="139"/>
      <c r="G73" s="72"/>
      <c r="H73" s="174"/>
      <c r="I73" s="72"/>
      <c r="N73" s="72"/>
      <c r="O73" s="72"/>
      <c r="P73" s="72"/>
      <c r="Q73" s="72"/>
      <c r="R73" s="72"/>
    </row>
    <row r="74" spans="1:31" ht="17.45" customHeight="1">
      <c r="A74" s="72"/>
      <c r="B74" s="72"/>
      <c r="C74" s="72"/>
      <c r="D74" s="72"/>
      <c r="E74" s="72"/>
      <c r="F74" s="72"/>
      <c r="G74" s="72"/>
      <c r="H74" s="174"/>
      <c r="I74" s="72"/>
      <c r="N74" s="72"/>
      <c r="O74" s="72"/>
      <c r="P74" s="72"/>
      <c r="Q74" s="72"/>
      <c r="R74" s="72"/>
    </row>
    <row r="75" spans="1:31" ht="17.100000000000001" customHeight="1" thickBot="1">
      <c r="A75" s="1" t="s">
        <v>372</v>
      </c>
      <c r="B75" s="72"/>
      <c r="C75" s="72"/>
      <c r="D75" s="72"/>
      <c r="E75" s="72"/>
      <c r="F75" s="72"/>
      <c r="N75" s="72"/>
      <c r="O75" s="72"/>
      <c r="P75" s="72"/>
      <c r="Q75" s="72"/>
      <c r="R75" s="72"/>
    </row>
    <row r="76" spans="1:31" ht="17.100000000000001" customHeight="1" thickBot="1">
      <c r="A76" s="205" t="s">
        <v>190</v>
      </c>
      <c r="B76" s="24" t="s">
        <v>2</v>
      </c>
      <c r="C76" s="25" t="s">
        <v>3</v>
      </c>
      <c r="D76" s="25" t="s">
        <v>4</v>
      </c>
      <c r="E76" s="25" t="s">
        <v>5</v>
      </c>
      <c r="F76" s="25" t="s">
        <v>6</v>
      </c>
      <c r="G76" s="25" t="s">
        <v>7</v>
      </c>
      <c r="H76" s="206" t="s">
        <v>8</v>
      </c>
      <c r="I76" s="207" t="s">
        <v>9</v>
      </c>
      <c r="J76" s="208" t="s">
        <v>10</v>
      </c>
      <c r="N76" s="72"/>
      <c r="O76" s="72"/>
      <c r="P76" s="72"/>
      <c r="Q76" s="72"/>
      <c r="R76" s="72"/>
    </row>
    <row r="77" spans="1:31" ht="17.100000000000001" customHeight="1">
      <c r="A77" s="209"/>
      <c r="B77" s="210" t="s">
        <v>191</v>
      </c>
      <c r="C77" s="210" t="s">
        <v>191</v>
      </c>
      <c r="D77" s="210" t="s">
        <v>191</v>
      </c>
      <c r="E77" s="210" t="s">
        <v>191</v>
      </c>
      <c r="F77" s="210" t="s">
        <v>191</v>
      </c>
      <c r="G77" s="211" t="s">
        <v>192</v>
      </c>
      <c r="H77" s="211" t="s">
        <v>192</v>
      </c>
      <c r="I77" s="212"/>
      <c r="J77" s="213"/>
      <c r="N77" s="72"/>
      <c r="O77" s="72"/>
      <c r="P77" s="72"/>
      <c r="Q77" s="72"/>
      <c r="R77" s="72"/>
    </row>
    <row r="78" spans="1:31" ht="17.100000000000001" customHeight="1" thickBot="1">
      <c r="A78" s="95" t="s">
        <v>43</v>
      </c>
      <c r="B78" s="219">
        <v>8.25</v>
      </c>
      <c r="C78" s="219">
        <v>8.25</v>
      </c>
      <c r="D78" s="219">
        <v>8.25</v>
      </c>
      <c r="E78" s="219">
        <v>8.25</v>
      </c>
      <c r="F78" s="219">
        <v>8.25</v>
      </c>
      <c r="G78" s="220">
        <v>12.25</v>
      </c>
      <c r="H78" s="220">
        <v>12.25</v>
      </c>
      <c r="I78" s="17">
        <f>SUM(B78:H78)</f>
        <v>65.75</v>
      </c>
      <c r="J78" s="221" t="s">
        <v>196</v>
      </c>
      <c r="N78" s="72"/>
      <c r="O78" s="72"/>
      <c r="P78" s="72"/>
      <c r="Q78" s="72"/>
      <c r="R78" s="72"/>
    </row>
    <row r="79" spans="1:31" ht="17.100000000000001" customHeight="1">
      <c r="A79" s="209"/>
      <c r="B79" s="30" t="s">
        <v>16</v>
      </c>
      <c r="C79" s="30" t="s">
        <v>16</v>
      </c>
      <c r="D79" s="30" t="s">
        <v>16</v>
      </c>
      <c r="E79" s="30" t="s">
        <v>16</v>
      </c>
      <c r="F79" s="30" t="s">
        <v>16</v>
      </c>
      <c r="G79" s="234"/>
      <c r="H79" s="235"/>
      <c r="I79" s="236"/>
      <c r="J79" s="213"/>
      <c r="L79" s="127"/>
      <c r="M79" s="127"/>
      <c r="N79" s="127"/>
      <c r="O79" s="72"/>
      <c r="P79" s="72"/>
      <c r="Q79" s="72"/>
      <c r="R79" s="72"/>
    </row>
    <row r="80" spans="1:31" ht="17.100000000000001" customHeight="1" thickBot="1">
      <c r="A80" s="95" t="s">
        <v>373</v>
      </c>
      <c r="B80" s="34"/>
      <c r="C80" s="34"/>
      <c r="D80" s="34"/>
      <c r="E80" s="34"/>
      <c r="F80" s="34"/>
      <c r="G80" s="18"/>
      <c r="H80" s="237"/>
      <c r="I80" s="17">
        <f>SUM(B80:H80)</f>
        <v>0</v>
      </c>
      <c r="J80" s="221" t="s">
        <v>210</v>
      </c>
      <c r="L80" s="139"/>
      <c r="M80" s="139"/>
      <c r="N80" s="139"/>
      <c r="O80" s="72"/>
      <c r="P80" s="72"/>
      <c r="Q80" s="72"/>
      <c r="R80" s="72"/>
    </row>
    <row r="81" spans="1:18" ht="17.100000000000001" customHeight="1">
      <c r="A81" s="209"/>
      <c r="B81" s="248" t="s">
        <v>218</v>
      </c>
      <c r="C81" s="248" t="s">
        <v>218</v>
      </c>
      <c r="D81" s="248" t="s">
        <v>218</v>
      </c>
      <c r="E81" s="248" t="s">
        <v>218</v>
      </c>
      <c r="F81" s="248" t="s">
        <v>219</v>
      </c>
      <c r="G81" s="241" t="s">
        <v>220</v>
      </c>
      <c r="H81" s="242" t="s">
        <v>220</v>
      </c>
      <c r="I81" s="207"/>
      <c r="J81" s="213"/>
      <c r="N81" s="72"/>
      <c r="O81" s="72"/>
      <c r="P81" s="72"/>
      <c r="Q81" s="72"/>
      <c r="R81" s="72"/>
    </row>
    <row r="82" spans="1:18" ht="17.100000000000001" customHeight="1" thickBot="1">
      <c r="A82" s="95" t="s">
        <v>61</v>
      </c>
      <c r="B82" s="250">
        <v>7</v>
      </c>
      <c r="C82" s="250">
        <v>7</v>
      </c>
      <c r="D82" s="250">
        <v>7</v>
      </c>
      <c r="E82" s="250">
        <v>7</v>
      </c>
      <c r="F82" s="250">
        <v>6.5</v>
      </c>
      <c r="G82" s="246">
        <v>12</v>
      </c>
      <c r="H82" s="247">
        <v>12</v>
      </c>
      <c r="I82" s="17">
        <f>SUM(B82:H82)</f>
        <v>58.5</v>
      </c>
      <c r="J82" s="221" t="s">
        <v>224</v>
      </c>
      <c r="N82" s="72"/>
      <c r="O82" s="72"/>
      <c r="P82" s="72"/>
      <c r="Q82" s="72"/>
      <c r="R82" s="72"/>
    </row>
    <row r="83" spans="1:18" ht="17.100000000000001" customHeight="1">
      <c r="A83" s="209"/>
      <c r="B83" s="30" t="s">
        <v>16</v>
      </c>
      <c r="C83" s="30" t="s">
        <v>16</v>
      </c>
      <c r="D83" s="30" t="s">
        <v>16</v>
      </c>
      <c r="E83" s="30" t="s">
        <v>16</v>
      </c>
      <c r="F83" s="30" t="s">
        <v>16</v>
      </c>
      <c r="G83" s="234"/>
      <c r="H83" s="235"/>
      <c r="I83" s="212"/>
      <c r="J83" s="213"/>
      <c r="N83" s="72"/>
      <c r="O83" s="72"/>
      <c r="P83" s="72"/>
      <c r="Q83" s="72"/>
      <c r="R83" s="72"/>
    </row>
    <row r="84" spans="1:18" ht="17.100000000000001" customHeight="1" thickBot="1">
      <c r="A84" s="95" t="s">
        <v>235</v>
      </c>
      <c r="B84" s="133"/>
      <c r="C84" s="133"/>
      <c r="D84" s="133"/>
      <c r="E84" s="133"/>
      <c r="F84" s="133"/>
      <c r="G84" s="18"/>
      <c r="H84" s="237"/>
      <c r="I84" s="17">
        <f>SUM(B84:H84)</f>
        <v>0</v>
      </c>
      <c r="J84" s="221" t="s">
        <v>236</v>
      </c>
      <c r="N84" s="72"/>
      <c r="O84" s="72"/>
      <c r="P84" s="72"/>
      <c r="Q84" s="72"/>
      <c r="R84" s="72"/>
    </row>
    <row r="85" spans="1:18" ht="17.100000000000001" customHeight="1">
      <c r="A85" s="209"/>
      <c r="B85" s="270" t="s">
        <v>243</v>
      </c>
      <c r="C85" s="270" t="s">
        <v>243</v>
      </c>
      <c r="D85" s="270" t="s">
        <v>243</v>
      </c>
      <c r="E85" s="270" t="s">
        <v>243</v>
      </c>
      <c r="F85" s="270" t="s">
        <v>243</v>
      </c>
      <c r="G85" s="271"/>
      <c r="H85" s="272"/>
      <c r="I85" s="212"/>
      <c r="J85" s="213"/>
      <c r="N85" s="72"/>
      <c r="O85" s="72"/>
      <c r="P85" s="72"/>
      <c r="Q85" s="72"/>
      <c r="R85" s="72"/>
    </row>
    <row r="86" spans="1:18" ht="17.100000000000001" customHeight="1" thickBot="1">
      <c r="A86" s="95" t="s">
        <v>71</v>
      </c>
      <c r="B86" s="275">
        <v>7</v>
      </c>
      <c r="C86" s="275">
        <v>7</v>
      </c>
      <c r="D86" s="275">
        <v>7</v>
      </c>
      <c r="E86" s="275">
        <v>7</v>
      </c>
      <c r="F86" s="275">
        <v>7</v>
      </c>
      <c r="G86" s="17"/>
      <c r="H86" s="263"/>
      <c r="I86" s="17">
        <f>SUM(B86:H86)</f>
        <v>35</v>
      </c>
      <c r="J86" s="221" t="s">
        <v>245</v>
      </c>
      <c r="N86" s="72"/>
      <c r="O86" s="72"/>
      <c r="P86" s="72"/>
      <c r="Q86" s="72"/>
      <c r="R86" s="72"/>
    </row>
    <row r="87" spans="1:18" ht="17.100000000000001" customHeight="1">
      <c r="A87" s="209"/>
      <c r="B87" s="222" t="s">
        <v>197</v>
      </c>
      <c r="C87" s="222" t="s">
        <v>197</v>
      </c>
      <c r="D87" s="222" t="s">
        <v>197</v>
      </c>
      <c r="E87" s="222" t="s">
        <v>197</v>
      </c>
      <c r="F87" s="222" t="s">
        <v>197</v>
      </c>
      <c r="G87" s="223" t="s">
        <v>198</v>
      </c>
      <c r="H87" s="224" t="s">
        <v>198</v>
      </c>
      <c r="I87" s="207"/>
      <c r="J87" s="213"/>
      <c r="N87" s="72"/>
      <c r="O87" s="72"/>
      <c r="P87" s="72"/>
      <c r="Q87" s="72"/>
      <c r="R87" s="72"/>
    </row>
    <row r="88" spans="1:18" ht="17.100000000000001" customHeight="1" thickBot="1">
      <c r="A88" s="95" t="s">
        <v>201</v>
      </c>
      <c r="B88" s="91">
        <v>7</v>
      </c>
      <c r="C88" s="91">
        <v>7</v>
      </c>
      <c r="D88" s="91">
        <v>7</v>
      </c>
      <c r="E88" s="91">
        <v>7</v>
      </c>
      <c r="F88" s="91">
        <v>7</v>
      </c>
      <c r="G88" s="228">
        <v>11</v>
      </c>
      <c r="H88" s="229">
        <v>11</v>
      </c>
      <c r="I88" s="17">
        <f>SUM(B88:H88)</f>
        <v>57</v>
      </c>
      <c r="J88" s="221" t="s">
        <v>202</v>
      </c>
      <c r="N88" s="72"/>
      <c r="O88" s="72"/>
      <c r="P88" s="72"/>
      <c r="Q88" s="72"/>
      <c r="R88" s="72"/>
    </row>
    <row r="89" spans="1:18" ht="17.100000000000001" customHeight="1">
      <c r="A89" s="209"/>
      <c r="B89" s="30" t="s">
        <v>16</v>
      </c>
      <c r="C89" s="30" t="s">
        <v>16</v>
      </c>
      <c r="D89" s="30" t="s">
        <v>16</v>
      </c>
      <c r="E89" s="30" t="s">
        <v>16</v>
      </c>
      <c r="F89" s="30" t="s">
        <v>16</v>
      </c>
      <c r="G89" s="207"/>
      <c r="H89" s="238"/>
      <c r="I89" s="207"/>
      <c r="J89" s="213"/>
      <c r="N89" s="72"/>
      <c r="O89" s="72"/>
      <c r="P89" s="72"/>
      <c r="Q89" s="72"/>
      <c r="R89" s="72"/>
    </row>
    <row r="90" spans="1:18" ht="17.100000000000001" customHeight="1" thickBot="1">
      <c r="A90" s="95" t="s">
        <v>211</v>
      </c>
      <c r="B90" s="34"/>
      <c r="C90" s="34"/>
      <c r="D90" s="34"/>
      <c r="E90" s="34"/>
      <c r="F90" s="34"/>
      <c r="G90" s="138"/>
      <c r="H90" s="240"/>
      <c r="I90" s="17">
        <f>SUM(B90:H90)</f>
        <v>0</v>
      </c>
      <c r="J90" s="221" t="s">
        <v>212</v>
      </c>
      <c r="N90" s="72"/>
      <c r="O90" s="72"/>
      <c r="P90" s="72"/>
      <c r="Q90" s="72"/>
      <c r="R90" s="72"/>
    </row>
    <row r="91" spans="1:18" ht="17.100000000000001" customHeight="1">
      <c r="A91" s="209"/>
      <c r="B91" s="251" t="s">
        <v>225</v>
      </c>
      <c r="C91" s="251" t="s">
        <v>225</v>
      </c>
      <c r="D91" s="251" t="s">
        <v>225</v>
      </c>
      <c r="E91" s="251" t="s">
        <v>225</v>
      </c>
      <c r="F91" s="251" t="s">
        <v>225</v>
      </c>
      <c r="G91" s="241" t="s">
        <v>226</v>
      </c>
      <c r="H91" s="242" t="s">
        <v>220</v>
      </c>
      <c r="I91" s="252"/>
      <c r="J91" s="213"/>
      <c r="N91" s="72"/>
      <c r="O91" s="72"/>
      <c r="P91" s="72"/>
      <c r="Q91" s="72"/>
      <c r="R91" s="72"/>
    </row>
    <row r="92" spans="1:18" ht="17.100000000000001" customHeight="1" thickBot="1">
      <c r="A92" s="95" t="s">
        <v>229</v>
      </c>
      <c r="B92" s="255">
        <v>7</v>
      </c>
      <c r="C92" s="255">
        <v>7</v>
      </c>
      <c r="D92" s="255">
        <v>7</v>
      </c>
      <c r="E92" s="255">
        <v>7</v>
      </c>
      <c r="F92" s="255">
        <v>7</v>
      </c>
      <c r="G92" s="256">
        <v>9</v>
      </c>
      <c r="H92" s="247">
        <v>12</v>
      </c>
      <c r="I92" s="17">
        <f>SUM(B92:H92)</f>
        <v>56</v>
      </c>
      <c r="J92" s="221" t="s">
        <v>230</v>
      </c>
      <c r="L92" s="127"/>
      <c r="M92" s="127"/>
      <c r="N92" s="127"/>
      <c r="O92" s="72"/>
      <c r="P92" s="72"/>
      <c r="Q92" s="72"/>
      <c r="R92" s="72"/>
    </row>
    <row r="93" spans="1:18" ht="17.100000000000001" customHeight="1">
      <c r="A93" s="209"/>
      <c r="B93" s="30" t="s">
        <v>16</v>
      </c>
      <c r="C93" s="30" t="s">
        <v>16</v>
      </c>
      <c r="D93" s="30" t="s">
        <v>16</v>
      </c>
      <c r="E93" s="30" t="s">
        <v>16</v>
      </c>
      <c r="F93" s="30" t="s">
        <v>16</v>
      </c>
      <c r="G93" s="207"/>
      <c r="H93" s="238"/>
      <c r="I93" s="207"/>
      <c r="J93" s="213"/>
      <c r="L93" s="139"/>
      <c r="M93" s="139"/>
      <c r="N93" s="139"/>
      <c r="O93" s="72"/>
      <c r="P93" s="72"/>
      <c r="Q93" s="72"/>
      <c r="R93" s="72"/>
    </row>
    <row r="94" spans="1:18" ht="17.100000000000001" customHeight="1" thickBot="1">
      <c r="A94" s="111" t="s">
        <v>237</v>
      </c>
      <c r="B94" s="133"/>
      <c r="C94" s="133"/>
      <c r="D94" s="34"/>
      <c r="E94" s="34"/>
      <c r="F94" s="34"/>
      <c r="G94" s="227"/>
      <c r="H94" s="239"/>
      <c r="I94" s="124">
        <f>SUM(B94:H94)</f>
        <v>0</v>
      </c>
      <c r="J94" s="264" t="s">
        <v>238</v>
      </c>
      <c r="N94" s="72"/>
      <c r="O94" s="72"/>
      <c r="P94" s="72"/>
      <c r="Q94" s="72"/>
      <c r="R94" s="72"/>
    </row>
    <row r="95" spans="1:18" ht="17.100000000000001" customHeight="1">
      <c r="A95" s="209"/>
      <c r="B95" s="276" t="s">
        <v>246</v>
      </c>
      <c r="C95" s="276" t="s">
        <v>246</v>
      </c>
      <c r="D95" s="276" t="s">
        <v>246</v>
      </c>
      <c r="E95" s="276" t="s">
        <v>246</v>
      </c>
      <c r="F95" s="276" t="s">
        <v>246</v>
      </c>
      <c r="G95" s="24"/>
      <c r="H95" s="258"/>
      <c r="I95" s="27"/>
      <c r="J95" s="213"/>
      <c r="N95" s="274"/>
      <c r="O95" s="274"/>
      <c r="P95" s="72"/>
      <c r="Q95" s="72"/>
      <c r="R95" s="72"/>
    </row>
    <row r="96" spans="1:18" ht="17.100000000000001" customHeight="1" thickBot="1">
      <c r="A96" s="115" t="s">
        <v>72</v>
      </c>
      <c r="B96" s="278">
        <v>7.5</v>
      </c>
      <c r="C96" s="278">
        <v>7.5</v>
      </c>
      <c r="D96" s="278">
        <v>7.5</v>
      </c>
      <c r="E96" s="278">
        <v>7.5</v>
      </c>
      <c r="F96" s="278">
        <v>7.5</v>
      </c>
      <c r="G96" s="17"/>
      <c r="H96" s="263"/>
      <c r="I96" s="36">
        <f>SUM(B96:H96)</f>
        <v>37.5</v>
      </c>
      <c r="J96" s="279" t="s">
        <v>248</v>
      </c>
      <c r="L96" s="274"/>
      <c r="M96" s="274"/>
      <c r="N96" s="72"/>
      <c r="O96" s="72"/>
      <c r="P96" s="274"/>
      <c r="Q96" s="72"/>
      <c r="R96" s="72"/>
    </row>
    <row r="97" spans="1:19" ht="17.100000000000001" customHeight="1">
      <c r="A97" s="209"/>
      <c r="B97" s="230" t="s">
        <v>203</v>
      </c>
      <c r="C97" s="230" t="s">
        <v>203</v>
      </c>
      <c r="D97" s="230" t="s">
        <v>203</v>
      </c>
      <c r="E97" s="230" t="s">
        <v>203</v>
      </c>
      <c r="F97" s="230" t="s">
        <v>203</v>
      </c>
      <c r="G97" s="224" t="s">
        <v>204</v>
      </c>
      <c r="H97" s="224" t="s">
        <v>204</v>
      </c>
      <c r="I97" s="207"/>
      <c r="J97" s="213"/>
      <c r="L97" s="72"/>
      <c r="M97" s="72"/>
      <c r="N97" s="72"/>
      <c r="O97" s="72"/>
      <c r="P97" s="72"/>
      <c r="Q97" s="72"/>
      <c r="R97" s="72"/>
    </row>
    <row r="98" spans="1:19" ht="17.100000000000001" customHeight="1" thickBot="1">
      <c r="A98" s="95" t="s">
        <v>207</v>
      </c>
      <c r="B98" s="233">
        <v>8</v>
      </c>
      <c r="C98" s="233">
        <v>8</v>
      </c>
      <c r="D98" s="233">
        <v>8</v>
      </c>
      <c r="E98" s="233">
        <v>8</v>
      </c>
      <c r="F98" s="233">
        <v>8</v>
      </c>
      <c r="G98" s="228">
        <v>12</v>
      </c>
      <c r="H98" s="228">
        <v>12</v>
      </c>
      <c r="I98" s="17">
        <f>SUM(B98:H98)</f>
        <v>64</v>
      </c>
      <c r="J98" s="221" t="s">
        <v>208</v>
      </c>
      <c r="N98" s="72"/>
      <c r="O98" s="72"/>
      <c r="P98" s="72"/>
      <c r="Q98" s="72"/>
      <c r="R98" s="72"/>
    </row>
    <row r="99" spans="1:19" ht="17.100000000000001" customHeight="1">
      <c r="A99" s="205"/>
      <c r="B99" s="30" t="s">
        <v>16</v>
      </c>
      <c r="C99" s="30" t="s">
        <v>16</v>
      </c>
      <c r="D99" s="30" t="s">
        <v>16</v>
      </c>
      <c r="E99" s="30" t="s">
        <v>16</v>
      </c>
      <c r="F99" s="30" t="s">
        <v>16</v>
      </c>
      <c r="G99" s="241" t="s">
        <v>213</v>
      </c>
      <c r="H99" s="242" t="s">
        <v>214</v>
      </c>
      <c r="I99" s="207"/>
      <c r="J99" s="243"/>
      <c r="N99" s="72"/>
      <c r="O99" s="72"/>
      <c r="P99" s="72"/>
      <c r="Q99" s="72"/>
      <c r="R99" s="72"/>
    </row>
    <row r="100" spans="1:19" ht="17.100000000000001" customHeight="1" thickBot="1">
      <c r="A100" s="95" t="s">
        <v>216</v>
      </c>
      <c r="B100" s="34"/>
      <c r="C100" s="34"/>
      <c r="D100" s="34"/>
      <c r="E100" s="34"/>
      <c r="F100" s="34"/>
      <c r="G100" s="246">
        <v>12.25</v>
      </c>
      <c r="H100" s="247">
        <v>12.25</v>
      </c>
      <c r="I100" s="17">
        <f>SUM(B100:H100)</f>
        <v>24.5</v>
      </c>
      <c r="J100" s="221" t="s">
        <v>217</v>
      </c>
      <c r="N100" s="72"/>
      <c r="O100" s="72"/>
      <c r="P100" s="72"/>
      <c r="Q100" s="72"/>
      <c r="R100" s="72"/>
    </row>
    <row r="101" spans="1:19" ht="17.100000000000001" customHeight="1">
      <c r="A101" s="209"/>
      <c r="B101" s="257" t="s">
        <v>231</v>
      </c>
      <c r="C101" s="257" t="s">
        <v>231</v>
      </c>
      <c r="D101" s="257" t="s">
        <v>231</v>
      </c>
      <c r="E101" s="257" t="s">
        <v>231</v>
      </c>
      <c r="F101" s="257" t="s">
        <v>231</v>
      </c>
      <c r="G101" s="24"/>
      <c r="H101" s="258"/>
      <c r="I101" s="207"/>
      <c r="J101" s="213"/>
      <c r="N101" s="72"/>
      <c r="O101" s="72"/>
      <c r="P101" s="72"/>
      <c r="Q101" s="72"/>
      <c r="R101" s="72"/>
    </row>
    <row r="102" spans="1:19" ht="17.100000000000001" customHeight="1" thickBot="1">
      <c r="A102" s="95" t="s">
        <v>233</v>
      </c>
      <c r="B102" s="262">
        <v>8</v>
      </c>
      <c r="C102" s="262">
        <v>8</v>
      </c>
      <c r="D102" s="262">
        <v>8</v>
      </c>
      <c r="E102" s="262">
        <v>8</v>
      </c>
      <c r="F102" s="262">
        <v>8</v>
      </c>
      <c r="G102" s="17"/>
      <c r="H102" s="263"/>
      <c r="I102" s="17">
        <f>SUM(B102:H102)</f>
        <v>40</v>
      </c>
      <c r="J102" s="221" t="s">
        <v>234</v>
      </c>
      <c r="N102" s="72"/>
      <c r="O102" s="72"/>
      <c r="P102" s="72"/>
      <c r="Q102" s="72"/>
      <c r="R102" s="72"/>
    </row>
    <row r="103" spans="1:19" ht="17.100000000000001" customHeight="1">
      <c r="A103" s="209" t="s">
        <v>28</v>
      </c>
      <c r="B103" s="265" t="s">
        <v>239</v>
      </c>
      <c r="C103" s="265" t="s">
        <v>239</v>
      </c>
      <c r="D103" s="265" t="s">
        <v>239</v>
      </c>
      <c r="E103" s="265" t="s">
        <v>239</v>
      </c>
      <c r="F103" s="265" t="s">
        <v>239</v>
      </c>
      <c r="G103" s="266"/>
      <c r="H103" s="238"/>
      <c r="I103" s="207"/>
      <c r="J103" s="213" t="s">
        <v>28</v>
      </c>
      <c r="N103" s="72"/>
      <c r="O103" s="72"/>
      <c r="P103" s="72"/>
      <c r="Q103" s="72"/>
      <c r="R103" s="72"/>
    </row>
    <row r="104" spans="1:19" ht="17.100000000000001" customHeight="1" thickBot="1">
      <c r="A104" s="146" t="s">
        <v>241</v>
      </c>
      <c r="B104" s="269">
        <v>8</v>
      </c>
      <c r="C104" s="269">
        <v>8</v>
      </c>
      <c r="D104" s="269">
        <v>8</v>
      </c>
      <c r="E104" s="269">
        <v>8</v>
      </c>
      <c r="F104" s="269">
        <v>8</v>
      </c>
      <c r="G104" s="227"/>
      <c r="H104" s="239"/>
      <c r="I104" s="124">
        <f>SUM(B104:H104)</f>
        <v>40</v>
      </c>
      <c r="J104" s="245" t="s">
        <v>242</v>
      </c>
      <c r="N104" s="72"/>
      <c r="O104" s="72"/>
      <c r="P104" s="72"/>
      <c r="Q104" s="72"/>
      <c r="R104" s="72"/>
    </row>
    <row r="105" spans="1:19" ht="17.100000000000001" customHeight="1">
      <c r="A105" s="209"/>
      <c r="B105" s="280" t="s">
        <v>249</v>
      </c>
      <c r="C105" s="281" t="s">
        <v>249</v>
      </c>
      <c r="D105" s="281" t="s">
        <v>249</v>
      </c>
      <c r="E105" s="281" t="s">
        <v>249</v>
      </c>
      <c r="F105" s="281" t="s">
        <v>249</v>
      </c>
      <c r="G105" s="24"/>
      <c r="H105" s="258"/>
      <c r="I105" s="236"/>
      <c r="J105" s="213"/>
      <c r="N105" s="72"/>
      <c r="O105" s="72"/>
      <c r="P105" s="72"/>
      <c r="Q105" s="72"/>
      <c r="R105" s="72"/>
    </row>
    <row r="106" spans="1:19" ht="17.100000000000001" customHeight="1" thickBot="1">
      <c r="A106" s="95" t="s">
        <v>73</v>
      </c>
      <c r="B106" s="284">
        <v>8</v>
      </c>
      <c r="C106" s="284">
        <v>8</v>
      </c>
      <c r="D106" s="284">
        <v>8</v>
      </c>
      <c r="E106" s="284">
        <v>8</v>
      </c>
      <c r="F106" s="284">
        <v>8</v>
      </c>
      <c r="G106" s="17"/>
      <c r="H106" s="17"/>
      <c r="I106" s="285">
        <f>SUM(B106:H106)</f>
        <v>40</v>
      </c>
      <c r="J106" s="221" t="s">
        <v>251</v>
      </c>
      <c r="N106" s="72"/>
      <c r="O106" s="72"/>
      <c r="P106" s="72"/>
      <c r="Q106" s="72"/>
      <c r="R106" s="72"/>
    </row>
    <row r="107" spans="1:19" ht="17.45" customHeight="1" thickBot="1">
      <c r="A107" s="196" t="s">
        <v>30</v>
      </c>
      <c r="B107" s="286">
        <f t="shared" ref="B107:I107" si="3">SUM(B78,B80,B82,B84,B86,B88,B90,B92,B94,B96,B98,B100,B102,B104,B106)</f>
        <v>75.75</v>
      </c>
      <c r="C107" s="286">
        <f t="shared" si="3"/>
        <v>75.75</v>
      </c>
      <c r="D107" s="286">
        <f t="shared" si="3"/>
        <v>75.75</v>
      </c>
      <c r="E107" s="286">
        <f t="shared" si="3"/>
        <v>75.75</v>
      </c>
      <c r="F107" s="286">
        <f t="shared" si="3"/>
        <v>75.25</v>
      </c>
      <c r="G107" s="286">
        <f t="shared" si="3"/>
        <v>68.5</v>
      </c>
      <c r="H107" s="286">
        <f t="shared" si="3"/>
        <v>71.5</v>
      </c>
      <c r="I107" s="286">
        <f t="shared" si="3"/>
        <v>518.25</v>
      </c>
      <c r="J107" s="198"/>
      <c r="N107" s="72"/>
      <c r="O107" s="72"/>
      <c r="P107" s="72"/>
      <c r="Q107" s="72"/>
      <c r="R107" s="72"/>
    </row>
    <row r="108" spans="1:19" ht="17.45" customHeight="1" thickTop="1">
      <c r="A108" s="72"/>
      <c r="B108" s="72"/>
      <c r="C108" s="72"/>
      <c r="D108" s="72"/>
      <c r="E108" s="72"/>
      <c r="F108" s="72"/>
      <c r="G108" s="204" t="s">
        <v>152</v>
      </c>
      <c r="H108" s="204" t="s">
        <v>153</v>
      </c>
      <c r="I108" s="204" t="s">
        <v>154</v>
      </c>
      <c r="N108" s="72"/>
      <c r="O108" s="72"/>
      <c r="P108" s="72"/>
      <c r="Q108" s="72"/>
      <c r="R108" s="72"/>
    </row>
    <row r="109" spans="1:19" ht="17.45" customHeight="1">
      <c r="A109" s="274"/>
      <c r="B109" s="274"/>
      <c r="C109" s="274"/>
      <c r="D109" s="274"/>
      <c r="E109" s="274"/>
      <c r="F109" s="72"/>
      <c r="G109" s="130">
        <f>I107</f>
        <v>518.25</v>
      </c>
      <c r="H109" s="169">
        <f>SUM(G109*13/3)</f>
        <v>2245.75</v>
      </c>
      <c r="I109" s="130">
        <f>SUM(H109*12)</f>
        <v>26949</v>
      </c>
      <c r="N109" s="72"/>
      <c r="O109" s="72"/>
      <c r="P109" s="72"/>
      <c r="Q109" s="72"/>
      <c r="R109" s="72"/>
    </row>
    <row r="110" spans="1:19" ht="17.45" customHeight="1">
      <c r="A110" s="406"/>
      <c r="B110" s="406"/>
      <c r="C110" s="406"/>
      <c r="D110" s="406"/>
      <c r="E110" s="406"/>
      <c r="F110" s="72"/>
      <c r="G110" s="72"/>
      <c r="H110" s="174"/>
      <c r="I110" s="72"/>
      <c r="N110" s="72"/>
      <c r="O110" s="72"/>
      <c r="P110" s="72"/>
      <c r="Q110" s="72"/>
      <c r="R110" s="72"/>
    </row>
    <row r="111" spans="1:19" ht="17.100000000000001" customHeight="1" thickBot="1">
      <c r="A111" s="1" t="s">
        <v>253</v>
      </c>
      <c r="B111" s="72"/>
      <c r="C111" s="72"/>
      <c r="D111" s="72"/>
      <c r="E111" s="72"/>
      <c r="F111" s="72"/>
      <c r="L111" s="72"/>
      <c r="M111" s="274"/>
      <c r="N111" s="274"/>
      <c r="O111" s="274"/>
      <c r="P111" s="274"/>
      <c r="Q111" s="274"/>
      <c r="R111" s="274"/>
      <c r="S111" s="407"/>
    </row>
    <row r="112" spans="1:19" ht="17.100000000000001" customHeight="1" thickBot="1">
      <c r="A112" s="61" t="s">
        <v>254</v>
      </c>
      <c r="B112" s="62" t="s">
        <v>2</v>
      </c>
      <c r="C112" s="63" t="s">
        <v>3</v>
      </c>
      <c r="D112" s="63" t="s">
        <v>4</v>
      </c>
      <c r="E112" s="63" t="s">
        <v>5</v>
      </c>
      <c r="F112" s="63" t="s">
        <v>6</v>
      </c>
      <c r="G112" s="63" t="s">
        <v>7</v>
      </c>
      <c r="H112" s="64" t="s">
        <v>8</v>
      </c>
      <c r="I112" s="65" t="s">
        <v>9</v>
      </c>
      <c r="J112" s="66" t="s">
        <v>10</v>
      </c>
      <c r="L112" s="274"/>
      <c r="M112" s="72"/>
      <c r="N112" s="72"/>
      <c r="O112" s="72"/>
      <c r="P112" s="72"/>
      <c r="Q112" s="72"/>
      <c r="R112" s="72"/>
      <c r="S112" s="408"/>
    </row>
    <row r="113" spans="1:20" ht="17.100000000000001" customHeight="1">
      <c r="A113" s="41" t="s">
        <v>28</v>
      </c>
      <c r="B113" s="10" t="s">
        <v>374</v>
      </c>
      <c r="C113" s="10" t="s">
        <v>374</v>
      </c>
      <c r="D113" s="10" t="s">
        <v>374</v>
      </c>
      <c r="E113" s="10" t="s">
        <v>374</v>
      </c>
      <c r="F113" s="10" t="s">
        <v>375</v>
      </c>
      <c r="G113" s="5"/>
      <c r="H113" s="119"/>
      <c r="I113" s="118"/>
      <c r="J113" s="32" t="s">
        <v>376</v>
      </c>
      <c r="L113" s="72"/>
      <c r="M113" s="127"/>
      <c r="N113" s="127"/>
      <c r="O113" s="127"/>
      <c r="P113" s="127"/>
      <c r="Q113" s="127"/>
      <c r="R113" s="407"/>
      <c r="S113" s="407"/>
    </row>
    <row r="114" spans="1:20" ht="17.100000000000001" customHeight="1" thickBot="1">
      <c r="A114" s="16" t="s">
        <v>117</v>
      </c>
      <c r="B114" s="17">
        <v>7.75</v>
      </c>
      <c r="C114" s="17">
        <v>7.75</v>
      </c>
      <c r="D114" s="17">
        <v>7.75</v>
      </c>
      <c r="E114" s="17">
        <v>7.75</v>
      </c>
      <c r="F114" s="17">
        <v>6</v>
      </c>
      <c r="G114" s="19"/>
      <c r="H114" s="20"/>
      <c r="I114" s="36">
        <f>SUM(B114:H114)</f>
        <v>37</v>
      </c>
      <c r="J114" s="37" t="s">
        <v>377</v>
      </c>
      <c r="L114" s="274"/>
      <c r="M114" s="139"/>
      <c r="N114" s="139"/>
      <c r="O114" s="139"/>
      <c r="P114" s="139"/>
      <c r="Q114" s="139"/>
      <c r="R114" s="408"/>
      <c r="S114" s="408"/>
    </row>
    <row r="115" spans="1:20" ht="17.100000000000001" customHeight="1" thickBot="1">
      <c r="A115" s="61" t="s">
        <v>146</v>
      </c>
      <c r="B115" s="62" t="s">
        <v>2</v>
      </c>
      <c r="C115" s="63" t="s">
        <v>3</v>
      </c>
      <c r="D115" s="63" t="s">
        <v>4</v>
      </c>
      <c r="E115" s="63" t="s">
        <v>5</v>
      </c>
      <c r="F115" s="63" t="s">
        <v>6</v>
      </c>
      <c r="G115" s="63" t="s">
        <v>7</v>
      </c>
      <c r="H115" s="64" t="s">
        <v>8</v>
      </c>
      <c r="I115" s="65" t="s">
        <v>9</v>
      </c>
      <c r="J115" s="66" t="s">
        <v>10</v>
      </c>
      <c r="L115" s="274"/>
      <c r="M115" s="139"/>
      <c r="N115" s="139"/>
      <c r="O115" s="139"/>
      <c r="P115" s="139"/>
      <c r="Q115" s="139"/>
      <c r="R115" s="408"/>
      <c r="S115" s="408"/>
    </row>
    <row r="116" spans="1:20" ht="17.100000000000001" customHeight="1">
      <c r="A116" s="41" t="s">
        <v>28</v>
      </c>
      <c r="B116" s="10" t="s">
        <v>378</v>
      </c>
      <c r="C116" s="10" t="s">
        <v>378</v>
      </c>
      <c r="D116" s="10" t="s">
        <v>378</v>
      </c>
      <c r="E116" s="10" t="s">
        <v>378</v>
      </c>
      <c r="F116" s="10" t="s">
        <v>379</v>
      </c>
      <c r="G116" s="5"/>
      <c r="H116" s="119"/>
      <c r="I116" s="118"/>
      <c r="J116" s="32" t="s">
        <v>376</v>
      </c>
      <c r="L116" s="274"/>
      <c r="M116" s="139"/>
      <c r="N116" s="139"/>
      <c r="O116" s="139"/>
      <c r="P116" s="139"/>
      <c r="Q116" s="139"/>
      <c r="R116" s="408"/>
      <c r="S116" s="408"/>
    </row>
    <row r="117" spans="1:20" ht="17.100000000000001" customHeight="1" thickBot="1">
      <c r="A117" s="16" t="s">
        <v>261</v>
      </c>
      <c r="B117" s="17">
        <v>7.75</v>
      </c>
      <c r="C117" s="17">
        <v>7.75</v>
      </c>
      <c r="D117" s="17">
        <v>7.75</v>
      </c>
      <c r="E117" s="17">
        <v>7.75</v>
      </c>
      <c r="F117" s="17">
        <v>6</v>
      </c>
      <c r="G117" s="19"/>
      <c r="H117" s="20"/>
      <c r="I117" s="36">
        <f>SUM(B117:H117)</f>
        <v>37</v>
      </c>
      <c r="J117" s="37" t="s">
        <v>377</v>
      </c>
      <c r="L117" s="274"/>
      <c r="M117" s="139"/>
      <c r="N117" s="139"/>
      <c r="O117" s="139"/>
      <c r="P117" s="139"/>
      <c r="Q117" s="139"/>
      <c r="R117" s="408"/>
      <c r="S117" s="408"/>
    </row>
    <row r="118" spans="1:20" ht="17.100000000000001" customHeight="1">
      <c r="A118" s="274"/>
      <c r="B118" s="72"/>
      <c r="C118" s="72"/>
      <c r="D118" s="72"/>
      <c r="E118" s="72"/>
      <c r="F118" s="139"/>
      <c r="G118" s="204" t="s">
        <v>152</v>
      </c>
      <c r="H118" s="204" t="s">
        <v>153</v>
      </c>
      <c r="I118" s="204" t="s">
        <v>154</v>
      </c>
      <c r="J118" s="73"/>
      <c r="L118" s="72"/>
      <c r="M118" s="127"/>
      <c r="N118" s="127"/>
      <c r="O118" s="127"/>
      <c r="P118" s="127"/>
      <c r="Q118" s="127"/>
      <c r="R118" s="407"/>
      <c r="S118" s="407"/>
    </row>
    <row r="119" spans="1:20" ht="17.100000000000001" customHeight="1">
      <c r="A119" s="274"/>
      <c r="B119" s="72"/>
      <c r="C119" s="72"/>
      <c r="D119" s="72"/>
      <c r="E119" s="72"/>
      <c r="F119" s="139"/>
      <c r="G119" s="130">
        <f>SUM(I114,I117)</f>
        <v>74</v>
      </c>
      <c r="H119" s="169">
        <f>SUM(G119*13/3)</f>
        <v>320.66666666666669</v>
      </c>
      <c r="I119" s="130">
        <f>SUM(H119*12)</f>
        <v>3848</v>
      </c>
      <c r="J119" s="73"/>
      <c r="M119" s="139"/>
      <c r="N119" s="139"/>
      <c r="O119" s="139"/>
      <c r="P119" s="139"/>
      <c r="Q119" s="139"/>
      <c r="R119" s="408"/>
      <c r="S119" s="408"/>
    </row>
    <row r="120" spans="1:20" ht="17.100000000000001" customHeight="1" thickBot="1">
      <c r="A120" s="1" t="s">
        <v>262</v>
      </c>
      <c r="B120" s="72"/>
      <c r="C120" s="72"/>
      <c r="D120" s="72"/>
      <c r="E120" s="72"/>
      <c r="F120" s="72"/>
    </row>
    <row r="121" spans="1:20" ht="17.100000000000001" customHeight="1" thickBot="1">
      <c r="A121" s="61" t="s">
        <v>263</v>
      </c>
      <c r="B121" s="62" t="s">
        <v>2</v>
      </c>
      <c r="C121" s="63" t="s">
        <v>3</v>
      </c>
      <c r="D121" s="63" t="s">
        <v>4</v>
      </c>
      <c r="E121" s="63" t="s">
        <v>5</v>
      </c>
      <c r="F121" s="63" t="s">
        <v>6</v>
      </c>
      <c r="G121" s="63" t="s">
        <v>7</v>
      </c>
      <c r="H121" s="64" t="s">
        <v>8</v>
      </c>
      <c r="I121" s="65" t="s">
        <v>9</v>
      </c>
      <c r="J121" s="66" t="s">
        <v>10</v>
      </c>
    </row>
    <row r="122" spans="1:20" ht="17.100000000000001" customHeight="1">
      <c r="A122" s="41" t="s">
        <v>28</v>
      </c>
      <c r="B122" s="10" t="s">
        <v>264</v>
      </c>
      <c r="C122" s="10" t="s">
        <v>264</v>
      </c>
      <c r="D122" s="10" t="s">
        <v>264</v>
      </c>
      <c r="E122" s="10" t="s">
        <v>264</v>
      </c>
      <c r="F122" s="10" t="s">
        <v>265</v>
      </c>
      <c r="G122" s="5"/>
      <c r="H122" s="119"/>
      <c r="I122" s="118"/>
      <c r="J122" s="32"/>
    </row>
    <row r="123" spans="1:20" ht="17.100000000000001" customHeight="1" thickBot="1">
      <c r="A123" s="16" t="s">
        <v>119</v>
      </c>
      <c r="B123" s="17">
        <v>8</v>
      </c>
      <c r="C123" s="17">
        <v>8</v>
      </c>
      <c r="D123" s="17">
        <v>8</v>
      </c>
      <c r="E123" s="17">
        <v>8</v>
      </c>
      <c r="F123" s="17">
        <v>5</v>
      </c>
      <c r="G123" s="19"/>
      <c r="H123" s="20"/>
      <c r="I123" s="36">
        <f>SUM(B123:H123)</f>
        <v>37</v>
      </c>
      <c r="J123" s="37"/>
      <c r="L123" s="274"/>
      <c r="M123" s="274"/>
      <c r="N123" s="274"/>
      <c r="O123" s="274"/>
      <c r="P123" s="274"/>
    </row>
    <row r="124" spans="1:20" ht="17.100000000000001" customHeight="1">
      <c r="A124" s="274"/>
      <c r="B124" s="72"/>
      <c r="C124" s="72"/>
      <c r="D124" s="72"/>
      <c r="E124" s="72"/>
      <c r="F124" s="139"/>
      <c r="G124" s="204" t="s">
        <v>152</v>
      </c>
      <c r="H124" s="204" t="s">
        <v>153</v>
      </c>
      <c r="I124" s="204" t="s">
        <v>154</v>
      </c>
      <c r="J124" s="73"/>
      <c r="L124" s="72"/>
      <c r="M124" s="72"/>
      <c r="N124" s="72"/>
      <c r="O124" s="72"/>
      <c r="P124" s="72"/>
    </row>
    <row r="125" spans="1:20" ht="17.100000000000001" customHeight="1">
      <c r="A125" s="274"/>
      <c r="B125" s="72"/>
      <c r="C125" s="72"/>
      <c r="D125" s="72"/>
      <c r="E125" s="72"/>
      <c r="F125" s="139"/>
      <c r="G125" s="130">
        <f>I123</f>
        <v>37</v>
      </c>
      <c r="H125" s="169">
        <f>SUM(G125*13/3)</f>
        <v>160.33333333333334</v>
      </c>
      <c r="I125" s="130">
        <f>SUM(H125*12)</f>
        <v>1924</v>
      </c>
      <c r="J125" s="73"/>
      <c r="L125" s="274"/>
      <c r="M125" s="274"/>
      <c r="N125" s="274"/>
      <c r="O125" s="274"/>
      <c r="P125" s="274"/>
    </row>
    <row r="126" spans="1:20" ht="17.100000000000001" customHeight="1" thickBot="1">
      <c r="A126" s="1" t="s">
        <v>380</v>
      </c>
      <c r="B126" s="72"/>
      <c r="C126" s="72"/>
      <c r="D126" s="72"/>
      <c r="E126" s="72"/>
      <c r="F126" s="72"/>
    </row>
    <row r="127" spans="1:20" ht="17.100000000000001" customHeight="1" thickBot="1">
      <c r="A127" s="23" t="s">
        <v>123</v>
      </c>
      <c r="B127" s="24" t="s">
        <v>2</v>
      </c>
      <c r="C127" s="25" t="s">
        <v>3</v>
      </c>
      <c r="D127" s="25" t="s">
        <v>4</v>
      </c>
      <c r="E127" s="25" t="s">
        <v>5</v>
      </c>
      <c r="F127" s="25" t="s">
        <v>6</v>
      </c>
      <c r="G127" s="25" t="s">
        <v>7</v>
      </c>
      <c r="H127" s="26" t="s">
        <v>8</v>
      </c>
      <c r="I127" s="27" t="s">
        <v>9</v>
      </c>
      <c r="J127" s="28" t="s">
        <v>10</v>
      </c>
      <c r="M127" s="340"/>
      <c r="N127" s="341" t="s">
        <v>322</v>
      </c>
      <c r="O127">
        <v>37</v>
      </c>
      <c r="P127" t="s">
        <v>381</v>
      </c>
      <c r="Q127">
        <v>2</v>
      </c>
      <c r="R127" t="s">
        <v>382</v>
      </c>
      <c r="S127">
        <f>O127*Q127</f>
        <v>74</v>
      </c>
      <c r="T127" t="s">
        <v>383</v>
      </c>
    </row>
    <row r="128" spans="1:20" ht="17.100000000000001" customHeight="1">
      <c r="A128" s="29" t="s">
        <v>87</v>
      </c>
      <c r="B128" s="30" t="s">
        <v>269</v>
      </c>
      <c r="C128" s="30" t="s">
        <v>269</v>
      </c>
      <c r="D128" s="30" t="s">
        <v>269</v>
      </c>
      <c r="E128" s="30" t="s">
        <v>269</v>
      </c>
      <c r="F128" s="409" t="s">
        <v>270</v>
      </c>
      <c r="G128" s="5"/>
      <c r="H128" s="5"/>
      <c r="I128" s="30"/>
      <c r="J128" s="32" t="s">
        <v>384</v>
      </c>
      <c r="M128" s="329"/>
      <c r="N128" s="345" t="s">
        <v>323</v>
      </c>
      <c r="O128" t="s">
        <v>28</v>
      </c>
    </row>
    <row r="129" spans="1:22" ht="17.100000000000001" customHeight="1" thickBot="1">
      <c r="A129" s="181"/>
      <c r="B129" s="133">
        <v>0</v>
      </c>
      <c r="C129" s="133">
        <v>0</v>
      </c>
      <c r="D129" s="133">
        <v>0</v>
      </c>
      <c r="E129" s="133">
        <v>0</v>
      </c>
      <c r="F129" s="178">
        <v>0</v>
      </c>
      <c r="G129" s="182"/>
      <c r="H129" s="182"/>
      <c r="I129" s="133">
        <f>SUM(B129:H129)</f>
        <v>0</v>
      </c>
      <c r="J129" s="200"/>
      <c r="M129" s="329" t="s">
        <v>324</v>
      </c>
      <c r="N129" s="345">
        <v>0</v>
      </c>
      <c r="O129" t="s">
        <v>385</v>
      </c>
      <c r="Q129">
        <f>I131</f>
        <v>0</v>
      </c>
    </row>
    <row r="130" spans="1:22" ht="17.100000000000001" customHeight="1">
      <c r="A130" s="29" t="s">
        <v>91</v>
      </c>
      <c r="B130" s="30" t="s">
        <v>273</v>
      </c>
      <c r="C130" s="30" t="s">
        <v>273</v>
      </c>
      <c r="D130" s="30" t="s">
        <v>273</v>
      </c>
      <c r="E130" s="30" t="s">
        <v>273</v>
      </c>
      <c r="F130" s="30" t="s">
        <v>274</v>
      </c>
      <c r="G130" s="410"/>
      <c r="H130" s="410"/>
      <c r="I130" s="30"/>
      <c r="J130" s="32" t="s">
        <v>386</v>
      </c>
      <c r="M130" s="329" t="s">
        <v>325</v>
      </c>
      <c r="N130" s="345">
        <f>I131</f>
        <v>0</v>
      </c>
    </row>
    <row r="131" spans="1:22" ht="17.100000000000001" customHeight="1" thickBot="1">
      <c r="A131" s="163"/>
      <c r="B131" s="34">
        <v>0</v>
      </c>
      <c r="C131" s="34">
        <v>0</v>
      </c>
      <c r="D131" s="34">
        <v>0</v>
      </c>
      <c r="E131" s="34">
        <v>0</v>
      </c>
      <c r="F131" s="34">
        <v>0</v>
      </c>
      <c r="G131" s="140"/>
      <c r="H131" s="140"/>
      <c r="I131" s="34">
        <f>SUM(B131:H131)</f>
        <v>0</v>
      </c>
      <c r="J131" s="142"/>
      <c r="M131" s="329" t="s">
        <v>326</v>
      </c>
      <c r="N131" s="345">
        <v>0</v>
      </c>
      <c r="O131">
        <f>Q129</f>
        <v>0</v>
      </c>
      <c r="P131" t="s">
        <v>387</v>
      </c>
      <c r="Q131" s="160">
        <f>SUM(O131/37)</f>
        <v>0</v>
      </c>
    </row>
    <row r="132" spans="1:22" ht="17.100000000000001" customHeight="1" thickBot="1">
      <c r="A132" s="196" t="s">
        <v>30</v>
      </c>
      <c r="B132" s="196">
        <f t="shared" ref="B132:I132" si="4">SUM(B129,B131)</f>
        <v>0</v>
      </c>
      <c r="C132" s="196">
        <f t="shared" si="4"/>
        <v>0</v>
      </c>
      <c r="D132" s="196">
        <f t="shared" si="4"/>
        <v>0</v>
      </c>
      <c r="E132" s="196">
        <f t="shared" si="4"/>
        <v>0</v>
      </c>
      <c r="F132" s="196">
        <f t="shared" si="4"/>
        <v>0</v>
      </c>
      <c r="G132" s="196">
        <f t="shared" si="4"/>
        <v>0</v>
      </c>
      <c r="H132" s="196">
        <f t="shared" si="4"/>
        <v>0</v>
      </c>
      <c r="I132" s="196">
        <f t="shared" si="4"/>
        <v>0</v>
      </c>
      <c r="J132" s="198"/>
      <c r="O132" t="s">
        <v>388</v>
      </c>
      <c r="Q132" s="160"/>
    </row>
    <row r="133" spans="1:22" ht="17.100000000000001" customHeight="1" thickTop="1">
      <c r="A133" s="72"/>
      <c r="B133" s="72"/>
      <c r="C133" s="72"/>
      <c r="D133" s="72"/>
      <c r="E133" s="72"/>
      <c r="F133" s="72"/>
      <c r="G133" s="204" t="s">
        <v>152</v>
      </c>
      <c r="H133" s="204" t="s">
        <v>153</v>
      </c>
      <c r="I133" s="204" t="s">
        <v>154</v>
      </c>
      <c r="Q133" s="160"/>
      <c r="V133" s="411"/>
    </row>
    <row r="134" spans="1:22" ht="17.100000000000001" customHeight="1">
      <c r="A134" s="72"/>
      <c r="B134" s="72"/>
      <c r="C134" s="72"/>
      <c r="D134" s="72"/>
      <c r="E134" s="72"/>
      <c r="F134" s="72"/>
      <c r="G134" s="130">
        <f>I132</f>
        <v>0</v>
      </c>
      <c r="H134" s="169">
        <f>SUM(G134*13/3)</f>
        <v>0</v>
      </c>
      <c r="I134" s="130">
        <f>SUM(H134*12)</f>
        <v>0</v>
      </c>
      <c r="O134" t="s">
        <v>389</v>
      </c>
      <c r="Q134" s="160"/>
    </row>
    <row r="135" spans="1:22" ht="17.100000000000001" customHeight="1">
      <c r="A135" s="72"/>
      <c r="B135" s="72"/>
      <c r="C135" s="72"/>
      <c r="D135" s="72"/>
      <c r="E135" s="72"/>
      <c r="F135" s="72"/>
      <c r="G135" s="72"/>
      <c r="H135" s="174"/>
      <c r="I135" s="72"/>
      <c r="O135" t="s">
        <v>390</v>
      </c>
      <c r="Q135" s="361"/>
      <c r="S135" s="160"/>
      <c r="U135" s="412"/>
    </row>
    <row r="136" spans="1:22" ht="18" customHeight="1" thickBot="1">
      <c r="A136" s="1" t="s">
        <v>103</v>
      </c>
      <c r="B136" s="72"/>
      <c r="C136" s="72"/>
      <c r="D136" s="72"/>
      <c r="E136" s="72"/>
      <c r="F136" s="72"/>
    </row>
    <row r="137" spans="1:22" ht="18" customHeight="1" thickBot="1">
      <c r="A137" s="61" t="s">
        <v>104</v>
      </c>
      <c r="B137" s="62" t="s">
        <v>2</v>
      </c>
      <c r="C137" s="63" t="s">
        <v>3</v>
      </c>
      <c r="D137" s="63" t="s">
        <v>4</v>
      </c>
      <c r="E137" s="63" t="s">
        <v>5</v>
      </c>
      <c r="F137" s="63" t="s">
        <v>6</v>
      </c>
      <c r="G137" s="63" t="s">
        <v>7</v>
      </c>
      <c r="H137" s="64" t="s">
        <v>8</v>
      </c>
      <c r="I137" s="65" t="s">
        <v>9</v>
      </c>
      <c r="J137" s="66" t="s">
        <v>10</v>
      </c>
      <c r="M137" s="340"/>
      <c r="N137" s="341" t="s">
        <v>322</v>
      </c>
      <c r="O137" t="s">
        <v>391</v>
      </c>
    </row>
    <row r="138" spans="1:22" ht="18" customHeight="1">
      <c r="A138" s="41" t="s">
        <v>105</v>
      </c>
      <c r="B138" s="118" t="s">
        <v>89</v>
      </c>
      <c r="C138" s="118" t="s">
        <v>89</v>
      </c>
      <c r="D138" s="118" t="s">
        <v>89</v>
      </c>
      <c r="E138" s="118" t="s">
        <v>89</v>
      </c>
      <c r="F138" s="118" t="s">
        <v>77</v>
      </c>
      <c r="G138" s="5"/>
      <c r="H138" s="119"/>
      <c r="I138" s="118"/>
      <c r="J138" s="32"/>
      <c r="M138" s="329"/>
      <c r="N138" s="345" t="s">
        <v>323</v>
      </c>
      <c r="O138" t="s">
        <v>28</v>
      </c>
    </row>
    <row r="139" spans="1:22" ht="18" customHeight="1" thickBot="1">
      <c r="A139" s="120"/>
      <c r="B139" s="17">
        <v>7.5</v>
      </c>
      <c r="C139" s="17">
        <v>7.5</v>
      </c>
      <c r="D139" s="17">
        <v>7.5</v>
      </c>
      <c r="E139" s="17">
        <v>7.5</v>
      </c>
      <c r="F139" s="18">
        <v>7</v>
      </c>
      <c r="G139" s="19"/>
      <c r="H139" s="20"/>
      <c r="I139" s="36">
        <f>SUM(B139:H139)</f>
        <v>37</v>
      </c>
      <c r="J139" s="37"/>
      <c r="M139" s="329" t="s">
        <v>324</v>
      </c>
      <c r="N139" s="345">
        <v>0</v>
      </c>
      <c r="O139" t="s">
        <v>392</v>
      </c>
    </row>
    <row r="140" spans="1:22" ht="18" customHeight="1">
      <c r="A140" s="129" t="s">
        <v>106</v>
      </c>
      <c r="B140" s="30" t="s">
        <v>279</v>
      </c>
      <c r="C140" s="30" t="s">
        <v>279</v>
      </c>
      <c r="D140" s="30" t="s">
        <v>279</v>
      </c>
      <c r="E140" s="30" t="s">
        <v>279</v>
      </c>
      <c r="F140" s="30" t="s">
        <v>280</v>
      </c>
      <c r="G140" s="12"/>
      <c r="H140" s="13"/>
      <c r="I140" s="122"/>
      <c r="J140" s="40"/>
      <c r="M140" s="329" t="s">
        <v>325</v>
      </c>
      <c r="N140" s="345">
        <v>34</v>
      </c>
    </row>
    <row r="141" spans="1:22" ht="18" customHeight="1" thickBot="1">
      <c r="A141" s="123"/>
      <c r="B141" s="130">
        <v>7</v>
      </c>
      <c r="C141" s="130">
        <v>7</v>
      </c>
      <c r="D141" s="130">
        <v>7</v>
      </c>
      <c r="E141" s="130">
        <v>7</v>
      </c>
      <c r="F141" s="125">
        <v>6</v>
      </c>
      <c r="G141" s="126"/>
      <c r="H141" s="127"/>
      <c r="I141" s="36">
        <f>SUM(B141:H141)</f>
        <v>34</v>
      </c>
      <c r="J141" s="85"/>
      <c r="M141" s="329" t="s">
        <v>326</v>
      </c>
      <c r="N141" s="345">
        <v>0</v>
      </c>
      <c r="O141" t="s">
        <v>393</v>
      </c>
    </row>
    <row r="142" spans="1:22" ht="18" customHeight="1" thickBot="1">
      <c r="A142" s="29" t="s">
        <v>108</v>
      </c>
      <c r="B142" s="118" t="s">
        <v>109</v>
      </c>
      <c r="C142" s="118" t="s">
        <v>109</v>
      </c>
      <c r="D142" s="118" t="s">
        <v>109</v>
      </c>
      <c r="E142" s="118" t="s">
        <v>109</v>
      </c>
      <c r="F142" s="118" t="s">
        <v>110</v>
      </c>
      <c r="G142" s="118"/>
      <c r="H142" s="118"/>
      <c r="I142" s="118"/>
      <c r="J142" s="32"/>
      <c r="M142" s="331" t="s">
        <v>329</v>
      </c>
      <c r="N142" s="350">
        <f>SUM(N139:N141)</f>
        <v>34</v>
      </c>
    </row>
    <row r="143" spans="1:22" ht="18" customHeight="1" thickBot="1">
      <c r="A143" s="16"/>
      <c r="B143" s="17" t="s">
        <v>283</v>
      </c>
      <c r="C143" s="17" t="s">
        <v>283</v>
      </c>
      <c r="D143" s="17" t="s">
        <v>283</v>
      </c>
      <c r="E143" s="17" t="s">
        <v>283</v>
      </c>
      <c r="F143" s="17" t="s">
        <v>283</v>
      </c>
      <c r="G143" s="18"/>
      <c r="H143" s="35"/>
      <c r="I143" s="36">
        <f>SUM(B143:H143)</f>
        <v>0</v>
      </c>
      <c r="J143" s="37"/>
      <c r="O143" t="s">
        <v>394</v>
      </c>
    </row>
    <row r="144" spans="1:22" ht="18" customHeight="1" thickBot="1">
      <c r="A144" s="58" t="s">
        <v>30</v>
      </c>
      <c r="B144" s="58">
        <f t="shared" ref="B144:I144" si="5">SUM(B139,B141,B143)</f>
        <v>14.5</v>
      </c>
      <c r="C144" s="58">
        <f t="shared" si="5"/>
        <v>14.5</v>
      </c>
      <c r="D144" s="58">
        <f t="shared" si="5"/>
        <v>14.5</v>
      </c>
      <c r="E144" s="58">
        <f t="shared" si="5"/>
        <v>14.5</v>
      </c>
      <c r="F144" s="58">
        <f t="shared" si="5"/>
        <v>13</v>
      </c>
      <c r="G144" s="58">
        <f t="shared" si="5"/>
        <v>0</v>
      </c>
      <c r="H144" s="58">
        <f t="shared" si="5"/>
        <v>0</v>
      </c>
      <c r="I144" s="70">
        <f t="shared" si="5"/>
        <v>71</v>
      </c>
      <c r="J144" s="71"/>
    </row>
    <row r="145" spans="1:20" ht="18" customHeight="1" thickTop="1">
      <c r="A145" s="72"/>
      <c r="B145" s="72"/>
      <c r="C145" s="72"/>
      <c r="D145" s="72"/>
      <c r="E145" s="72"/>
      <c r="F145" s="139"/>
      <c r="G145" s="204" t="s">
        <v>152</v>
      </c>
      <c r="H145" s="204" t="s">
        <v>153</v>
      </c>
      <c r="I145" s="204" t="s">
        <v>154</v>
      </c>
      <c r="J145" s="73"/>
      <c r="O145" t="s">
        <v>395</v>
      </c>
      <c r="P145" s="72"/>
      <c r="T145" t="s">
        <v>341</v>
      </c>
    </row>
    <row r="146" spans="1:20" ht="18" customHeight="1">
      <c r="A146" s="72"/>
      <c r="B146" s="72"/>
      <c r="C146" s="72"/>
      <c r="D146" s="72"/>
      <c r="E146" s="72"/>
      <c r="F146" s="72"/>
      <c r="G146" s="130">
        <f>I144</f>
        <v>71</v>
      </c>
      <c r="H146" s="169">
        <f>SUM(G146*13/3)</f>
        <v>307.66666666666669</v>
      </c>
      <c r="I146" s="130">
        <f>SUM(H146*12)</f>
        <v>3692</v>
      </c>
      <c r="J146" s="73"/>
    </row>
    <row r="147" spans="1:20" ht="18" customHeight="1">
      <c r="A147" s="72"/>
      <c r="B147" s="72"/>
      <c r="C147" s="72"/>
      <c r="D147" s="72"/>
      <c r="E147" s="72"/>
      <c r="F147" s="72"/>
      <c r="G147" s="72"/>
      <c r="H147" s="174"/>
      <c r="I147" s="72"/>
      <c r="J147" s="73"/>
      <c r="O147" t="s">
        <v>396</v>
      </c>
    </row>
    <row r="148" spans="1:20" ht="18" customHeight="1" thickBot="1">
      <c r="A148" s="312" t="s">
        <v>286</v>
      </c>
      <c r="B148" s="72"/>
      <c r="C148" s="72"/>
      <c r="D148" s="72"/>
      <c r="E148" s="72"/>
      <c r="F148" s="139"/>
      <c r="G148" s="139"/>
      <c r="H148" s="139"/>
      <c r="I148" s="72"/>
      <c r="J148" s="73"/>
      <c r="N148" s="72"/>
    </row>
    <row r="149" spans="1:20" ht="18" customHeight="1" thickBot="1">
      <c r="A149" s="61" t="s">
        <v>128</v>
      </c>
      <c r="B149" s="62" t="s">
        <v>2</v>
      </c>
      <c r="C149" s="63" t="s">
        <v>3</v>
      </c>
      <c r="D149" s="63" t="s">
        <v>4</v>
      </c>
      <c r="E149" s="63" t="s">
        <v>5</v>
      </c>
      <c r="F149" s="63" t="s">
        <v>6</v>
      </c>
      <c r="G149" s="63" t="s">
        <v>7</v>
      </c>
      <c r="H149" s="64" t="s">
        <v>8</v>
      </c>
      <c r="I149" s="65" t="s">
        <v>9</v>
      </c>
      <c r="J149" s="66" t="s">
        <v>10</v>
      </c>
      <c r="N149" s="72"/>
    </row>
    <row r="150" spans="1:20" ht="18" customHeight="1">
      <c r="A150" s="29" t="s">
        <v>28</v>
      </c>
      <c r="B150" s="30" t="s">
        <v>124</v>
      </c>
      <c r="C150" s="30" t="s">
        <v>124</v>
      </c>
      <c r="D150" s="30" t="s">
        <v>124</v>
      </c>
      <c r="E150" s="30" t="s">
        <v>124</v>
      </c>
      <c r="F150" s="31" t="s">
        <v>125</v>
      </c>
      <c r="G150" s="4"/>
      <c r="H150" s="413" t="s">
        <v>28</v>
      </c>
      <c r="I150" s="7"/>
      <c r="J150" s="32" t="s">
        <v>28</v>
      </c>
      <c r="N150" s="72"/>
    </row>
    <row r="151" spans="1:20" ht="18" customHeight="1" thickBot="1">
      <c r="A151" s="315">
        <v>1</v>
      </c>
      <c r="B151" s="34">
        <v>7.75</v>
      </c>
      <c r="C151" s="34">
        <v>7.75</v>
      </c>
      <c r="D151" s="34">
        <v>7.75</v>
      </c>
      <c r="E151" s="34">
        <v>7.75</v>
      </c>
      <c r="F151" s="140">
        <v>6</v>
      </c>
      <c r="G151" s="17"/>
      <c r="H151" s="263" t="s">
        <v>28</v>
      </c>
      <c r="I151" s="34">
        <f>SUM(B151:H151)</f>
        <v>37</v>
      </c>
      <c r="J151" s="37"/>
      <c r="N151" s="72"/>
    </row>
    <row r="152" spans="1:20" ht="18" customHeight="1">
      <c r="A152" s="147" t="s">
        <v>28</v>
      </c>
      <c r="B152" s="30" t="s">
        <v>124</v>
      </c>
      <c r="C152" s="30" t="s">
        <v>124</v>
      </c>
      <c r="D152" s="30" t="s">
        <v>124</v>
      </c>
      <c r="E152" s="30" t="s">
        <v>124</v>
      </c>
      <c r="F152" s="31" t="s">
        <v>125</v>
      </c>
      <c r="G152" s="414"/>
      <c r="H152" s="11"/>
      <c r="I152" s="54"/>
      <c r="J152" s="40"/>
      <c r="N152" s="72"/>
    </row>
    <row r="153" spans="1:20" ht="18" customHeight="1" thickBot="1">
      <c r="A153" s="315">
        <v>2</v>
      </c>
      <c r="B153" s="34">
        <v>7.75</v>
      </c>
      <c r="C153" s="34">
        <v>7.75</v>
      </c>
      <c r="D153" s="34">
        <v>7.75</v>
      </c>
      <c r="E153" s="34">
        <v>7.75</v>
      </c>
      <c r="F153" s="140">
        <v>6</v>
      </c>
      <c r="G153" s="18"/>
      <c r="H153" s="140"/>
      <c r="I153" s="34">
        <f>SUM(B153:H153)</f>
        <v>37</v>
      </c>
      <c r="J153" s="142"/>
      <c r="N153" s="72"/>
    </row>
    <row r="154" spans="1:20" ht="18" customHeight="1">
      <c r="A154" s="29"/>
      <c r="B154" s="30" t="s">
        <v>124</v>
      </c>
      <c r="C154" s="30" t="s">
        <v>124</v>
      </c>
      <c r="D154" s="30" t="s">
        <v>124</v>
      </c>
      <c r="E154" s="30" t="s">
        <v>124</v>
      </c>
      <c r="F154" s="31" t="s">
        <v>125</v>
      </c>
      <c r="G154" s="118"/>
      <c r="H154" s="31"/>
      <c r="I154" s="7"/>
      <c r="J154" s="32"/>
      <c r="N154" s="72"/>
    </row>
    <row r="155" spans="1:20" ht="18" customHeight="1" thickBot="1">
      <c r="A155" s="315">
        <v>3</v>
      </c>
      <c r="B155" s="34">
        <v>7.75</v>
      </c>
      <c r="C155" s="34">
        <v>7.75</v>
      </c>
      <c r="D155" s="34">
        <v>7.75</v>
      </c>
      <c r="E155" s="34">
        <v>7.75</v>
      </c>
      <c r="F155" s="140">
        <v>6</v>
      </c>
      <c r="G155" s="17"/>
      <c r="H155" s="140"/>
      <c r="I155" s="34">
        <f>SUM(B155:H155)</f>
        <v>37</v>
      </c>
      <c r="J155" s="37"/>
    </row>
    <row r="156" spans="1:20" ht="18" customHeight="1">
      <c r="A156" s="415"/>
      <c r="B156" s="30" t="s">
        <v>124</v>
      </c>
      <c r="C156" s="30" t="s">
        <v>124</v>
      </c>
      <c r="D156" s="30" t="s">
        <v>124</v>
      </c>
      <c r="E156" s="30" t="s">
        <v>124</v>
      </c>
      <c r="F156" s="31" t="s">
        <v>125</v>
      </c>
      <c r="G156" s="11"/>
      <c r="H156" s="11"/>
      <c r="I156" s="14"/>
      <c r="J156" s="40"/>
      <c r="P156" s="72"/>
    </row>
    <row r="157" spans="1:20" ht="18" customHeight="1" thickBot="1">
      <c r="A157" s="315">
        <v>4</v>
      </c>
      <c r="B157" s="34">
        <v>7.75</v>
      </c>
      <c r="C157" s="34">
        <v>7.75</v>
      </c>
      <c r="D157" s="34">
        <v>7.75</v>
      </c>
      <c r="E157" s="34">
        <v>7.75</v>
      </c>
      <c r="F157" s="140">
        <v>6</v>
      </c>
      <c r="G157" s="140"/>
      <c r="H157" s="140"/>
      <c r="I157" s="34">
        <f>SUM(B157:H157)</f>
        <v>37</v>
      </c>
      <c r="J157" s="37"/>
      <c r="P157" s="72"/>
    </row>
    <row r="158" spans="1:20" ht="18" customHeight="1">
      <c r="A158" s="416"/>
      <c r="B158" s="30" t="s">
        <v>124</v>
      </c>
      <c r="C158" s="30" t="s">
        <v>124</v>
      </c>
      <c r="D158" s="30" t="s">
        <v>124</v>
      </c>
      <c r="E158" s="30" t="s">
        <v>124</v>
      </c>
      <c r="F158" s="31" t="s">
        <v>125</v>
      </c>
      <c r="G158" s="377"/>
      <c r="H158" s="377"/>
      <c r="I158" s="417"/>
      <c r="J158" s="418"/>
      <c r="P158" s="72"/>
    </row>
    <row r="159" spans="1:20" ht="18" customHeight="1" thickBot="1">
      <c r="A159" s="315">
        <v>5</v>
      </c>
      <c r="B159" s="34">
        <v>7.75</v>
      </c>
      <c r="C159" s="34">
        <v>7.75</v>
      </c>
      <c r="D159" s="34">
        <v>7.75</v>
      </c>
      <c r="E159" s="34">
        <v>7.75</v>
      </c>
      <c r="F159" s="140">
        <v>6</v>
      </c>
      <c r="G159" s="18"/>
      <c r="H159" s="18"/>
      <c r="I159" s="34">
        <f>SUM(B159:H159)</f>
        <v>37</v>
      </c>
      <c r="J159" s="37"/>
    </row>
    <row r="160" spans="1:20" ht="18" customHeight="1">
      <c r="A160" s="147"/>
      <c r="B160" s="30" t="s">
        <v>124</v>
      </c>
      <c r="C160" s="30" t="s">
        <v>124</v>
      </c>
      <c r="D160" s="30" t="s">
        <v>124</v>
      </c>
      <c r="E160" s="30" t="s">
        <v>124</v>
      </c>
      <c r="F160" s="31" t="s">
        <v>125</v>
      </c>
      <c r="G160" s="11"/>
      <c r="H160" s="11"/>
      <c r="I160" s="14"/>
      <c r="J160" s="40"/>
    </row>
    <row r="161" spans="1:20" ht="18" customHeight="1" thickBot="1">
      <c r="A161" s="315">
        <v>6</v>
      </c>
      <c r="B161" s="34">
        <v>7.75</v>
      </c>
      <c r="C161" s="34">
        <v>7.75</v>
      </c>
      <c r="D161" s="34">
        <v>7.75</v>
      </c>
      <c r="E161" s="34">
        <v>7.75</v>
      </c>
      <c r="F161" s="140">
        <v>6</v>
      </c>
      <c r="G161" s="140"/>
      <c r="H161" s="140"/>
      <c r="I161" s="34">
        <f>SUM(B161:H161)</f>
        <v>37</v>
      </c>
      <c r="J161" s="37"/>
    </row>
    <row r="162" spans="1:20" ht="18" customHeight="1" thickBot="1">
      <c r="A162" s="58" t="s">
        <v>30</v>
      </c>
      <c r="B162" s="58">
        <f t="shared" ref="B162:H162" si="6">SUM(B151,B153,B155,B157,B159,B161)</f>
        <v>46.5</v>
      </c>
      <c r="C162" s="58">
        <f t="shared" si="6"/>
        <v>46.5</v>
      </c>
      <c r="D162" s="58">
        <f t="shared" si="6"/>
        <v>46.5</v>
      </c>
      <c r="E162" s="58">
        <f t="shared" si="6"/>
        <v>46.5</v>
      </c>
      <c r="F162" s="58">
        <f t="shared" si="6"/>
        <v>36</v>
      </c>
      <c r="G162" s="58">
        <f t="shared" si="6"/>
        <v>0</v>
      </c>
      <c r="H162" s="58">
        <f t="shared" si="6"/>
        <v>0</v>
      </c>
      <c r="I162" s="70">
        <f>SUM(I151,I153,I155,I157,I161)</f>
        <v>185</v>
      </c>
      <c r="J162" s="71"/>
      <c r="M162" s="72"/>
      <c r="N162" s="72"/>
    </row>
    <row r="163" spans="1:20" ht="18" customHeight="1" thickTop="1">
      <c r="A163" s="312"/>
      <c r="B163" s="72"/>
      <c r="C163" s="72"/>
      <c r="D163" s="72"/>
      <c r="E163" s="72"/>
      <c r="F163" s="139"/>
      <c r="G163" s="204" t="s">
        <v>152</v>
      </c>
      <c r="H163" s="204" t="s">
        <v>153</v>
      </c>
      <c r="I163" s="204" t="s">
        <v>154</v>
      </c>
      <c r="J163" s="73"/>
      <c r="M163" s="72"/>
      <c r="N163" s="72"/>
    </row>
    <row r="164" spans="1:20" ht="18" customHeight="1">
      <c r="A164" s="312"/>
      <c r="B164" s="72"/>
      <c r="C164" s="72"/>
      <c r="D164" s="72"/>
      <c r="E164" s="72"/>
      <c r="F164" s="139"/>
      <c r="G164" s="130">
        <f>I162</f>
        <v>185</v>
      </c>
      <c r="H164" s="169">
        <f>SUM(G164*13/3)</f>
        <v>801.66666666666663</v>
      </c>
      <c r="I164" s="130">
        <f>SUM(H164*12)</f>
        <v>9620</v>
      </c>
      <c r="J164" s="73"/>
      <c r="M164" s="72"/>
      <c r="N164" s="72"/>
    </row>
    <row r="165" spans="1:20" ht="18" customHeight="1">
      <c r="A165" s="274"/>
      <c r="B165" s="72"/>
      <c r="C165" s="72"/>
      <c r="D165" s="72"/>
      <c r="E165" s="72"/>
      <c r="F165" s="139"/>
      <c r="G165" s="72"/>
      <c r="H165" s="174"/>
      <c r="I165" s="72"/>
      <c r="J165" s="73"/>
      <c r="M165" s="72"/>
      <c r="N165" s="72"/>
    </row>
    <row r="166" spans="1:20" ht="17.100000000000001" customHeight="1" thickBot="1">
      <c r="A166" s="1" t="s">
        <v>397</v>
      </c>
      <c r="B166" s="72"/>
      <c r="C166" s="72"/>
      <c r="D166" s="72"/>
      <c r="E166" s="72"/>
      <c r="F166" s="72"/>
      <c r="O166">
        <v>37</v>
      </c>
      <c r="P166" t="s">
        <v>381</v>
      </c>
      <c r="Q166">
        <v>4</v>
      </c>
      <c r="R166" t="s">
        <v>382</v>
      </c>
      <c r="S166">
        <f>O166*Q166</f>
        <v>148</v>
      </c>
      <c r="T166" t="s">
        <v>383</v>
      </c>
    </row>
    <row r="167" spans="1:20" ht="17.100000000000001" customHeight="1" thickBot="1">
      <c r="A167" s="205" t="s">
        <v>398</v>
      </c>
      <c r="B167" s="24" t="s">
        <v>2</v>
      </c>
      <c r="C167" s="25" t="s">
        <v>3</v>
      </c>
      <c r="D167" s="25" t="s">
        <v>4</v>
      </c>
      <c r="E167" s="25" t="s">
        <v>5</v>
      </c>
      <c r="F167" s="25" t="s">
        <v>6</v>
      </c>
      <c r="G167" s="25" t="s">
        <v>7</v>
      </c>
      <c r="H167" s="26" t="s">
        <v>8</v>
      </c>
      <c r="I167" s="27" t="s">
        <v>9</v>
      </c>
      <c r="J167" s="28" t="s">
        <v>10</v>
      </c>
      <c r="M167" s="340"/>
      <c r="N167" s="341" t="s">
        <v>322</v>
      </c>
      <c r="O167" t="s">
        <v>28</v>
      </c>
    </row>
    <row r="168" spans="1:20" ht="17.100000000000001" customHeight="1">
      <c r="A168" s="419"/>
      <c r="B168" s="5" t="s">
        <v>444</v>
      </c>
      <c r="C168" s="5" t="s">
        <v>444</v>
      </c>
      <c r="D168" s="5" t="s">
        <v>444</v>
      </c>
      <c r="E168" s="5" t="s">
        <v>167</v>
      </c>
      <c r="F168" s="5" t="s">
        <v>167</v>
      </c>
      <c r="G168" s="5"/>
      <c r="H168" s="5"/>
      <c r="I168" s="346"/>
      <c r="J168" s="32"/>
      <c r="M168" s="329"/>
      <c r="N168" s="345" t="s">
        <v>323</v>
      </c>
      <c r="O168" t="s">
        <v>385</v>
      </c>
      <c r="Q168">
        <f>N174</f>
        <v>136.75</v>
      </c>
    </row>
    <row r="169" spans="1:20" ht="17.100000000000001" customHeight="1" thickBot="1">
      <c r="A169" s="420">
        <v>1</v>
      </c>
      <c r="B169" s="140">
        <v>8.5</v>
      </c>
      <c r="C169" s="140">
        <v>8.5</v>
      </c>
      <c r="D169" s="140">
        <v>8.5</v>
      </c>
      <c r="E169" s="140">
        <v>0</v>
      </c>
      <c r="F169" s="140">
        <v>0</v>
      </c>
      <c r="G169" s="140"/>
      <c r="H169" s="140"/>
      <c r="I169" s="140">
        <f>SUM(B169:H169)</f>
        <v>25.5</v>
      </c>
      <c r="J169" s="37"/>
      <c r="M169" s="329" t="s">
        <v>324</v>
      </c>
      <c r="N169" s="345">
        <f>I169</f>
        <v>25.5</v>
      </c>
    </row>
    <row r="170" spans="1:20" ht="17.100000000000001" customHeight="1">
      <c r="A170" s="419"/>
      <c r="B170" s="5" t="s">
        <v>445</v>
      </c>
      <c r="C170" s="5" t="s">
        <v>445</v>
      </c>
      <c r="D170" s="5" t="s">
        <v>445</v>
      </c>
      <c r="E170" s="5" t="s">
        <v>446</v>
      </c>
      <c r="F170" s="5" t="s">
        <v>446</v>
      </c>
      <c r="G170" s="5" t="s">
        <v>447</v>
      </c>
      <c r="H170" s="5" t="s">
        <v>447</v>
      </c>
      <c r="I170" s="346"/>
      <c r="J170" s="32"/>
      <c r="M170" s="329" t="s">
        <v>325</v>
      </c>
      <c r="N170" s="345">
        <f>I171</f>
        <v>63.75</v>
      </c>
      <c r="O170">
        <f>Q168</f>
        <v>136.75</v>
      </c>
      <c r="P170" t="s">
        <v>387</v>
      </c>
      <c r="Q170" s="160">
        <f>SUM(O170/37)</f>
        <v>3.6959459459459461</v>
      </c>
    </row>
    <row r="171" spans="1:20" ht="17.100000000000001" customHeight="1" thickBot="1">
      <c r="A171" s="420">
        <v>2</v>
      </c>
      <c r="B171" s="140">
        <v>8.25</v>
      </c>
      <c r="C171" s="140">
        <v>8.25</v>
      </c>
      <c r="D171" s="140">
        <v>8.25</v>
      </c>
      <c r="E171" s="140">
        <v>8.5</v>
      </c>
      <c r="F171" s="140">
        <v>8.5</v>
      </c>
      <c r="G171" s="140">
        <v>11</v>
      </c>
      <c r="H171" s="140">
        <v>11</v>
      </c>
      <c r="I171" s="140">
        <f>SUM(B171:H171)</f>
        <v>63.75</v>
      </c>
      <c r="J171" s="37"/>
      <c r="M171" s="329" t="s">
        <v>326</v>
      </c>
      <c r="N171" s="345">
        <f>I173</f>
        <v>0</v>
      </c>
    </row>
    <row r="172" spans="1:20" ht="17.100000000000001" customHeight="1">
      <c r="A172" s="419"/>
      <c r="B172" s="31" t="s">
        <v>167</v>
      </c>
      <c r="C172" s="31" t="s">
        <v>167</v>
      </c>
      <c r="D172" s="31" t="s">
        <v>167</v>
      </c>
      <c r="E172" s="31" t="s">
        <v>167</v>
      </c>
      <c r="F172" s="31" t="s">
        <v>167</v>
      </c>
      <c r="G172" s="31"/>
      <c r="H172" s="31"/>
      <c r="I172" s="346"/>
      <c r="J172" s="32"/>
      <c r="M172" s="329" t="s">
        <v>236</v>
      </c>
      <c r="N172" s="345">
        <f>I175</f>
        <v>47.5</v>
      </c>
      <c r="O172" s="160">
        <f>Q170</f>
        <v>3.6959459459459461</v>
      </c>
      <c r="P172" t="s">
        <v>406</v>
      </c>
      <c r="S172" s="421">
        <f>SUM(O172*3)</f>
        <v>11.087837837837839</v>
      </c>
      <c r="T172" t="s">
        <v>407</v>
      </c>
    </row>
    <row r="173" spans="1:20" ht="17.100000000000001" customHeight="1" thickBot="1">
      <c r="A173" s="420">
        <v>3</v>
      </c>
      <c r="B173" s="140">
        <v>0</v>
      </c>
      <c r="C173" s="140">
        <v>0</v>
      </c>
      <c r="D173" s="140">
        <v>0</v>
      </c>
      <c r="E173" s="140">
        <v>0</v>
      </c>
      <c r="F173" s="140">
        <v>0</v>
      </c>
      <c r="G173" s="140"/>
      <c r="H173" s="140"/>
      <c r="I173" s="140">
        <f>SUM(B173:H173)</f>
        <v>0</v>
      </c>
      <c r="J173" s="37"/>
      <c r="M173" s="422" t="s">
        <v>28</v>
      </c>
      <c r="N173" s="423">
        <f>I177</f>
        <v>0</v>
      </c>
    </row>
    <row r="174" spans="1:20" ht="17.100000000000001" customHeight="1" thickBot="1">
      <c r="A174" s="419"/>
      <c r="B174" s="5" t="s">
        <v>448</v>
      </c>
      <c r="C174" s="5" t="s">
        <v>448</v>
      </c>
      <c r="D174" s="5" t="s">
        <v>448</v>
      </c>
      <c r="E174" s="5" t="s">
        <v>448</v>
      </c>
      <c r="F174" s="5" t="s">
        <v>448</v>
      </c>
      <c r="G174" s="31"/>
      <c r="H174" s="31"/>
      <c r="I174" s="346"/>
      <c r="J174" s="32"/>
      <c r="M174" s="331" t="s">
        <v>329</v>
      </c>
      <c r="N174" s="350">
        <f>SUM(N169:N173)</f>
        <v>136.75</v>
      </c>
      <c r="O174" t="s">
        <v>28</v>
      </c>
      <c r="P174" s="354"/>
      <c r="Q174" s="354" t="s">
        <v>408</v>
      </c>
      <c r="S174" s="160">
        <f>S166-S172</f>
        <v>136.91216216216216</v>
      </c>
      <c r="T174" t="s">
        <v>409</v>
      </c>
    </row>
    <row r="175" spans="1:20" ht="17.100000000000001" customHeight="1" thickBot="1">
      <c r="A175" s="420">
        <v>4</v>
      </c>
      <c r="B175" s="140">
        <v>9.5</v>
      </c>
      <c r="C175" s="140">
        <v>9.5</v>
      </c>
      <c r="D175" s="140">
        <v>9.5</v>
      </c>
      <c r="E175" s="140">
        <v>9.5</v>
      </c>
      <c r="F175" s="140">
        <v>9.5</v>
      </c>
      <c r="G175" s="140"/>
      <c r="H175" s="140"/>
      <c r="I175" s="140">
        <f>SUM(B175:H175)</f>
        <v>47.5</v>
      </c>
      <c r="J175" s="37"/>
      <c r="S175" s="160"/>
    </row>
    <row r="176" spans="1:20" ht="17.100000000000001" customHeight="1">
      <c r="A176" s="419"/>
      <c r="B176" s="5"/>
      <c r="C176" s="5"/>
      <c r="D176" s="5"/>
      <c r="E176" s="31"/>
      <c r="F176" s="31"/>
      <c r="G176" s="31"/>
      <c r="H176" s="31"/>
      <c r="I176" s="346"/>
      <c r="J176" s="32"/>
      <c r="S176" s="160"/>
    </row>
    <row r="177" spans="1:22" ht="17.100000000000001" customHeight="1" thickBot="1">
      <c r="A177" s="420"/>
      <c r="B177" s="140"/>
      <c r="C177" s="140"/>
      <c r="D177" s="140"/>
      <c r="E177" s="140"/>
      <c r="F177" s="140"/>
      <c r="G177" s="140"/>
      <c r="H177" s="140"/>
      <c r="I177" s="140"/>
      <c r="J177" s="37"/>
      <c r="S177" s="160"/>
    </row>
    <row r="178" spans="1:22" ht="17.100000000000001" customHeight="1">
      <c r="A178" s="419"/>
      <c r="B178" s="31"/>
      <c r="C178" s="31"/>
      <c r="D178" s="31"/>
      <c r="E178" s="31"/>
      <c r="F178" s="31"/>
      <c r="G178" s="31"/>
      <c r="H178" s="31"/>
      <c r="I178" s="346"/>
      <c r="J178" s="32"/>
      <c r="S178" s="160"/>
    </row>
    <row r="179" spans="1:22" ht="17.100000000000001" customHeight="1" thickBot="1">
      <c r="A179" s="420"/>
      <c r="B179" s="140"/>
      <c r="C179" s="140"/>
      <c r="D179" s="140"/>
      <c r="E179" s="140"/>
      <c r="F179" s="140"/>
      <c r="G179" s="140"/>
      <c r="H179" s="140"/>
      <c r="I179" s="140"/>
      <c r="J179" s="37"/>
      <c r="S179" s="160"/>
    </row>
    <row r="180" spans="1:22" ht="17.100000000000001" customHeight="1">
      <c r="A180" s="419"/>
      <c r="B180" s="5"/>
      <c r="C180" s="5"/>
      <c r="D180" s="5"/>
      <c r="E180" s="5"/>
      <c r="F180" s="5"/>
      <c r="G180" s="31"/>
      <c r="H180" s="31"/>
      <c r="I180" s="346"/>
      <c r="J180" s="32" t="s">
        <v>28</v>
      </c>
      <c r="S180" s="160"/>
    </row>
    <row r="181" spans="1:22" ht="17.100000000000001" customHeight="1" thickBot="1">
      <c r="A181" s="420" t="s">
        <v>28</v>
      </c>
      <c r="B181" s="140"/>
      <c r="C181" s="140"/>
      <c r="D181" s="140"/>
      <c r="E181" s="140"/>
      <c r="F181" s="140"/>
      <c r="G181" s="140"/>
      <c r="H181" s="140"/>
      <c r="I181" s="140">
        <f>SUM(B181:H181)</f>
        <v>0</v>
      </c>
      <c r="J181" s="37"/>
      <c r="S181" s="160"/>
    </row>
    <row r="182" spans="1:22" ht="17.100000000000001" customHeight="1" thickBot="1">
      <c r="A182" s="196" t="s">
        <v>30</v>
      </c>
      <c r="B182" s="196">
        <f t="shared" ref="B182:H182" si="7">SUM(B169,B171,B173,B175)</f>
        <v>26.25</v>
      </c>
      <c r="C182" s="196">
        <f t="shared" si="7"/>
        <v>26.25</v>
      </c>
      <c r="D182" s="196">
        <f t="shared" si="7"/>
        <v>26.25</v>
      </c>
      <c r="E182" s="196">
        <f t="shared" si="7"/>
        <v>18</v>
      </c>
      <c r="F182" s="196">
        <f t="shared" si="7"/>
        <v>18</v>
      </c>
      <c r="G182" s="196">
        <f t="shared" si="7"/>
        <v>11</v>
      </c>
      <c r="H182" s="196">
        <f t="shared" si="7"/>
        <v>11</v>
      </c>
      <c r="I182" s="196">
        <f>SUM(I169,I171,I173,I175,I177,I179,I181)</f>
        <v>136.75</v>
      </c>
      <c r="J182" s="198"/>
      <c r="O182" t="s">
        <v>410</v>
      </c>
      <c r="P182">
        <f>I182</f>
        <v>136.75</v>
      </c>
      <c r="Q182" s="361" t="s">
        <v>411</v>
      </c>
      <c r="S182" s="160">
        <f>S174</f>
        <v>136.91216216216216</v>
      </c>
      <c r="T182" t="s">
        <v>412</v>
      </c>
      <c r="U182" s="412">
        <f>P182-S182</f>
        <v>-0.16216216216216139</v>
      </c>
    </row>
    <row r="183" spans="1:22" ht="17.100000000000001" customHeight="1" thickTop="1">
      <c r="A183" s="72"/>
      <c r="B183" s="72"/>
      <c r="C183" s="72"/>
      <c r="D183" s="72"/>
      <c r="E183" s="72"/>
      <c r="F183" s="72"/>
      <c r="G183" s="204" t="s">
        <v>152</v>
      </c>
      <c r="H183" s="204" t="s">
        <v>153</v>
      </c>
      <c r="I183" s="204" t="s">
        <v>154</v>
      </c>
      <c r="V183" s="411"/>
    </row>
    <row r="184" spans="1:22" ht="17.100000000000001" customHeight="1">
      <c r="A184" s="72"/>
      <c r="B184" s="72"/>
      <c r="C184" s="72"/>
      <c r="D184" s="72"/>
      <c r="E184" s="72"/>
      <c r="F184" s="72"/>
      <c r="G184" s="130">
        <f>I182</f>
        <v>136.75</v>
      </c>
      <c r="H184" s="169">
        <f>SUM(G184*13/3)</f>
        <v>592.58333333333337</v>
      </c>
      <c r="I184" s="130">
        <f>SUM(H184*12)</f>
        <v>7111</v>
      </c>
    </row>
    <row r="185" spans="1:22" ht="17.100000000000001" customHeight="1">
      <c r="A185" s="72"/>
      <c r="B185" s="72"/>
      <c r="C185" s="72"/>
      <c r="D185" s="72"/>
      <c r="E185" s="72"/>
      <c r="F185" s="72"/>
      <c r="G185" s="72"/>
      <c r="H185" s="174"/>
      <c r="I185" s="72"/>
    </row>
    <row r="186" spans="1:22" ht="17.100000000000001" customHeight="1">
      <c r="A186" s="72"/>
      <c r="B186" s="72"/>
      <c r="C186" s="72"/>
      <c r="D186" s="72"/>
      <c r="E186" s="72"/>
      <c r="F186" s="72"/>
      <c r="G186" s="72"/>
      <c r="H186" s="174"/>
      <c r="I186" s="72"/>
    </row>
    <row r="187" spans="1:22" ht="17.100000000000001" customHeight="1" thickBot="1">
      <c r="A187" s="1" t="s">
        <v>413</v>
      </c>
      <c r="B187" s="72"/>
      <c r="C187" s="72"/>
      <c r="D187" s="72"/>
      <c r="E187" s="72"/>
      <c r="F187" s="72"/>
      <c r="O187">
        <v>37</v>
      </c>
      <c r="P187" t="s">
        <v>381</v>
      </c>
      <c r="Q187">
        <v>4</v>
      </c>
      <c r="R187" t="s">
        <v>382</v>
      </c>
      <c r="S187">
        <f>O187*Q187</f>
        <v>148</v>
      </c>
      <c r="T187" t="s">
        <v>383</v>
      </c>
    </row>
    <row r="188" spans="1:22" ht="17.100000000000001" customHeight="1" thickBot="1">
      <c r="A188" s="205" t="s">
        <v>398</v>
      </c>
      <c r="B188" s="24" t="s">
        <v>2</v>
      </c>
      <c r="C188" s="25" t="s">
        <v>3</v>
      </c>
      <c r="D188" s="25" t="s">
        <v>4</v>
      </c>
      <c r="E188" s="25" t="s">
        <v>5</v>
      </c>
      <c r="F188" s="25" t="s">
        <v>6</v>
      </c>
      <c r="G188" s="25" t="s">
        <v>7</v>
      </c>
      <c r="H188" s="26" t="s">
        <v>8</v>
      </c>
      <c r="I188" s="27" t="s">
        <v>9</v>
      </c>
      <c r="J188" s="28" t="s">
        <v>10</v>
      </c>
      <c r="M188" s="340"/>
      <c r="N188" s="341" t="s">
        <v>322</v>
      </c>
      <c r="O188" t="s">
        <v>28</v>
      </c>
    </row>
    <row r="189" spans="1:22" ht="17.100000000000001" customHeight="1">
      <c r="A189" s="419"/>
      <c r="B189" s="5" t="s">
        <v>167</v>
      </c>
      <c r="C189" s="5" t="s">
        <v>167</v>
      </c>
      <c r="D189" s="5" t="s">
        <v>414</v>
      </c>
      <c r="E189" s="5" t="s">
        <v>414</v>
      </c>
      <c r="F189" s="5" t="s">
        <v>414</v>
      </c>
      <c r="G189" s="5" t="s">
        <v>415</v>
      </c>
      <c r="H189" s="5" t="s">
        <v>416</v>
      </c>
      <c r="I189" s="346"/>
      <c r="J189" s="32"/>
      <c r="M189" s="329"/>
      <c r="N189" s="345" t="s">
        <v>323</v>
      </c>
      <c r="O189" t="s">
        <v>385</v>
      </c>
      <c r="Q189">
        <f>N195</f>
        <v>102</v>
      </c>
    </row>
    <row r="190" spans="1:22" ht="17.100000000000001" customHeight="1" thickBot="1">
      <c r="A190" s="420" t="s">
        <v>417</v>
      </c>
      <c r="B190" s="140"/>
      <c r="C190" s="140"/>
      <c r="D190" s="140">
        <v>12</v>
      </c>
      <c r="E190" s="140">
        <v>12</v>
      </c>
      <c r="F190" s="140">
        <v>12</v>
      </c>
      <c r="G190" s="140">
        <v>12</v>
      </c>
      <c r="H190" s="140">
        <v>8</v>
      </c>
      <c r="I190" s="140">
        <f>SUM(B190:H190)</f>
        <v>56</v>
      </c>
      <c r="J190" s="37"/>
      <c r="M190" s="329" t="s">
        <v>324</v>
      </c>
      <c r="N190" s="345">
        <f>I190</f>
        <v>56</v>
      </c>
    </row>
    <row r="191" spans="1:22" ht="17.100000000000001" customHeight="1">
      <c r="A191" s="419"/>
      <c r="B191" s="5" t="s">
        <v>167</v>
      </c>
      <c r="C191" s="5" t="s">
        <v>167</v>
      </c>
      <c r="D191" s="5" t="s">
        <v>167</v>
      </c>
      <c r="E191" s="5" t="s">
        <v>167</v>
      </c>
      <c r="F191" s="5" t="s">
        <v>167</v>
      </c>
      <c r="G191" s="5"/>
      <c r="H191" s="5"/>
      <c r="I191" s="346"/>
      <c r="J191" s="32"/>
      <c r="M191" s="329" t="s">
        <v>325</v>
      </c>
      <c r="N191" s="345">
        <f>I192</f>
        <v>0</v>
      </c>
      <c r="O191">
        <f>Q189</f>
        <v>102</v>
      </c>
      <c r="P191" t="s">
        <v>387</v>
      </c>
      <c r="Q191" s="160">
        <f>SUM(O191/37)</f>
        <v>2.7567567567567566</v>
      </c>
    </row>
    <row r="192" spans="1:22" ht="17.100000000000001" customHeight="1" thickBot="1">
      <c r="A192" s="420" t="s">
        <v>418</v>
      </c>
      <c r="B192" s="140"/>
      <c r="C192" s="140"/>
      <c r="D192" s="140"/>
      <c r="E192" s="140"/>
      <c r="F192" s="140"/>
      <c r="G192" s="140"/>
      <c r="H192" s="140"/>
      <c r="I192" s="140">
        <f>SUM(B192:H192)</f>
        <v>0</v>
      </c>
      <c r="J192" s="37"/>
      <c r="M192" s="329" t="s">
        <v>326</v>
      </c>
      <c r="N192" s="345">
        <f>I194</f>
        <v>46</v>
      </c>
    </row>
    <row r="193" spans="1:22" ht="17.100000000000001" customHeight="1">
      <c r="A193" s="419"/>
      <c r="B193" s="5" t="s">
        <v>414</v>
      </c>
      <c r="C193" s="5" t="s">
        <v>414</v>
      </c>
      <c r="D193" s="5" t="s">
        <v>167</v>
      </c>
      <c r="E193" s="5" t="s">
        <v>167</v>
      </c>
      <c r="F193" s="5" t="s">
        <v>167</v>
      </c>
      <c r="G193" s="5" t="s">
        <v>419</v>
      </c>
      <c r="H193" s="5" t="s">
        <v>420</v>
      </c>
      <c r="I193" s="346"/>
      <c r="J193" s="32"/>
      <c r="M193" s="329" t="s">
        <v>236</v>
      </c>
      <c r="N193" s="345">
        <v>0</v>
      </c>
      <c r="O193" s="160">
        <f>Q191</f>
        <v>2.7567567567567566</v>
      </c>
      <c r="P193" t="s">
        <v>406</v>
      </c>
      <c r="S193" s="421">
        <f>SUM(O193*3)</f>
        <v>8.2702702702702702</v>
      </c>
      <c r="T193" t="s">
        <v>407</v>
      </c>
    </row>
    <row r="194" spans="1:22" ht="17.100000000000001" customHeight="1" thickBot="1">
      <c r="A194" s="420" t="s">
        <v>421</v>
      </c>
      <c r="B194" s="140">
        <v>12</v>
      </c>
      <c r="C194" s="140">
        <v>12</v>
      </c>
      <c r="D194" s="140"/>
      <c r="E194" s="140"/>
      <c r="F194" s="140"/>
      <c r="G194" s="140">
        <v>12</v>
      </c>
      <c r="H194" s="140">
        <v>10</v>
      </c>
      <c r="I194" s="140">
        <f>SUM(B194:H194)</f>
        <v>46</v>
      </c>
      <c r="J194" s="37"/>
      <c r="M194" s="422"/>
      <c r="N194" s="423"/>
    </row>
    <row r="195" spans="1:22" ht="17.100000000000001" customHeight="1" thickBot="1">
      <c r="A195" s="424"/>
      <c r="B195" s="425" t="s">
        <v>422</v>
      </c>
      <c r="C195" s="425" t="s">
        <v>423</v>
      </c>
      <c r="D195" s="425" t="s">
        <v>423</v>
      </c>
      <c r="E195" s="425" t="s">
        <v>423</v>
      </c>
      <c r="F195" s="409" t="s">
        <v>424</v>
      </c>
      <c r="G195" s="31"/>
      <c r="H195" s="31"/>
      <c r="I195" s="346"/>
      <c r="J195" s="32"/>
      <c r="M195" s="331" t="s">
        <v>329</v>
      </c>
      <c r="N195" s="350">
        <f>SUM(N190:N194)</f>
        <v>102</v>
      </c>
      <c r="O195" t="s">
        <v>28</v>
      </c>
      <c r="P195" s="354"/>
      <c r="Q195" s="354" t="s">
        <v>408</v>
      </c>
      <c r="S195" s="160">
        <f>S187-S193</f>
        <v>139.72972972972974</v>
      </c>
      <c r="T195" t="s">
        <v>409</v>
      </c>
    </row>
    <row r="196" spans="1:22" ht="17.100000000000001" customHeight="1" thickBot="1">
      <c r="A196" s="420" t="s">
        <v>425</v>
      </c>
      <c r="B196" s="18">
        <v>6.75</v>
      </c>
      <c r="C196" s="18">
        <v>7.75</v>
      </c>
      <c r="D196" s="18">
        <v>7.75</v>
      </c>
      <c r="E196" s="18">
        <v>7.75</v>
      </c>
      <c r="F196" s="18">
        <v>7.5</v>
      </c>
      <c r="G196" s="140"/>
      <c r="H196" s="140"/>
      <c r="I196" s="140">
        <f>SUM(B196:H196)</f>
        <v>37.5</v>
      </c>
      <c r="J196" s="37"/>
      <c r="S196" s="160"/>
    </row>
    <row r="197" spans="1:22" ht="17.100000000000001" customHeight="1">
      <c r="A197" s="419"/>
      <c r="B197" s="5"/>
      <c r="C197" s="5"/>
      <c r="D197" s="5"/>
      <c r="E197" s="31"/>
      <c r="F197" s="31"/>
      <c r="G197" s="31"/>
      <c r="H197" s="31"/>
      <c r="I197" s="346"/>
      <c r="J197" s="32"/>
      <c r="S197" s="160"/>
    </row>
    <row r="198" spans="1:22" ht="17.100000000000001" customHeight="1" thickBot="1">
      <c r="A198" s="426" t="s">
        <v>426</v>
      </c>
      <c r="C198" s="140"/>
      <c r="D198" s="140"/>
      <c r="E198" s="140"/>
      <c r="F198" s="140"/>
      <c r="G198" s="140"/>
      <c r="H198" s="140"/>
      <c r="I198" s="140">
        <f>SUM(A198:H198)</f>
        <v>0</v>
      </c>
      <c r="J198" s="37"/>
      <c r="S198" s="160"/>
    </row>
    <row r="199" spans="1:22" ht="17.100000000000001" customHeight="1">
      <c r="A199" s="427"/>
      <c r="B199" s="428"/>
      <c r="C199" s="428"/>
      <c r="D199" s="428"/>
      <c r="E199" s="428"/>
      <c r="F199" s="428"/>
      <c r="G199" s="428"/>
      <c r="H199" s="428"/>
      <c r="I199" s="429"/>
      <c r="J199" s="430"/>
      <c r="S199" s="160"/>
    </row>
    <row r="200" spans="1:22" ht="17.100000000000001" customHeight="1" thickBot="1">
      <c r="A200" s="431"/>
      <c r="B200" s="432"/>
      <c r="C200" s="432"/>
      <c r="D200" s="432"/>
      <c r="E200" s="432"/>
      <c r="F200" s="432"/>
      <c r="G200" s="432"/>
      <c r="H200" s="432"/>
      <c r="I200" s="432">
        <f>SUM(B200:H200)</f>
        <v>0</v>
      </c>
      <c r="J200" s="433"/>
      <c r="S200" s="160"/>
    </row>
    <row r="201" spans="1:22" ht="17.100000000000001" customHeight="1">
      <c r="A201" s="427"/>
      <c r="B201" s="434"/>
      <c r="C201" s="434"/>
      <c r="D201" s="434"/>
      <c r="E201" s="434"/>
      <c r="F201" s="434"/>
      <c r="G201" s="428"/>
      <c r="H201" s="428"/>
      <c r="I201" s="429"/>
      <c r="J201" s="430" t="s">
        <v>28</v>
      </c>
      <c r="S201" s="160"/>
    </row>
    <row r="202" spans="1:22" ht="17.100000000000001" customHeight="1" thickBot="1">
      <c r="A202" s="431" t="s">
        <v>28</v>
      </c>
      <c r="B202" s="432"/>
      <c r="C202" s="432"/>
      <c r="D202" s="432"/>
      <c r="E202" s="432"/>
      <c r="F202" s="432"/>
      <c r="G202" s="432"/>
      <c r="H202" s="432"/>
      <c r="I202" s="432">
        <f>SUM(B202:H202)</f>
        <v>0</v>
      </c>
      <c r="J202" s="433"/>
      <c r="S202" s="160"/>
    </row>
    <row r="203" spans="1:22" ht="17.100000000000001" customHeight="1" thickBot="1">
      <c r="A203" s="196" t="s">
        <v>30</v>
      </c>
      <c r="B203" s="196">
        <f t="shared" ref="B203:H203" si="8">SUM(B190,B192,B194,B196)</f>
        <v>18.75</v>
      </c>
      <c r="C203" s="196">
        <f t="shared" si="8"/>
        <v>19.75</v>
      </c>
      <c r="D203" s="196">
        <f t="shared" si="8"/>
        <v>19.75</v>
      </c>
      <c r="E203" s="196">
        <f t="shared" si="8"/>
        <v>19.75</v>
      </c>
      <c r="F203" s="196">
        <f t="shared" si="8"/>
        <v>19.5</v>
      </c>
      <c r="G203" s="196">
        <f t="shared" si="8"/>
        <v>24</v>
      </c>
      <c r="H203" s="196">
        <f t="shared" si="8"/>
        <v>18</v>
      </c>
      <c r="I203" s="196">
        <f>SUM(I190,I192,I194,I196,I198,I200,I202)</f>
        <v>139.5</v>
      </c>
      <c r="J203" s="198"/>
      <c r="O203" t="s">
        <v>410</v>
      </c>
      <c r="P203">
        <f>I203</f>
        <v>139.5</v>
      </c>
      <c r="Q203" s="361" t="s">
        <v>411</v>
      </c>
      <c r="S203" s="160">
        <f>S195</f>
        <v>139.72972972972974</v>
      </c>
      <c r="T203" t="s">
        <v>412</v>
      </c>
      <c r="U203" s="412">
        <f>P203-S203</f>
        <v>-0.22972972972974048</v>
      </c>
    </row>
    <row r="204" spans="1:22" ht="17.100000000000001" customHeight="1" thickTop="1">
      <c r="A204" s="72"/>
      <c r="B204" s="72"/>
      <c r="C204" s="72"/>
      <c r="D204" s="72"/>
      <c r="E204" s="72"/>
      <c r="F204" s="72"/>
      <c r="G204" s="204" t="s">
        <v>152</v>
      </c>
      <c r="H204" s="204" t="s">
        <v>153</v>
      </c>
      <c r="I204" s="204" t="s">
        <v>154</v>
      </c>
      <c r="V204" s="411"/>
    </row>
    <row r="205" spans="1:22" ht="17.100000000000001" customHeight="1">
      <c r="A205" s="72"/>
      <c r="B205" s="72"/>
      <c r="C205" s="72"/>
      <c r="D205" s="72"/>
      <c r="E205" s="72"/>
      <c r="F205" s="72"/>
      <c r="G205" s="130">
        <f>I203</f>
        <v>139.5</v>
      </c>
      <c r="H205" s="169">
        <f>SUM(G205*13/3)</f>
        <v>604.5</v>
      </c>
      <c r="I205" s="130">
        <f>SUM(H205*12)</f>
        <v>7254</v>
      </c>
    </row>
    <row r="206" spans="1:22" ht="18" customHeight="1" thickBot="1">
      <c r="A206" s="149" t="s">
        <v>127</v>
      </c>
      <c r="B206" s="72"/>
      <c r="C206" s="72"/>
      <c r="D206" s="72"/>
      <c r="E206" s="72"/>
      <c r="F206" s="139"/>
      <c r="G206" s="139"/>
      <c r="H206" s="139"/>
      <c r="I206" s="72"/>
      <c r="J206" s="73"/>
      <c r="K206" s="274"/>
    </row>
    <row r="207" spans="1:22" ht="18" customHeight="1" thickBot="1">
      <c r="A207" s="123" t="s">
        <v>128</v>
      </c>
      <c r="B207" s="24" t="s">
        <v>2</v>
      </c>
      <c r="C207" s="25" t="s">
        <v>3</v>
      </c>
      <c r="D207" s="25" t="s">
        <v>4</v>
      </c>
      <c r="E207" s="25" t="s">
        <v>5</v>
      </c>
      <c r="F207" s="25" t="s">
        <v>6</v>
      </c>
      <c r="G207" s="25" t="s">
        <v>7</v>
      </c>
      <c r="H207" s="26" t="s">
        <v>8</v>
      </c>
      <c r="I207" s="27" t="s">
        <v>9</v>
      </c>
      <c r="J207" s="28" t="s">
        <v>10</v>
      </c>
      <c r="K207" s="72"/>
    </row>
    <row r="208" spans="1:22" ht="18" customHeight="1">
      <c r="A208" s="29" t="s">
        <v>28</v>
      </c>
      <c r="B208" s="30" t="s">
        <v>124</v>
      </c>
      <c r="C208" s="30" t="s">
        <v>124</v>
      </c>
      <c r="D208" s="30" t="s">
        <v>124</v>
      </c>
      <c r="E208" s="30" t="s">
        <v>124</v>
      </c>
      <c r="F208" s="31" t="s">
        <v>125</v>
      </c>
      <c r="G208" s="31"/>
      <c r="H208" s="31"/>
      <c r="I208" s="7"/>
      <c r="J208" s="32"/>
    </row>
    <row r="209" spans="1:10" ht="18" customHeight="1" thickBot="1">
      <c r="A209" s="33" t="s">
        <v>28</v>
      </c>
      <c r="B209" s="34">
        <v>0</v>
      </c>
      <c r="C209" s="34">
        <v>0</v>
      </c>
      <c r="D209" s="34">
        <v>0</v>
      </c>
      <c r="E209" s="34">
        <v>0</v>
      </c>
      <c r="F209" s="34">
        <v>0</v>
      </c>
      <c r="G209" s="140"/>
      <c r="H209" s="140"/>
      <c r="I209" s="34">
        <f>SUM(B209:H209)</f>
        <v>0</v>
      </c>
      <c r="J209" s="37"/>
    </row>
    <row r="210" spans="1:10" ht="18" customHeight="1">
      <c r="A210" s="29"/>
      <c r="B210" s="30" t="s">
        <v>124</v>
      </c>
      <c r="C210" s="30" t="s">
        <v>124</v>
      </c>
      <c r="D210" s="30" t="s">
        <v>124</v>
      </c>
      <c r="E210" s="30" t="s">
        <v>124</v>
      </c>
      <c r="F210" s="31" t="s">
        <v>125</v>
      </c>
      <c r="G210" s="31"/>
      <c r="H210" s="31"/>
      <c r="I210" s="7"/>
      <c r="J210" s="32"/>
    </row>
    <row r="211" spans="1:10" ht="18" customHeight="1" thickBot="1">
      <c r="A211" s="33" t="s">
        <v>28</v>
      </c>
      <c r="B211" s="34">
        <v>0</v>
      </c>
      <c r="C211" s="34">
        <v>0</v>
      </c>
      <c r="D211" s="34">
        <v>0</v>
      </c>
      <c r="E211" s="34">
        <v>0</v>
      </c>
      <c r="F211" s="34">
        <v>0</v>
      </c>
      <c r="G211" s="140"/>
      <c r="H211" s="140"/>
      <c r="I211" s="34">
        <f>SUM(B211:H211)</f>
        <v>0</v>
      </c>
      <c r="J211" s="37"/>
    </row>
    <row r="212" spans="1:10" ht="18" customHeight="1">
      <c r="A212" s="29"/>
      <c r="B212" s="30" t="s">
        <v>124</v>
      </c>
      <c r="C212" s="30" t="s">
        <v>124</v>
      </c>
      <c r="D212" s="30" t="s">
        <v>124</v>
      </c>
      <c r="E212" s="30" t="s">
        <v>124</v>
      </c>
      <c r="F212" s="31" t="s">
        <v>125</v>
      </c>
      <c r="G212" s="31"/>
      <c r="H212" s="31"/>
      <c r="I212" s="7"/>
      <c r="J212" s="32"/>
    </row>
    <row r="213" spans="1:10" ht="18" customHeight="1" thickBot="1">
      <c r="A213" s="33"/>
      <c r="B213" s="34"/>
      <c r="C213" s="34"/>
      <c r="D213" s="34"/>
      <c r="E213" s="34"/>
      <c r="F213" s="34"/>
      <c r="G213" s="140"/>
      <c r="H213" s="140"/>
      <c r="I213" s="34">
        <f>SUM(B213:H213)</f>
        <v>0</v>
      </c>
      <c r="J213" s="37"/>
    </row>
    <row r="214" spans="1:10" ht="18" customHeight="1" thickBot="1">
      <c r="A214" s="58" t="s">
        <v>30</v>
      </c>
      <c r="B214" s="58">
        <f t="shared" ref="B214:I214" si="9">SUM(B209,B211,B213)</f>
        <v>0</v>
      </c>
      <c r="C214" s="58">
        <f t="shared" si="9"/>
        <v>0</v>
      </c>
      <c r="D214" s="58">
        <f t="shared" si="9"/>
        <v>0</v>
      </c>
      <c r="E214" s="58">
        <f t="shared" si="9"/>
        <v>0</v>
      </c>
      <c r="F214" s="58">
        <f t="shared" si="9"/>
        <v>0</v>
      </c>
      <c r="G214" s="58">
        <f t="shared" si="9"/>
        <v>0</v>
      </c>
      <c r="H214" s="58">
        <f t="shared" si="9"/>
        <v>0</v>
      </c>
      <c r="I214" s="58">
        <f t="shared" si="9"/>
        <v>0</v>
      </c>
      <c r="J214" s="71"/>
    </row>
    <row r="215" spans="1:10" ht="18" customHeight="1" thickTop="1">
      <c r="A215" s="72"/>
      <c r="B215" s="72"/>
      <c r="C215" s="72"/>
      <c r="D215" s="72"/>
      <c r="E215" s="72"/>
      <c r="F215" s="72"/>
      <c r="G215" s="204" t="s">
        <v>152</v>
      </c>
      <c r="H215" s="204" t="s">
        <v>153</v>
      </c>
      <c r="I215" s="204" t="s">
        <v>154</v>
      </c>
      <c r="J215" s="73"/>
    </row>
    <row r="216" spans="1:10" ht="18" customHeight="1">
      <c r="A216" s="72"/>
      <c r="B216" s="72"/>
      <c r="C216" s="72"/>
      <c r="D216" s="72"/>
      <c r="E216" s="72"/>
      <c r="F216" s="139"/>
      <c r="G216" s="130">
        <f>I214</f>
        <v>0</v>
      </c>
      <c r="H216" s="169">
        <f>SUM(G216*13/3)</f>
        <v>0</v>
      </c>
      <c r="I216" s="130">
        <f>SUM(H216*12)</f>
        <v>0</v>
      </c>
      <c r="J216" s="73"/>
    </row>
    <row r="217" spans="1:10" ht="18" customHeight="1">
      <c r="A217" s="72"/>
      <c r="B217" s="72"/>
      <c r="C217" s="72"/>
      <c r="D217" s="72"/>
      <c r="E217" s="72"/>
      <c r="F217" s="139"/>
      <c r="G217" s="72"/>
      <c r="H217" s="174"/>
      <c r="I217" s="72"/>
      <c r="J217" s="73"/>
    </row>
    <row r="218" spans="1:10" ht="18" customHeight="1" thickBot="1">
      <c r="A218" s="72"/>
      <c r="B218" s="72"/>
      <c r="C218" s="72"/>
      <c r="D218" s="72"/>
      <c r="E218" s="72"/>
      <c r="F218" s="139"/>
      <c r="G218" s="139"/>
      <c r="H218" s="139"/>
      <c r="I218" s="72"/>
      <c r="J218" s="73"/>
    </row>
    <row r="219" spans="1:10" ht="18" customHeight="1" thickBot="1">
      <c r="A219" s="328"/>
      <c r="B219" s="150" t="s">
        <v>2</v>
      </c>
      <c r="C219" s="63" t="s">
        <v>3</v>
      </c>
      <c r="D219" s="63" t="s">
        <v>4</v>
      </c>
      <c r="E219" s="63" t="s">
        <v>5</v>
      </c>
      <c r="F219" s="63" t="s">
        <v>6</v>
      </c>
      <c r="G219" s="63" t="s">
        <v>7</v>
      </c>
      <c r="H219" s="151" t="s">
        <v>8</v>
      </c>
      <c r="I219" s="152" t="s">
        <v>137</v>
      </c>
      <c r="J219" s="139" t="s">
        <v>28</v>
      </c>
    </row>
    <row r="220" spans="1:10" ht="18" customHeight="1">
      <c r="A220" s="329" t="s">
        <v>138</v>
      </c>
      <c r="B220" s="330">
        <f t="shared" ref="B220:I220" si="10">SUM(B4,B8,B25,B34,B70,B114,B117,B123,B132,B144,B162,B182,B203,B214)</f>
        <v>275.75</v>
      </c>
      <c r="C220" s="330">
        <f t="shared" si="10"/>
        <v>276.75</v>
      </c>
      <c r="D220" s="330">
        <f t="shared" si="10"/>
        <v>276.75</v>
      </c>
      <c r="E220" s="330">
        <f t="shared" si="10"/>
        <v>268.5</v>
      </c>
      <c r="F220" s="330">
        <f t="shared" si="10"/>
        <v>240.5</v>
      </c>
      <c r="G220" s="330">
        <f t="shared" si="10"/>
        <v>128</v>
      </c>
      <c r="H220" s="330">
        <f t="shared" si="10"/>
        <v>125</v>
      </c>
      <c r="I220" s="330">
        <f t="shared" si="10"/>
        <v>1554.25</v>
      </c>
      <c r="J220" s="72" t="s">
        <v>28</v>
      </c>
    </row>
    <row r="221" spans="1:10" ht="20.100000000000001" customHeight="1" thickBot="1">
      <c r="A221" s="331" t="s">
        <v>140</v>
      </c>
      <c r="B221" s="17">
        <f t="shared" ref="B221:I221" si="11">SUM(B220*52)</f>
        <v>14339</v>
      </c>
      <c r="C221" s="17">
        <f t="shared" si="11"/>
        <v>14391</v>
      </c>
      <c r="D221" s="17">
        <f t="shared" si="11"/>
        <v>14391</v>
      </c>
      <c r="E221" s="17">
        <f t="shared" si="11"/>
        <v>13962</v>
      </c>
      <c r="F221" s="17">
        <f t="shared" si="11"/>
        <v>12506</v>
      </c>
      <c r="G221" s="17">
        <f t="shared" si="11"/>
        <v>6656</v>
      </c>
      <c r="H221" s="17">
        <f t="shared" si="11"/>
        <v>6500</v>
      </c>
      <c r="I221" s="17">
        <f t="shared" si="11"/>
        <v>80821</v>
      </c>
    </row>
    <row r="222" spans="1:10" ht="20.100000000000001" customHeight="1" thickBot="1">
      <c r="A222" t="s">
        <v>427</v>
      </c>
      <c r="I222" s="160"/>
      <c r="J222" s="435">
        <f>SUM(I221/12)</f>
        <v>6735.083333333333</v>
      </c>
    </row>
    <row r="223" spans="1:10" ht="20.100000000000001" customHeight="1">
      <c r="A223" s="332" t="s">
        <v>318</v>
      </c>
      <c r="B223" s="45"/>
      <c r="C223" s="45"/>
      <c r="D223" s="45"/>
      <c r="E223" s="30">
        <v>56</v>
      </c>
      <c r="F223" s="45"/>
      <c r="G223" s="45"/>
      <c r="H223" s="7"/>
      <c r="I223" s="333">
        <f>SUM(E223)*26</f>
        <v>1456</v>
      </c>
    </row>
    <row r="224" spans="1:10" ht="20.100000000000001" customHeight="1">
      <c r="A224" s="334" t="s">
        <v>319</v>
      </c>
      <c r="B224" s="157"/>
      <c r="C224" s="157"/>
      <c r="D224" s="157"/>
      <c r="E224" s="157"/>
      <c r="F224" s="157"/>
      <c r="G224" s="157"/>
      <c r="H224" s="157"/>
      <c r="I224" s="335">
        <f>SUM(I223*2)</f>
        <v>2912</v>
      </c>
    </row>
    <row r="225" spans="1:10" ht="20.100000000000001" customHeight="1">
      <c r="A225" s="329" t="s">
        <v>143</v>
      </c>
      <c r="B225" s="153"/>
      <c r="C225" s="155"/>
      <c r="D225" s="157"/>
      <c r="E225" s="157"/>
      <c r="F225" s="157"/>
      <c r="G225" s="157"/>
      <c r="H225" s="157"/>
      <c r="I225" s="335">
        <f>48*12</f>
        <v>576</v>
      </c>
    </row>
    <row r="226" spans="1:10" ht="20.100000000000001" customHeight="1" thickBot="1">
      <c r="A226" s="336" t="s">
        <v>137</v>
      </c>
      <c r="B226" s="53"/>
      <c r="C226" s="53"/>
      <c r="D226" s="53"/>
      <c r="E226" s="53"/>
      <c r="F226" s="53"/>
      <c r="G226" s="53"/>
      <c r="H226" s="53"/>
      <c r="I226" s="337">
        <f>SUM(I223:I225)</f>
        <v>4944</v>
      </c>
    </row>
    <row r="227" spans="1:10" ht="20.100000000000001" customHeight="1">
      <c r="I227" s="160"/>
    </row>
    <row r="228" spans="1:10" ht="20.100000000000001" customHeight="1">
      <c r="I228" s="160"/>
    </row>
    <row r="229" spans="1:10" ht="13.5" thickBot="1">
      <c r="A229" s="158" t="s">
        <v>144</v>
      </c>
      <c r="B229" s="158"/>
      <c r="C229" s="158"/>
      <c r="D229" s="158"/>
      <c r="E229" s="158"/>
      <c r="F229" s="158"/>
      <c r="G229" s="158"/>
      <c r="H229" s="158"/>
      <c r="I229" s="161">
        <f>SUM(I221,I226)</f>
        <v>85765</v>
      </c>
      <c r="J229" t="s">
        <v>428</v>
      </c>
    </row>
    <row r="233" spans="1:10" ht="13.5" thickBot="1">
      <c r="A233" s="1" t="s">
        <v>429</v>
      </c>
      <c r="B233" s="72"/>
      <c r="C233" s="72"/>
      <c r="D233" s="72"/>
      <c r="E233" s="72"/>
      <c r="F233" s="139"/>
      <c r="G233" s="139"/>
      <c r="H233" s="139"/>
      <c r="I233" s="72"/>
      <c r="J233" s="73"/>
    </row>
    <row r="234" spans="1:10" ht="13.5" thickBot="1">
      <c r="A234" s="61" t="s">
        <v>430</v>
      </c>
      <c r="B234" s="62" t="s">
        <v>2</v>
      </c>
      <c r="C234" s="63" t="s">
        <v>3</v>
      </c>
      <c r="D234" s="63" t="s">
        <v>4</v>
      </c>
      <c r="E234" s="63" t="s">
        <v>5</v>
      </c>
      <c r="F234" s="63" t="s">
        <v>6</v>
      </c>
      <c r="G234" s="63" t="s">
        <v>7</v>
      </c>
      <c r="H234" s="64" t="s">
        <v>8</v>
      </c>
      <c r="I234" s="65" t="s">
        <v>9</v>
      </c>
      <c r="J234" s="66" t="s">
        <v>10</v>
      </c>
    </row>
    <row r="235" spans="1:10">
      <c r="A235" s="436">
        <v>3700</v>
      </c>
      <c r="B235" s="30" t="s">
        <v>431</v>
      </c>
      <c r="C235" s="30" t="s">
        <v>431</v>
      </c>
      <c r="D235" s="30" t="s">
        <v>431</v>
      </c>
      <c r="E235" s="30" t="s">
        <v>431</v>
      </c>
      <c r="F235" s="31" t="s">
        <v>432</v>
      </c>
      <c r="G235" s="4"/>
      <c r="H235" s="413" t="s">
        <v>28</v>
      </c>
      <c r="I235" s="7"/>
      <c r="J235" s="32" t="s">
        <v>28</v>
      </c>
    </row>
    <row r="236" spans="1:10" ht="13.5" thickBot="1">
      <c r="A236" s="437"/>
      <c r="B236" s="34"/>
      <c r="C236" s="34"/>
      <c r="D236" s="34"/>
      <c r="E236" s="34"/>
      <c r="F236" s="140"/>
      <c r="G236" s="17"/>
      <c r="H236" s="263" t="s">
        <v>28</v>
      </c>
      <c r="I236" s="34">
        <f>SUM(B236:H236)</f>
        <v>0</v>
      </c>
      <c r="J236" s="37"/>
    </row>
    <row r="237" spans="1:10">
      <c r="A237" s="438">
        <v>3700</v>
      </c>
      <c r="B237" s="10" t="s">
        <v>124</v>
      </c>
      <c r="C237" s="10" t="s">
        <v>124</v>
      </c>
      <c r="D237" s="10" t="s">
        <v>124</v>
      </c>
      <c r="E237" s="10" t="s">
        <v>124</v>
      </c>
      <c r="F237" s="11" t="s">
        <v>125</v>
      </c>
      <c r="G237" s="439"/>
      <c r="H237" s="440" t="s">
        <v>28</v>
      </c>
      <c r="I237" s="14"/>
      <c r="J237" s="40" t="s">
        <v>28</v>
      </c>
    </row>
    <row r="238" spans="1:10" ht="13.5" thickBot="1">
      <c r="A238" s="441" t="s">
        <v>433</v>
      </c>
      <c r="B238" s="34">
        <v>7.75</v>
      </c>
      <c r="C238" s="34">
        <v>7.75</v>
      </c>
      <c r="D238" s="34">
        <v>7.75</v>
      </c>
      <c r="E238" s="34">
        <v>7.75</v>
      </c>
      <c r="F238" s="140">
        <v>6</v>
      </c>
      <c r="G238" s="17"/>
      <c r="H238" s="263" t="s">
        <v>28</v>
      </c>
      <c r="I238" s="34">
        <f>SUM(B238:H238)</f>
        <v>37</v>
      </c>
      <c r="J238" s="37"/>
    </row>
    <row r="239" spans="1:10">
      <c r="A239" s="436">
        <v>3701</v>
      </c>
      <c r="B239" s="30" t="s">
        <v>124</v>
      </c>
      <c r="C239" s="30" t="s">
        <v>124</v>
      </c>
      <c r="D239" s="30" t="s">
        <v>124</v>
      </c>
      <c r="E239" s="30" t="s">
        <v>124</v>
      </c>
      <c r="F239" s="31" t="s">
        <v>125</v>
      </c>
      <c r="G239" s="4"/>
      <c r="H239" s="413" t="s">
        <v>28</v>
      </c>
      <c r="I239" s="7"/>
      <c r="J239" s="32" t="s">
        <v>28</v>
      </c>
    </row>
    <row r="240" spans="1:10" ht="13.5" thickBot="1">
      <c r="A240" s="437" t="s">
        <v>434</v>
      </c>
      <c r="B240" s="34">
        <v>7.75</v>
      </c>
      <c r="C240" s="34">
        <v>7.75</v>
      </c>
      <c r="D240" s="34">
        <v>7.75</v>
      </c>
      <c r="E240" s="34">
        <v>7.75</v>
      </c>
      <c r="F240" s="140">
        <v>6</v>
      </c>
      <c r="G240" s="17"/>
      <c r="H240" s="263" t="s">
        <v>28</v>
      </c>
      <c r="I240" s="34">
        <f>SUM(B240:H240)</f>
        <v>37</v>
      </c>
      <c r="J240" s="37"/>
    </row>
    <row r="241" spans="1:10">
      <c r="A241" s="436">
        <v>3701</v>
      </c>
      <c r="B241" s="30" t="s">
        <v>124</v>
      </c>
      <c r="C241" s="30" t="s">
        <v>124</v>
      </c>
      <c r="D241" s="30" t="s">
        <v>124</v>
      </c>
      <c r="E241" s="30" t="s">
        <v>124</v>
      </c>
      <c r="F241" s="31" t="s">
        <v>125</v>
      </c>
      <c r="G241" s="4"/>
      <c r="H241" s="413" t="s">
        <v>28</v>
      </c>
      <c r="I241" s="7"/>
      <c r="J241" s="32" t="s">
        <v>28</v>
      </c>
    </row>
    <row r="242" spans="1:10" ht="13.5" thickBot="1">
      <c r="A242" s="437" t="s">
        <v>435</v>
      </c>
      <c r="B242" s="34">
        <v>7.75</v>
      </c>
      <c r="C242" s="34">
        <v>7.75</v>
      </c>
      <c r="D242" s="34">
        <v>7.75</v>
      </c>
      <c r="E242" s="34">
        <v>7.75</v>
      </c>
      <c r="F242" s="140">
        <v>6</v>
      </c>
      <c r="G242" s="17"/>
      <c r="H242" s="263" t="s">
        <v>28</v>
      </c>
      <c r="I242" s="34">
        <f>SUM(B242:H242)</f>
        <v>37</v>
      </c>
      <c r="J242" s="37"/>
    </row>
    <row r="243" spans="1:10">
      <c r="A243" s="438">
        <v>3701</v>
      </c>
      <c r="B243" s="10" t="s">
        <v>124</v>
      </c>
      <c r="C243" s="10" t="s">
        <v>124</v>
      </c>
      <c r="D243" s="10" t="s">
        <v>124</v>
      </c>
      <c r="E243" s="10" t="s">
        <v>124</v>
      </c>
      <c r="F243" s="11" t="s">
        <v>125</v>
      </c>
      <c r="G243" s="439"/>
      <c r="H243" s="440" t="s">
        <v>28</v>
      </c>
      <c r="I243" s="14"/>
      <c r="J243" s="40" t="s">
        <v>28</v>
      </c>
    </row>
    <row r="244" spans="1:10" ht="13.5" thickBot="1">
      <c r="A244" s="441" t="s">
        <v>436</v>
      </c>
      <c r="B244" s="34">
        <v>7.75</v>
      </c>
      <c r="C244" s="34">
        <v>7.75</v>
      </c>
      <c r="D244" s="34">
        <v>7.75</v>
      </c>
      <c r="E244" s="34">
        <v>7.75</v>
      </c>
      <c r="F244" s="140">
        <v>6</v>
      </c>
      <c r="G244" s="17"/>
      <c r="H244" s="263" t="s">
        <v>28</v>
      </c>
      <c r="I244" s="34">
        <f>SUM(B244:H244)</f>
        <v>37</v>
      </c>
      <c r="J244" s="37"/>
    </row>
    <row r="245" spans="1:10">
      <c r="A245" s="442">
        <v>3701</v>
      </c>
      <c r="B245" s="30" t="s">
        <v>124</v>
      </c>
      <c r="C245" s="30" t="s">
        <v>124</v>
      </c>
      <c r="D245" s="30" t="s">
        <v>124</v>
      </c>
      <c r="E245" s="30" t="s">
        <v>124</v>
      </c>
      <c r="F245" s="31" t="s">
        <v>125</v>
      </c>
      <c r="G245" s="4"/>
      <c r="H245" s="413" t="s">
        <v>28</v>
      </c>
      <c r="I245" s="7"/>
      <c r="J245" s="32" t="s">
        <v>28</v>
      </c>
    </row>
    <row r="246" spans="1:10" ht="13.5" thickBot="1">
      <c r="A246" s="441"/>
      <c r="B246" s="34">
        <v>7.75</v>
      </c>
      <c r="C246" s="34">
        <v>7.75</v>
      </c>
      <c r="D246" s="34">
        <v>7.75</v>
      </c>
      <c r="E246" s="34">
        <v>7.75</v>
      </c>
      <c r="F246" s="140">
        <v>6</v>
      </c>
      <c r="G246" s="17"/>
      <c r="H246" s="263" t="s">
        <v>28</v>
      </c>
      <c r="I246" s="34">
        <f>SUM(B246:H246)</f>
        <v>37</v>
      </c>
      <c r="J246" s="37"/>
    </row>
    <row r="247" spans="1:10">
      <c r="A247" s="442">
        <v>3701</v>
      </c>
      <c r="B247" s="30" t="s">
        <v>124</v>
      </c>
      <c r="C247" s="30" t="s">
        <v>124</v>
      </c>
      <c r="D247" s="30" t="s">
        <v>124</v>
      </c>
      <c r="E247" s="30" t="s">
        <v>124</v>
      </c>
      <c r="F247" s="31" t="s">
        <v>125</v>
      </c>
      <c r="G247" s="4"/>
      <c r="H247" s="413" t="s">
        <v>28</v>
      </c>
      <c r="I247" s="7"/>
      <c r="J247" s="32" t="s">
        <v>28</v>
      </c>
    </row>
    <row r="248" spans="1:10" ht="13.5" thickBot="1">
      <c r="A248" s="441" t="s">
        <v>437</v>
      </c>
      <c r="B248" s="34">
        <v>7.75</v>
      </c>
      <c r="C248" s="34">
        <v>7.75</v>
      </c>
      <c r="D248" s="34">
        <v>7.75</v>
      </c>
      <c r="E248" s="34">
        <v>7.75</v>
      </c>
      <c r="F248" s="140">
        <v>6</v>
      </c>
      <c r="G248" s="17"/>
      <c r="H248" s="263" t="s">
        <v>28</v>
      </c>
      <c r="I248" s="34">
        <f>SUM(B248:H248)</f>
        <v>37</v>
      </c>
      <c r="J248" s="37"/>
    </row>
    <row r="249" spans="1:10">
      <c r="A249" s="442">
        <v>3701</v>
      </c>
      <c r="B249" s="30" t="s">
        <v>124</v>
      </c>
      <c r="C249" s="30" t="s">
        <v>124</v>
      </c>
      <c r="D249" s="30" t="s">
        <v>124</v>
      </c>
      <c r="E249" s="30" t="s">
        <v>124</v>
      </c>
      <c r="F249" s="31" t="s">
        <v>125</v>
      </c>
      <c r="G249" s="4"/>
      <c r="H249" s="413" t="s">
        <v>28</v>
      </c>
      <c r="I249" s="7"/>
      <c r="J249" s="32" t="s">
        <v>28</v>
      </c>
    </row>
    <row r="250" spans="1:10" ht="13.5" thickBot="1">
      <c r="A250" s="441" t="s">
        <v>438</v>
      </c>
      <c r="B250" s="34">
        <v>7.75</v>
      </c>
      <c r="C250" s="34">
        <v>7.75</v>
      </c>
      <c r="D250" s="34">
        <v>7.75</v>
      </c>
      <c r="E250" s="34">
        <v>7.75</v>
      </c>
      <c r="F250" s="140">
        <v>6</v>
      </c>
      <c r="G250" s="17"/>
      <c r="H250" s="263" t="s">
        <v>28</v>
      </c>
      <c r="I250" s="34">
        <f>SUM(B250:H250)</f>
        <v>37</v>
      </c>
      <c r="J250" s="37"/>
    </row>
    <row r="251" spans="1:10">
      <c r="A251" s="442">
        <v>3701</v>
      </c>
      <c r="B251" s="30" t="s">
        <v>124</v>
      </c>
      <c r="C251" s="30" t="s">
        <v>124</v>
      </c>
      <c r="D251" s="30" t="s">
        <v>124</v>
      </c>
      <c r="E251" s="30" t="s">
        <v>124</v>
      </c>
      <c r="F251" s="31" t="s">
        <v>125</v>
      </c>
      <c r="G251" s="4"/>
      <c r="H251" s="413" t="s">
        <v>28</v>
      </c>
      <c r="I251" s="7"/>
      <c r="J251" s="32" t="s">
        <v>28</v>
      </c>
    </row>
    <row r="252" spans="1:10" ht="13.5" thickBot="1">
      <c r="A252" s="441" t="s">
        <v>439</v>
      </c>
      <c r="B252" s="34">
        <v>7.75</v>
      </c>
      <c r="C252" s="34">
        <v>7.75</v>
      </c>
      <c r="D252" s="34">
        <v>7.75</v>
      </c>
      <c r="E252" s="34">
        <v>7.75</v>
      </c>
      <c r="F252" s="140">
        <v>6</v>
      </c>
      <c r="G252" s="17"/>
      <c r="H252" s="263" t="s">
        <v>28</v>
      </c>
      <c r="I252" s="34">
        <f>SUM(B252:H252)</f>
        <v>37</v>
      </c>
      <c r="J252" s="37"/>
    </row>
    <row r="253" spans="1:10">
      <c r="A253" s="442">
        <v>3701</v>
      </c>
      <c r="B253" s="30" t="s">
        <v>124</v>
      </c>
      <c r="C253" s="30" t="s">
        <v>124</v>
      </c>
      <c r="D253" s="30" t="s">
        <v>124</v>
      </c>
      <c r="E253" s="30" t="s">
        <v>124</v>
      </c>
      <c r="F253" s="31" t="s">
        <v>125</v>
      </c>
      <c r="G253" s="4"/>
      <c r="H253" s="413" t="s">
        <v>28</v>
      </c>
      <c r="I253" s="7"/>
      <c r="J253" s="32" t="s">
        <v>28</v>
      </c>
    </row>
    <row r="254" spans="1:10" ht="13.5" thickBot="1">
      <c r="A254" s="441" t="s">
        <v>440</v>
      </c>
      <c r="B254" s="34">
        <v>7.75</v>
      </c>
      <c r="C254" s="34">
        <v>7.75</v>
      </c>
      <c r="D254" s="34">
        <v>7.75</v>
      </c>
      <c r="E254" s="34">
        <v>7.75</v>
      </c>
      <c r="F254" s="140">
        <v>6</v>
      </c>
      <c r="G254" s="17"/>
      <c r="H254" s="263" t="s">
        <v>28</v>
      </c>
      <c r="I254" s="34">
        <f>SUM(B254:H254)</f>
        <v>37</v>
      </c>
      <c r="J254" s="37"/>
    </row>
    <row r="255" spans="1:10">
      <c r="A255" s="442">
        <v>3701</v>
      </c>
      <c r="B255" s="30" t="s">
        <v>124</v>
      </c>
      <c r="C255" s="30" t="s">
        <v>124</v>
      </c>
      <c r="D255" s="30" t="s">
        <v>124</v>
      </c>
      <c r="E255" s="30" t="s">
        <v>124</v>
      </c>
      <c r="F255" s="31" t="s">
        <v>125</v>
      </c>
      <c r="G255" s="4"/>
      <c r="H255" s="413" t="s">
        <v>28</v>
      </c>
      <c r="I255" s="7"/>
      <c r="J255" s="32" t="s">
        <v>28</v>
      </c>
    </row>
    <row r="256" spans="1:10" ht="13.5" thickBot="1">
      <c r="A256" s="441" t="s">
        <v>441</v>
      </c>
      <c r="B256" s="34">
        <v>7.75</v>
      </c>
      <c r="C256" s="34">
        <v>7.75</v>
      </c>
      <c r="D256" s="34">
        <v>7.75</v>
      </c>
      <c r="E256" s="34">
        <v>7.75</v>
      </c>
      <c r="F256" s="140">
        <v>6</v>
      </c>
      <c r="G256" s="17"/>
      <c r="H256" s="263" t="s">
        <v>28</v>
      </c>
      <c r="I256" s="34">
        <f>SUM(B256:H256)</f>
        <v>37</v>
      </c>
      <c r="J256" s="37"/>
    </row>
    <row r="257" spans="1:10">
      <c r="A257" s="442">
        <v>3701</v>
      </c>
      <c r="B257" s="30" t="s">
        <v>124</v>
      </c>
      <c r="C257" s="30" t="s">
        <v>124</v>
      </c>
      <c r="D257" s="30" t="s">
        <v>124</v>
      </c>
      <c r="E257" s="30" t="s">
        <v>124</v>
      </c>
      <c r="F257" s="31" t="s">
        <v>125</v>
      </c>
      <c r="G257" s="4"/>
      <c r="H257" s="413" t="s">
        <v>28</v>
      </c>
      <c r="I257" s="7"/>
      <c r="J257" s="32" t="s">
        <v>28</v>
      </c>
    </row>
    <row r="258" spans="1:10" ht="13.5" thickBot="1">
      <c r="A258" s="441" t="s">
        <v>442</v>
      </c>
      <c r="B258" s="34">
        <v>7.75</v>
      </c>
      <c r="C258" s="34">
        <v>7.75</v>
      </c>
      <c r="D258" s="34">
        <v>7.75</v>
      </c>
      <c r="E258" s="34">
        <v>7.75</v>
      </c>
      <c r="F258" s="140">
        <v>6</v>
      </c>
      <c r="G258" s="17"/>
      <c r="H258" s="263" t="s">
        <v>28</v>
      </c>
      <c r="I258" s="34">
        <f>SUM(B258:H258)</f>
        <v>37</v>
      </c>
      <c r="J258" s="37"/>
    </row>
    <row r="259" spans="1:10">
      <c r="A259" s="442">
        <v>3701</v>
      </c>
      <c r="B259" s="30" t="s">
        <v>124</v>
      </c>
      <c r="C259" s="30" t="s">
        <v>124</v>
      </c>
      <c r="D259" s="30" t="s">
        <v>124</v>
      </c>
      <c r="E259" s="30" t="s">
        <v>124</v>
      </c>
      <c r="F259" s="31" t="s">
        <v>125</v>
      </c>
      <c r="G259" s="4"/>
      <c r="H259" s="413" t="s">
        <v>28</v>
      </c>
      <c r="I259" s="7"/>
      <c r="J259" s="32" t="s">
        <v>28</v>
      </c>
    </row>
    <row r="260" spans="1:10" ht="13.5" thickBot="1">
      <c r="A260" s="441" t="s">
        <v>443</v>
      </c>
      <c r="B260" s="34">
        <v>7.75</v>
      </c>
      <c r="C260" s="34">
        <v>7.75</v>
      </c>
      <c r="D260" s="34">
        <v>7.75</v>
      </c>
      <c r="E260" s="34">
        <v>7.75</v>
      </c>
      <c r="F260" s="140">
        <v>6</v>
      </c>
      <c r="G260" s="17"/>
      <c r="H260" s="263" t="s">
        <v>28</v>
      </c>
      <c r="I260" s="34">
        <f>SUM(B260:H260)</f>
        <v>37</v>
      </c>
      <c r="J260" s="37"/>
    </row>
    <row r="261" spans="1:10">
      <c r="A261" s="442">
        <v>3701</v>
      </c>
      <c r="B261" s="30" t="s">
        <v>124</v>
      </c>
      <c r="C261" s="30" t="s">
        <v>124</v>
      </c>
      <c r="D261" s="30" t="s">
        <v>124</v>
      </c>
      <c r="E261" s="30" t="s">
        <v>124</v>
      </c>
      <c r="F261" s="31" t="s">
        <v>125</v>
      </c>
      <c r="G261" s="4"/>
      <c r="H261" s="413" t="s">
        <v>28</v>
      </c>
      <c r="I261" s="7"/>
      <c r="J261" s="32" t="s">
        <v>28</v>
      </c>
    </row>
    <row r="262" spans="1:10" ht="13.5" thickBot="1">
      <c r="A262" s="441"/>
      <c r="B262" s="34"/>
      <c r="C262" s="34"/>
      <c r="D262" s="34"/>
      <c r="E262" s="34"/>
      <c r="F262" s="140"/>
      <c r="G262" s="17"/>
      <c r="H262" s="263" t="s">
        <v>28</v>
      </c>
      <c r="I262" s="34">
        <f>SUM(B262:H262)</f>
        <v>0</v>
      </c>
      <c r="J262" s="37"/>
    </row>
    <row r="263" spans="1:10">
      <c r="A263" s="442">
        <v>3701</v>
      </c>
      <c r="B263" s="30" t="s">
        <v>11</v>
      </c>
      <c r="C263" s="30" t="s">
        <v>11</v>
      </c>
      <c r="D263" s="30" t="s">
        <v>11</v>
      </c>
      <c r="E263" s="30" t="s">
        <v>11</v>
      </c>
      <c r="F263" s="31" t="s">
        <v>12</v>
      </c>
      <c r="G263" s="4"/>
      <c r="H263" s="413" t="s">
        <v>28</v>
      </c>
      <c r="I263" s="7"/>
      <c r="J263" s="32" t="s">
        <v>28</v>
      </c>
    </row>
    <row r="264" spans="1:10" ht="13.5" thickBot="1">
      <c r="A264" s="441"/>
      <c r="B264" s="34"/>
      <c r="C264" s="34"/>
      <c r="D264" s="34"/>
      <c r="E264" s="34"/>
      <c r="F264" s="140"/>
      <c r="G264" s="17"/>
      <c r="H264" s="263" t="s">
        <v>28</v>
      </c>
      <c r="I264" s="34">
        <f>SUM(B264:H264)</f>
        <v>0</v>
      </c>
      <c r="J264" s="37"/>
    </row>
    <row r="265" spans="1:10" ht="13.5" thickBot="1">
      <c r="A265" s="58" t="s">
        <v>30</v>
      </c>
      <c r="B265" s="58">
        <f t="shared" ref="B265:H265" si="12">SUM(B254,B256,B258,B260,B262,B264)</f>
        <v>31</v>
      </c>
      <c r="C265" s="58">
        <f t="shared" si="12"/>
        <v>31</v>
      </c>
      <c r="D265" s="58">
        <f t="shared" si="12"/>
        <v>31</v>
      </c>
      <c r="E265" s="58">
        <f t="shared" si="12"/>
        <v>31</v>
      </c>
      <c r="F265" s="58">
        <f t="shared" si="12"/>
        <v>24</v>
      </c>
      <c r="G265" s="58">
        <f t="shared" si="12"/>
        <v>0</v>
      </c>
      <c r="H265" s="58">
        <f t="shared" si="12"/>
        <v>0</v>
      </c>
      <c r="I265" s="70">
        <f>SUM(I236,I238,I240,I242,I244,I246,I248,I250,I252,I254,I256,I258,I260,I262,I264)</f>
        <v>444</v>
      </c>
      <c r="J265" s="71"/>
    </row>
    <row r="266" spans="1:10" ht="13.5" thickTop="1">
      <c r="A266" s="312"/>
      <c r="B266" s="72"/>
      <c r="C266" s="72"/>
      <c r="D266" s="72"/>
      <c r="E266" s="72"/>
      <c r="F266" s="139"/>
      <c r="G266" s="204" t="s">
        <v>152</v>
      </c>
      <c r="H266" s="204" t="s">
        <v>153</v>
      </c>
      <c r="I266" s="204" t="s">
        <v>154</v>
      </c>
      <c r="J266" s="73"/>
    </row>
    <row r="267" spans="1:10">
      <c r="A267" s="312"/>
      <c r="B267" s="72"/>
      <c r="C267" s="72"/>
      <c r="D267" s="72"/>
      <c r="E267" s="72"/>
      <c r="F267" s="139"/>
      <c r="G267" s="130">
        <f>I265</f>
        <v>444</v>
      </c>
      <c r="H267" s="169">
        <f>SUM(G267*13/3)</f>
        <v>1924</v>
      </c>
      <c r="I267" s="130">
        <f>SUM(H267*12)</f>
        <v>23088</v>
      </c>
      <c r="J267" s="73"/>
    </row>
  </sheetData>
  <sheetProtection password="CC44" sheet="1" objects="1" scenarios="1" selectLockedCells="1" selectUnlockedCells="1"/>
  <pageMargins left="0" right="0" top="0.19652777777777777" bottom="0" header="0.19652777777777777" footer="0.51180555555555551"/>
  <pageSetup paperSize="9" scale="90" firstPageNumber="0" pageOrder="overThenDown" orientation="landscape" horizontalDpi="300" verticalDpi="300" r:id="rId1"/>
  <headerFooter alignWithMargins="0">
    <oddHeader>&amp;ROpdateret &amp;D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39"/>
  <dimension ref="A1:AL273"/>
  <sheetViews>
    <sheetView tabSelected="1" topLeftCell="A135" zoomScale="67" zoomScaleNormal="67" workbookViewId="0">
      <selection activeCell="AH139" sqref="AH139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449</v>
      </c>
    </row>
    <row r="2" spans="1:35" ht="13.35" customHeight="1">
      <c r="B2" s="443" t="s">
        <v>450</v>
      </c>
      <c r="C2" s="444" t="s">
        <v>451</v>
      </c>
      <c r="D2" s="445"/>
      <c r="E2" s="446" t="s">
        <v>452</v>
      </c>
      <c r="F2" s="447"/>
      <c r="G2" s="448"/>
      <c r="H2" s="448"/>
      <c r="I2" s="448"/>
      <c r="J2" s="448"/>
      <c r="K2" s="449"/>
      <c r="L2" s="450" t="s">
        <v>453</v>
      </c>
      <c r="M2" s="451"/>
      <c r="N2" s="380"/>
      <c r="O2" s="452" t="s">
        <v>454</v>
      </c>
      <c r="P2" s="453"/>
      <c r="Q2" s="454"/>
      <c r="R2" s="455"/>
      <c r="S2" s="456" t="s">
        <v>455</v>
      </c>
      <c r="T2" s="457"/>
      <c r="U2" s="458"/>
      <c r="V2" s="457"/>
      <c r="W2" s="459" t="s">
        <v>456</v>
      </c>
      <c r="X2" s="368"/>
      <c r="Y2" s="460"/>
      <c r="Z2" s="461" t="s">
        <v>457</v>
      </c>
      <c r="AA2" s="462"/>
      <c r="AB2" s="463"/>
      <c r="AC2" s="464"/>
      <c r="AD2" s="465" t="s">
        <v>458</v>
      </c>
      <c r="AE2" s="466"/>
      <c r="AF2" s="466"/>
      <c r="AG2" s="467"/>
    </row>
    <row r="3" spans="1:35" ht="13.35" customHeight="1">
      <c r="A3" s="1"/>
      <c r="B3" s="468" t="s">
        <v>459</v>
      </c>
      <c r="C3" s="469" t="s">
        <v>460</v>
      </c>
      <c r="D3" s="470"/>
      <c r="E3" s="471"/>
      <c r="F3" s="472"/>
      <c r="G3" s="472"/>
      <c r="H3" s="473" t="s">
        <v>461</v>
      </c>
      <c r="I3" s="474"/>
      <c r="J3" s="474"/>
      <c r="K3" s="475"/>
      <c r="L3" s="476" t="s">
        <v>462</v>
      </c>
      <c r="M3" s="157"/>
      <c r="N3" s="477"/>
      <c r="O3" s="474"/>
      <c r="P3" s="474"/>
      <c r="Q3" s="474"/>
      <c r="R3" s="474"/>
      <c r="S3" s="55"/>
      <c r="T3" s="478" t="s">
        <v>463</v>
      </c>
      <c r="U3" s="479"/>
      <c r="V3" s="480"/>
      <c r="W3" s="481"/>
      <c r="X3" s="482"/>
      <c r="Y3" s="473" t="s">
        <v>464</v>
      </c>
      <c r="Z3" s="157"/>
      <c r="AA3" s="157"/>
      <c r="AB3" s="483"/>
      <c r="AC3" s="484"/>
      <c r="AD3" s="485" t="s">
        <v>465</v>
      </c>
      <c r="AE3" s="486"/>
      <c r="AF3" s="486"/>
      <c r="AG3" s="487"/>
    </row>
    <row r="4" spans="1:35" ht="13.35" customHeight="1">
      <c r="A4" s="1" t="s">
        <v>466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 t="s">
        <v>14</v>
      </c>
      <c r="B5" s="1"/>
    </row>
    <row r="6" spans="1:35" ht="21.95" customHeight="1">
      <c r="A6" s="488" t="s">
        <v>467</v>
      </c>
      <c r="B6" s="157"/>
      <c r="C6" s="489"/>
      <c r="D6" s="488" t="s">
        <v>468</v>
      </c>
      <c r="E6" s="157"/>
      <c r="F6" s="157"/>
      <c r="G6" s="157"/>
      <c r="H6" s="490"/>
      <c r="I6" s="157"/>
      <c r="J6" s="157"/>
      <c r="K6" s="157"/>
      <c r="L6" s="488" t="s">
        <v>469</v>
      </c>
      <c r="M6" s="157"/>
      <c r="N6" s="157"/>
      <c r="O6" s="157"/>
      <c r="P6" s="157"/>
      <c r="Q6" s="157"/>
      <c r="R6" s="157"/>
      <c r="S6" s="489"/>
      <c r="T6" s="491" t="s">
        <v>470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35" ht="21.95" customHeight="1">
      <c r="A7" s="488" t="s">
        <v>471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472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35" ht="21.95" customHeight="1">
      <c r="A8" s="496" t="s">
        <v>473</v>
      </c>
      <c r="L8" s="496"/>
      <c r="AB8" s="1"/>
    </row>
    <row r="9" spans="1:35" ht="21.95" customHeight="1" thickBot="1">
      <c r="B9" s="497" t="s">
        <v>474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35" ht="21.95" customHeight="1">
      <c r="A10" s="442" t="s">
        <v>475</v>
      </c>
      <c r="B10" s="297" t="s">
        <v>476</v>
      </c>
      <c r="C10" s="788">
        <v>1</v>
      </c>
      <c r="D10" s="787">
        <v>2</v>
      </c>
      <c r="E10" s="788">
        <v>3</v>
      </c>
      <c r="F10" s="788">
        <v>4</v>
      </c>
      <c r="G10" s="787">
        <v>5</v>
      </c>
      <c r="H10" s="787">
        <v>6</v>
      </c>
      <c r="I10" s="766">
        <v>7</v>
      </c>
      <c r="J10" s="766">
        <v>8</v>
      </c>
      <c r="K10" s="787">
        <v>9</v>
      </c>
      <c r="L10" s="788">
        <v>10</v>
      </c>
      <c r="M10" s="788">
        <v>11</v>
      </c>
      <c r="N10" s="787">
        <v>12</v>
      </c>
      <c r="O10" s="787">
        <v>13</v>
      </c>
      <c r="P10" s="766">
        <v>14</v>
      </c>
      <c r="Q10" s="766">
        <v>15</v>
      </c>
      <c r="R10" s="788">
        <v>16</v>
      </c>
      <c r="S10" s="788">
        <v>17</v>
      </c>
      <c r="T10" s="788">
        <v>18</v>
      </c>
      <c r="U10" s="787">
        <v>19</v>
      </c>
      <c r="V10" s="766">
        <v>20</v>
      </c>
      <c r="W10" s="766">
        <v>21</v>
      </c>
      <c r="X10" s="766">
        <v>22</v>
      </c>
      <c r="Y10" s="787">
        <v>23</v>
      </c>
      <c r="Z10" s="788">
        <v>24</v>
      </c>
      <c r="AA10" s="788">
        <v>25</v>
      </c>
      <c r="AB10" s="787">
        <v>26</v>
      </c>
      <c r="AC10" s="787">
        <v>27</v>
      </c>
      <c r="AD10" s="766">
        <v>28</v>
      </c>
      <c r="AE10" s="830">
        <v>29</v>
      </c>
      <c r="AF10" s="787">
        <v>30</v>
      </c>
      <c r="AG10" s="788">
        <v>31</v>
      </c>
      <c r="AH10" s="498" t="s">
        <v>477</v>
      </c>
      <c r="AI10" s="499" t="s">
        <v>478</v>
      </c>
    </row>
    <row r="11" spans="1:35" ht="21.95" customHeight="1">
      <c r="A11" s="500"/>
      <c r="B11" s="501"/>
      <c r="C11" s="768"/>
      <c r="D11" s="768"/>
      <c r="E11" s="768"/>
      <c r="F11" s="768"/>
      <c r="G11" s="768"/>
      <c r="H11" s="768"/>
      <c r="I11" s="768"/>
      <c r="J11" s="768"/>
      <c r="K11" s="768"/>
      <c r="L11" s="768"/>
      <c r="M11" s="768"/>
      <c r="N11" s="768"/>
      <c r="O11" s="768"/>
      <c r="P11" s="768"/>
      <c r="Q11" s="768"/>
      <c r="R11" s="768"/>
      <c r="S11" s="768"/>
      <c r="T11" s="768"/>
      <c r="U11" s="768"/>
      <c r="V11" s="768"/>
      <c r="W11" s="768"/>
      <c r="X11" s="768"/>
      <c r="Y11" s="768"/>
      <c r="Z11" s="768"/>
      <c r="AA11" s="768"/>
      <c r="AB11" s="768"/>
      <c r="AC11" s="768"/>
      <c r="AD11" s="768"/>
      <c r="AE11" s="768"/>
      <c r="AF11" s="768"/>
      <c r="AG11" s="502"/>
      <c r="AH11" s="924"/>
      <c r="AI11" s="925"/>
    </row>
    <row r="12" spans="1:35" ht="21.95" customHeight="1">
      <c r="A12" s="503" t="s">
        <v>479</v>
      </c>
      <c r="B12" s="457"/>
      <c r="C12" s="940"/>
      <c r="D12" s="940"/>
      <c r="E12" s="940"/>
      <c r="F12" s="940"/>
      <c r="G12" s="940"/>
      <c r="H12" s="940"/>
      <c r="I12" s="940"/>
      <c r="J12" s="940"/>
      <c r="K12" s="940"/>
      <c r="L12" s="940"/>
      <c r="M12" s="940"/>
      <c r="N12" s="940"/>
      <c r="O12" s="940"/>
      <c r="P12" s="940"/>
      <c r="Q12" s="940"/>
      <c r="R12" s="940"/>
      <c r="S12" s="940"/>
      <c r="T12" s="940"/>
      <c r="U12" s="940"/>
      <c r="V12" s="940"/>
      <c r="W12" s="940"/>
      <c r="X12" s="940"/>
      <c r="Y12" s="940"/>
      <c r="Z12" s="940"/>
      <c r="AA12" s="940"/>
      <c r="AB12" s="940"/>
      <c r="AC12" s="940"/>
      <c r="AD12" s="940"/>
      <c r="AE12" s="940"/>
      <c r="AF12" s="940"/>
      <c r="AG12" s="922"/>
      <c r="AH12" s="506"/>
      <c r="AI12" s="507"/>
    </row>
    <row r="13" spans="1:35" ht="21.95" customHeight="1">
      <c r="A13" s="508">
        <v>8546</v>
      </c>
      <c r="B13" s="473" t="s">
        <v>480</v>
      </c>
      <c r="C13" s="852" t="s">
        <v>481</v>
      </c>
      <c r="D13" s="852" t="s">
        <v>481</v>
      </c>
      <c r="E13" s="852"/>
      <c r="F13" s="852"/>
      <c r="G13" s="852">
        <v>3</v>
      </c>
      <c r="H13" s="852">
        <v>3</v>
      </c>
      <c r="I13" s="852">
        <v>3</v>
      </c>
      <c r="J13" s="1036">
        <v>3</v>
      </c>
      <c r="K13" s="1036">
        <v>3</v>
      </c>
      <c r="L13" s="852"/>
      <c r="M13" s="852"/>
      <c r="N13" s="852">
        <v>4</v>
      </c>
      <c r="O13" s="852">
        <v>4</v>
      </c>
      <c r="P13" s="852">
        <v>4</v>
      </c>
      <c r="Q13" s="852">
        <v>4</v>
      </c>
      <c r="R13" s="852">
        <v>4</v>
      </c>
      <c r="S13" s="852" t="s">
        <v>482</v>
      </c>
      <c r="T13" s="851" t="s">
        <v>482</v>
      </c>
      <c r="U13" s="851" t="s">
        <v>481</v>
      </c>
      <c r="V13" s="852" t="s">
        <v>481</v>
      </c>
      <c r="W13" s="851" t="s">
        <v>481</v>
      </c>
      <c r="X13" s="851" t="s">
        <v>481</v>
      </c>
      <c r="Y13" s="851" t="s">
        <v>481</v>
      </c>
      <c r="Z13" s="851"/>
      <c r="AA13" s="851"/>
      <c r="AB13" s="984">
        <v>1</v>
      </c>
      <c r="AC13" s="984">
        <v>1</v>
      </c>
      <c r="AD13" s="984">
        <v>1</v>
      </c>
      <c r="AE13" s="984">
        <v>1</v>
      </c>
      <c r="AF13" s="984">
        <v>1</v>
      </c>
      <c r="AG13" s="852"/>
      <c r="AH13" s="924">
        <v>152.25</v>
      </c>
      <c r="AI13" s="925">
        <v>37</v>
      </c>
    </row>
    <row r="14" spans="1:35" ht="21.95" customHeight="1">
      <c r="A14" s="500">
        <v>8546</v>
      </c>
      <c r="B14" s="918" t="s">
        <v>483</v>
      </c>
      <c r="C14" s="852">
        <v>1</v>
      </c>
      <c r="D14" s="852">
        <v>1</v>
      </c>
      <c r="E14" s="852"/>
      <c r="F14" s="852"/>
      <c r="G14" s="852">
        <v>2</v>
      </c>
      <c r="H14" s="852">
        <v>2</v>
      </c>
      <c r="I14" s="852">
        <v>2</v>
      </c>
      <c r="J14" s="852">
        <v>2</v>
      </c>
      <c r="K14" s="852">
        <v>2</v>
      </c>
      <c r="L14" s="852" t="s">
        <v>484</v>
      </c>
      <c r="M14" s="852" t="s">
        <v>484</v>
      </c>
      <c r="N14" s="852" t="s">
        <v>481</v>
      </c>
      <c r="O14" s="1002" t="s">
        <v>485</v>
      </c>
      <c r="P14" s="852" t="s">
        <v>481</v>
      </c>
      <c r="Q14" s="852" t="s">
        <v>481</v>
      </c>
      <c r="R14" s="852" t="s">
        <v>481</v>
      </c>
      <c r="S14" s="852"/>
      <c r="T14" s="851"/>
      <c r="U14" s="851">
        <v>3</v>
      </c>
      <c r="V14" s="1017">
        <v>3</v>
      </c>
      <c r="W14" s="851">
        <v>3</v>
      </c>
      <c r="X14" s="1004">
        <v>3</v>
      </c>
      <c r="Y14" s="1004">
        <v>3</v>
      </c>
      <c r="Z14" s="851"/>
      <c r="AA14" s="851"/>
      <c r="AB14" s="851">
        <v>4</v>
      </c>
      <c r="AC14" s="851">
        <v>4</v>
      </c>
      <c r="AD14" s="851">
        <v>4</v>
      </c>
      <c r="AE14" s="851">
        <v>4</v>
      </c>
      <c r="AF14" s="921">
        <v>4</v>
      </c>
      <c r="AG14" s="852" t="s">
        <v>482</v>
      </c>
      <c r="AH14" s="924">
        <v>189.5</v>
      </c>
      <c r="AI14" s="925">
        <v>37</v>
      </c>
    </row>
    <row r="15" spans="1:35" ht="21.95" customHeight="1" thickBot="1">
      <c r="A15" s="500">
        <v>8546</v>
      </c>
      <c r="B15" s="918" t="s">
        <v>174</v>
      </c>
      <c r="C15" s="852">
        <v>2</v>
      </c>
      <c r="D15" s="852">
        <v>2</v>
      </c>
      <c r="E15" s="852" t="s">
        <v>484</v>
      </c>
      <c r="F15" s="984" t="s">
        <v>484</v>
      </c>
      <c r="G15" s="852" t="s">
        <v>481</v>
      </c>
      <c r="H15" s="852" t="s">
        <v>481</v>
      </c>
      <c r="I15" s="852" t="s">
        <v>481</v>
      </c>
      <c r="J15" s="852" t="s">
        <v>481</v>
      </c>
      <c r="K15" s="852" t="s">
        <v>481</v>
      </c>
      <c r="L15" s="852"/>
      <c r="M15" s="852"/>
      <c r="N15" s="852" t="s">
        <v>481</v>
      </c>
      <c r="O15" s="1003">
        <v>3</v>
      </c>
      <c r="P15" s="852" t="s">
        <v>481</v>
      </c>
      <c r="Q15" s="852" t="s">
        <v>481</v>
      </c>
      <c r="R15" s="852">
        <v>3</v>
      </c>
      <c r="S15" s="852"/>
      <c r="T15" s="851"/>
      <c r="U15" s="851">
        <v>4</v>
      </c>
      <c r="V15" s="851">
        <v>4</v>
      </c>
      <c r="W15" s="851">
        <v>4</v>
      </c>
      <c r="X15" s="851">
        <v>4</v>
      </c>
      <c r="Y15" s="851">
        <v>4</v>
      </c>
      <c r="Z15" s="851" t="s">
        <v>482</v>
      </c>
      <c r="AA15" s="851" t="s">
        <v>482</v>
      </c>
      <c r="AB15" s="851" t="s">
        <v>481</v>
      </c>
      <c r="AC15" s="851" t="s">
        <v>481</v>
      </c>
      <c r="AD15" s="851" t="s">
        <v>481</v>
      </c>
      <c r="AE15" s="851" t="s">
        <v>481</v>
      </c>
      <c r="AF15" s="851" t="s">
        <v>481</v>
      </c>
      <c r="AG15" s="852"/>
      <c r="AH15" s="924">
        <v>173.5</v>
      </c>
      <c r="AI15" s="925">
        <v>37</v>
      </c>
    </row>
    <row r="16" spans="1:35" ht="21.95" customHeight="1" thickBot="1">
      <c r="A16" s="500">
        <v>8546</v>
      </c>
      <c r="B16" s="918" t="s">
        <v>486</v>
      </c>
      <c r="C16" s="852">
        <v>4</v>
      </c>
      <c r="D16" s="852">
        <v>4</v>
      </c>
      <c r="E16" s="984" t="s">
        <v>482</v>
      </c>
      <c r="F16" s="984" t="s">
        <v>482</v>
      </c>
      <c r="G16" s="852" t="s">
        <v>481</v>
      </c>
      <c r="H16" s="852" t="s">
        <v>481</v>
      </c>
      <c r="I16" s="852" t="s">
        <v>481</v>
      </c>
      <c r="J16" s="852" t="s">
        <v>481</v>
      </c>
      <c r="K16" s="852" t="s">
        <v>481</v>
      </c>
      <c r="L16" s="852"/>
      <c r="M16" s="852"/>
      <c r="N16" s="1003">
        <v>1</v>
      </c>
      <c r="O16" s="852">
        <v>1</v>
      </c>
      <c r="P16" s="852">
        <v>1</v>
      </c>
      <c r="Q16" s="1018">
        <v>1</v>
      </c>
      <c r="R16" s="852">
        <v>1</v>
      </c>
      <c r="S16" s="852"/>
      <c r="T16" s="851"/>
      <c r="U16" s="851">
        <v>2</v>
      </c>
      <c r="V16" s="1004">
        <v>2</v>
      </c>
      <c r="W16" s="851">
        <v>2</v>
      </c>
      <c r="X16" s="851">
        <v>2</v>
      </c>
      <c r="Y16" s="851">
        <v>2</v>
      </c>
      <c r="Z16" s="851" t="s">
        <v>484</v>
      </c>
      <c r="AA16" s="1055" t="s">
        <v>485</v>
      </c>
      <c r="AB16" s="768" t="s">
        <v>485</v>
      </c>
      <c r="AC16" s="851" t="s">
        <v>481</v>
      </c>
      <c r="AD16" s="851" t="s">
        <v>481</v>
      </c>
      <c r="AE16" s="851" t="s">
        <v>481</v>
      </c>
      <c r="AF16" s="851" t="s">
        <v>481</v>
      </c>
      <c r="AG16" s="852"/>
      <c r="AH16" s="924">
        <v>197.5</v>
      </c>
      <c r="AI16" s="925">
        <v>37</v>
      </c>
    </row>
    <row r="17" spans="1:37" ht="21.95" customHeight="1">
      <c r="A17" s="500">
        <v>8546</v>
      </c>
      <c r="B17" s="918" t="s">
        <v>487</v>
      </c>
      <c r="C17" s="852">
        <v>3</v>
      </c>
      <c r="D17" s="852">
        <v>3</v>
      </c>
      <c r="E17" s="852"/>
      <c r="F17" s="852"/>
      <c r="G17" s="852">
        <v>4</v>
      </c>
      <c r="H17" s="852">
        <v>4</v>
      </c>
      <c r="I17" s="852">
        <v>4</v>
      </c>
      <c r="J17" s="852">
        <v>4</v>
      </c>
      <c r="K17" s="852">
        <v>4</v>
      </c>
      <c r="L17" s="852" t="s">
        <v>482</v>
      </c>
      <c r="M17" s="852" t="s">
        <v>482</v>
      </c>
      <c r="N17" s="852" t="s">
        <v>481</v>
      </c>
      <c r="O17" s="852" t="s">
        <v>481</v>
      </c>
      <c r="P17" s="852" t="s">
        <v>481</v>
      </c>
      <c r="Q17" s="852" t="s">
        <v>481</v>
      </c>
      <c r="R17" s="852" t="s">
        <v>481</v>
      </c>
      <c r="S17" s="852"/>
      <c r="T17" s="851"/>
      <c r="U17" s="851">
        <v>1</v>
      </c>
      <c r="V17" s="1003">
        <v>1</v>
      </c>
      <c r="W17" s="851">
        <v>1</v>
      </c>
      <c r="X17" s="851">
        <v>1</v>
      </c>
      <c r="Y17" s="851">
        <v>1</v>
      </c>
      <c r="Z17" s="851"/>
      <c r="AA17" s="923" t="s">
        <v>485</v>
      </c>
      <c r="AB17" s="851">
        <v>2</v>
      </c>
      <c r="AC17" s="851">
        <v>2</v>
      </c>
      <c r="AD17" s="851">
        <v>2</v>
      </c>
      <c r="AE17" s="851">
        <v>2</v>
      </c>
      <c r="AF17" s="851">
        <v>2</v>
      </c>
      <c r="AG17" s="852" t="s">
        <v>484</v>
      </c>
      <c r="AH17" s="924">
        <v>185.75</v>
      </c>
      <c r="AI17" s="925">
        <v>37</v>
      </c>
    </row>
    <row r="18" spans="1:37" ht="21.95" customHeight="1">
      <c r="A18" s="500">
        <v>8546</v>
      </c>
      <c r="B18" s="918" t="s">
        <v>488</v>
      </c>
      <c r="C18" s="852" t="s">
        <v>481</v>
      </c>
      <c r="D18" s="852" t="s">
        <v>481</v>
      </c>
      <c r="E18" s="852"/>
      <c r="F18" s="852"/>
      <c r="G18" s="852">
        <v>1</v>
      </c>
      <c r="H18" s="852">
        <v>1</v>
      </c>
      <c r="I18" s="852">
        <v>1</v>
      </c>
      <c r="J18" s="1018">
        <v>1</v>
      </c>
      <c r="K18" s="1018">
        <v>1</v>
      </c>
      <c r="L18" s="852"/>
      <c r="M18" s="852"/>
      <c r="N18" s="1003">
        <v>2</v>
      </c>
      <c r="O18" s="852">
        <v>2</v>
      </c>
      <c r="P18" s="852">
        <v>2</v>
      </c>
      <c r="Q18" s="852">
        <v>2</v>
      </c>
      <c r="R18" s="1036">
        <v>2</v>
      </c>
      <c r="S18" s="852" t="s">
        <v>484</v>
      </c>
      <c r="T18" s="851" t="s">
        <v>484</v>
      </c>
      <c r="U18" s="851" t="s">
        <v>481</v>
      </c>
      <c r="V18" s="851" t="s">
        <v>481</v>
      </c>
      <c r="W18" s="851" t="s">
        <v>481</v>
      </c>
      <c r="X18" s="851" t="s">
        <v>481</v>
      </c>
      <c r="Y18" s="851" t="s">
        <v>481</v>
      </c>
      <c r="Z18" s="851"/>
      <c r="AA18" s="851"/>
      <c r="AB18" s="851">
        <v>3</v>
      </c>
      <c r="AC18" s="851">
        <v>3</v>
      </c>
      <c r="AD18" s="851">
        <v>3</v>
      </c>
      <c r="AE18" s="851">
        <v>3</v>
      </c>
      <c r="AF18" s="851">
        <v>3</v>
      </c>
      <c r="AG18" s="852"/>
      <c r="AH18" s="924">
        <v>185</v>
      </c>
      <c r="AI18" s="925">
        <v>37</v>
      </c>
    </row>
    <row r="19" spans="1:37" ht="21.95" customHeight="1">
      <c r="A19" s="512" t="s">
        <v>489</v>
      </c>
      <c r="B19" s="513"/>
      <c r="C19" s="919"/>
      <c r="D19" s="919"/>
      <c r="E19" s="919"/>
      <c r="F19" s="919"/>
      <c r="G19" s="919"/>
      <c r="H19" s="919"/>
      <c r="I19" s="919"/>
      <c r="J19" s="919"/>
      <c r="K19" s="919"/>
      <c r="L19" s="919"/>
      <c r="M19" s="919"/>
      <c r="N19" s="919"/>
      <c r="O19" s="919"/>
      <c r="P19" s="919"/>
      <c r="Q19" s="919"/>
      <c r="R19" s="919"/>
      <c r="S19" s="919"/>
      <c r="T19" s="919"/>
      <c r="U19" s="919"/>
      <c r="V19" s="919"/>
      <c r="W19" s="919"/>
      <c r="X19" s="919"/>
      <c r="Y19" s="919"/>
      <c r="Z19" s="919"/>
      <c r="AA19" s="919"/>
      <c r="AB19" s="919"/>
      <c r="AC19" s="919"/>
      <c r="AD19" s="919"/>
      <c r="AE19" s="919"/>
      <c r="AF19" s="919"/>
      <c r="AG19" s="920"/>
      <c r="AH19" s="506"/>
      <c r="AI19" s="507"/>
    </row>
    <row r="20" spans="1:37" ht="21.95" customHeight="1">
      <c r="A20" s="500">
        <v>8500</v>
      </c>
      <c r="B20" s="186" t="s">
        <v>188</v>
      </c>
      <c r="C20" s="768"/>
      <c r="D20" s="1007" t="s">
        <v>490</v>
      </c>
      <c r="E20" s="768"/>
      <c r="F20" s="768" t="s">
        <v>484</v>
      </c>
      <c r="G20" s="1007" t="s">
        <v>491</v>
      </c>
      <c r="H20" s="768" t="s">
        <v>491</v>
      </c>
      <c r="I20" s="768">
        <v>2</v>
      </c>
      <c r="J20" s="768">
        <v>2</v>
      </c>
      <c r="K20" s="768">
        <v>2</v>
      </c>
      <c r="L20" s="768"/>
      <c r="M20" s="768"/>
      <c r="N20" s="1002" t="s">
        <v>485</v>
      </c>
      <c r="O20" s="768" t="s">
        <v>491</v>
      </c>
      <c r="P20" s="977" t="s">
        <v>491</v>
      </c>
      <c r="Q20" s="768">
        <v>3</v>
      </c>
      <c r="R20" s="768">
        <v>2</v>
      </c>
      <c r="S20" s="768"/>
      <c r="T20" s="768"/>
      <c r="U20" s="977" t="s">
        <v>491</v>
      </c>
      <c r="V20" s="977" t="s">
        <v>491</v>
      </c>
      <c r="W20" s="768">
        <v>4</v>
      </c>
      <c r="X20" s="768">
        <v>4</v>
      </c>
      <c r="Y20" s="768">
        <v>4</v>
      </c>
      <c r="Z20" s="768"/>
      <c r="AA20" s="768" t="s">
        <v>484</v>
      </c>
      <c r="AB20" s="768" t="s">
        <v>485</v>
      </c>
      <c r="AC20" s="768" t="s">
        <v>481</v>
      </c>
      <c r="AD20" s="768">
        <v>1</v>
      </c>
      <c r="AE20" s="768" t="s">
        <v>490</v>
      </c>
      <c r="AF20" s="768" t="s">
        <v>481</v>
      </c>
      <c r="AG20" s="768"/>
      <c r="AH20" s="924">
        <v>214.25</v>
      </c>
      <c r="AI20" s="925">
        <v>37</v>
      </c>
    </row>
    <row r="21" spans="1:37" ht="21.95" customHeight="1" thickBot="1">
      <c r="A21" s="500">
        <v>8500</v>
      </c>
      <c r="B21" s="153" t="s">
        <v>492</v>
      </c>
      <c r="C21" s="768"/>
      <c r="D21" s="977" t="s">
        <v>491</v>
      </c>
      <c r="E21" s="768"/>
      <c r="F21" s="768"/>
      <c r="G21" s="768" t="s">
        <v>491</v>
      </c>
      <c r="H21" s="768" t="s">
        <v>491</v>
      </c>
      <c r="I21" s="768" t="s">
        <v>491</v>
      </c>
      <c r="J21" s="768">
        <v>1</v>
      </c>
      <c r="K21" s="768">
        <v>1</v>
      </c>
      <c r="L21" s="768" t="s">
        <v>490</v>
      </c>
      <c r="M21" s="768" t="s">
        <v>490</v>
      </c>
      <c r="N21" s="768">
        <v>3</v>
      </c>
      <c r="O21" s="1002" t="s">
        <v>485</v>
      </c>
      <c r="P21" s="768">
        <v>3</v>
      </c>
      <c r="Q21" s="768">
        <v>1</v>
      </c>
      <c r="R21" s="768"/>
      <c r="S21" s="768" t="s">
        <v>490</v>
      </c>
      <c r="T21" s="768" t="s">
        <v>490</v>
      </c>
      <c r="U21" s="1038" t="s">
        <v>491</v>
      </c>
      <c r="V21" s="1038">
        <v>3</v>
      </c>
      <c r="W21" s="1038" t="s">
        <v>493</v>
      </c>
      <c r="X21" s="987">
        <v>3</v>
      </c>
      <c r="Y21" s="768" t="s">
        <v>490</v>
      </c>
      <c r="Z21" s="768" t="s">
        <v>490</v>
      </c>
      <c r="AA21" s="875" t="s">
        <v>485</v>
      </c>
      <c r="AB21" s="768"/>
      <c r="AC21" s="768" t="s">
        <v>481</v>
      </c>
      <c r="AD21" s="768" t="s">
        <v>481</v>
      </c>
      <c r="AE21" s="768">
        <v>1</v>
      </c>
      <c r="AF21" s="768">
        <v>1</v>
      </c>
      <c r="AG21" s="768"/>
      <c r="AH21" s="924">
        <v>191</v>
      </c>
      <c r="AI21" s="925">
        <v>37</v>
      </c>
    </row>
    <row r="22" spans="1:37" ht="21.95" customHeight="1" thickBot="1">
      <c r="A22" s="500"/>
      <c r="B22" s="153"/>
      <c r="C22" s="768"/>
      <c r="D22" s="768"/>
      <c r="E22" s="768"/>
      <c r="F22" s="768"/>
      <c r="G22" s="768"/>
      <c r="H22" s="768"/>
      <c r="I22" s="768"/>
      <c r="J22" s="768"/>
      <c r="K22" s="768"/>
      <c r="L22" s="768"/>
      <c r="M22" s="768"/>
      <c r="N22" s="768"/>
      <c r="O22" s="768"/>
      <c r="P22" s="768"/>
      <c r="Q22" s="768"/>
      <c r="R22" s="768"/>
      <c r="S22" s="768"/>
      <c r="T22" s="768"/>
      <c r="U22" s="768"/>
      <c r="V22" s="768"/>
      <c r="W22" s="768"/>
      <c r="X22" s="768"/>
      <c r="Y22" s="768"/>
      <c r="Z22" s="768"/>
      <c r="AA22" s="768"/>
      <c r="AB22" s="768"/>
      <c r="AC22" s="768"/>
      <c r="AD22" s="768"/>
      <c r="AE22" s="768"/>
      <c r="AF22" s="768"/>
      <c r="AG22" s="768"/>
      <c r="AH22" s="514"/>
      <c r="AI22" s="515"/>
    </row>
    <row r="23" spans="1:37" ht="21.95" customHeight="1">
      <c r="A23" s="516"/>
      <c r="C23" s="517"/>
      <c r="D23" s="517"/>
      <c r="E23" s="517"/>
      <c r="F23" s="517"/>
      <c r="G23" s="517"/>
      <c r="H23" s="517"/>
      <c r="I23" s="517"/>
      <c r="J23" s="517"/>
      <c r="K23" s="517"/>
      <c r="L23" s="517"/>
      <c r="M23" s="517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17"/>
      <c r="Y23" s="517"/>
      <c r="Z23" s="517"/>
      <c r="AA23" s="517"/>
      <c r="AB23" s="517"/>
      <c r="AC23" s="517"/>
      <c r="AD23" s="517"/>
      <c r="AE23" s="517"/>
      <c r="AF23" s="517"/>
      <c r="AG23" s="517"/>
    </row>
    <row r="24" spans="1:37" ht="21.95" customHeight="1">
      <c r="A24" s="516"/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</row>
    <row r="25" spans="1:37" ht="21.95" customHeight="1">
      <c r="A25" s="516"/>
      <c r="C25" s="517"/>
      <c r="D25" s="517"/>
      <c r="E25" s="517"/>
      <c r="F25" s="517"/>
      <c r="G25" s="517"/>
      <c r="H25" s="517"/>
      <c r="I25" s="517"/>
      <c r="J25" s="517"/>
      <c r="K25" s="517"/>
      <c r="L25" s="517"/>
      <c r="M25" s="517"/>
      <c r="N25" s="517"/>
      <c r="O25" s="517"/>
      <c r="P25" s="517"/>
      <c r="Q25" s="517"/>
      <c r="R25" s="517"/>
      <c r="S25" s="517"/>
      <c r="T25" s="517"/>
      <c r="U25" s="517"/>
      <c r="V25" s="517"/>
      <c r="W25" s="517"/>
      <c r="X25" s="517"/>
      <c r="Y25" s="517"/>
      <c r="Z25" s="517"/>
      <c r="AA25" s="517"/>
      <c r="AB25" s="517"/>
      <c r="AC25" s="517"/>
      <c r="AD25" s="517"/>
      <c r="AE25" s="517"/>
      <c r="AF25" s="517"/>
      <c r="AG25" s="517"/>
    </row>
    <row r="26" spans="1:37" ht="21.95" customHeight="1">
      <c r="A26" s="516"/>
      <c r="C26" s="517"/>
      <c r="D26" s="517"/>
      <c r="E26" s="517"/>
      <c r="F26" s="517"/>
      <c r="G26" s="517"/>
      <c r="H26" s="517"/>
      <c r="I26" s="517"/>
      <c r="J26" s="517"/>
      <c r="K26" s="517"/>
      <c r="L26" s="517"/>
      <c r="M26" s="517"/>
      <c r="N26" s="517"/>
      <c r="O26" s="517"/>
      <c r="P26" s="517"/>
      <c r="Q26" s="517"/>
      <c r="R26" s="517"/>
      <c r="S26" s="517"/>
      <c r="T26" s="517"/>
      <c r="U26" s="517"/>
      <c r="V26" s="517"/>
      <c r="W26" s="517"/>
      <c r="X26" s="517"/>
      <c r="Y26" s="517"/>
      <c r="Z26" s="517"/>
      <c r="AA26" s="517"/>
      <c r="AB26" s="517"/>
      <c r="AC26" s="517"/>
      <c r="AD26" s="517"/>
      <c r="AE26" s="517"/>
      <c r="AF26" s="517"/>
      <c r="AG26" s="517"/>
    </row>
    <row r="27" spans="1:37" ht="21.95" customHeight="1">
      <c r="A27" s="516"/>
      <c r="C27" s="517"/>
      <c r="D27" s="517"/>
      <c r="E27" s="517"/>
      <c r="F27" s="517"/>
      <c r="G27" s="517"/>
      <c r="H27" s="517"/>
      <c r="I27" s="517"/>
      <c r="J27" s="517"/>
      <c r="K27" s="517"/>
      <c r="L27" s="517"/>
      <c r="M27" s="517"/>
      <c r="N27" s="517"/>
      <c r="O27" s="517"/>
      <c r="P27" s="517"/>
      <c r="Q27" s="517"/>
      <c r="R27" s="517"/>
      <c r="S27" s="517"/>
      <c r="T27" s="517"/>
      <c r="U27" s="517"/>
      <c r="V27" s="517"/>
      <c r="W27" s="517"/>
      <c r="X27" s="517"/>
      <c r="Y27" s="517"/>
      <c r="Z27" s="517"/>
      <c r="AA27" s="517"/>
      <c r="AB27" s="517"/>
      <c r="AC27" s="517"/>
      <c r="AD27" s="517"/>
      <c r="AE27" s="517"/>
      <c r="AF27" s="517"/>
      <c r="AG27" s="517"/>
    </row>
    <row r="28" spans="1:37" ht="21.95" customHeight="1">
      <c r="A28" s="516"/>
      <c r="C28" s="517"/>
      <c r="D28" s="517"/>
      <c r="E28" s="517"/>
      <c r="F28" s="517"/>
      <c r="G28" s="517"/>
      <c r="H28" s="517"/>
      <c r="I28" s="517"/>
      <c r="J28" s="517"/>
      <c r="K28" s="517"/>
      <c r="L28" s="517"/>
      <c r="M28" s="517"/>
      <c r="N28" s="517"/>
      <c r="O28" s="517"/>
      <c r="P28" s="517"/>
      <c r="Q28" s="517"/>
      <c r="R28" s="517"/>
      <c r="S28" s="517"/>
      <c r="T28" s="517"/>
      <c r="U28" s="517"/>
      <c r="V28" s="517"/>
      <c r="W28" s="517"/>
      <c r="X28" s="517"/>
      <c r="Y28" s="517"/>
      <c r="Z28" s="517"/>
      <c r="AA28" s="517"/>
      <c r="AB28" s="517"/>
      <c r="AC28" s="517"/>
      <c r="AD28" s="517"/>
      <c r="AE28" s="517"/>
      <c r="AF28" s="517"/>
      <c r="AG28" s="517"/>
    </row>
    <row r="29" spans="1:37" ht="21.95" customHeight="1">
      <c r="A29" s="516"/>
      <c r="C29" s="517"/>
      <c r="D29" s="517"/>
      <c r="E29" s="517"/>
      <c r="F29" s="517"/>
      <c r="G29" s="517"/>
      <c r="H29" s="517"/>
      <c r="I29" s="517"/>
      <c r="J29" s="517"/>
      <c r="K29" s="517"/>
      <c r="L29" s="517"/>
      <c r="M29" s="517"/>
      <c r="N29" s="517"/>
      <c r="O29" s="517"/>
      <c r="P29" s="517"/>
      <c r="Q29" s="517"/>
      <c r="R29" s="517"/>
      <c r="S29" s="517"/>
      <c r="T29" s="517"/>
      <c r="U29" s="517"/>
      <c r="V29" s="517"/>
      <c r="W29" s="517"/>
      <c r="X29" s="517"/>
      <c r="Y29" s="517"/>
      <c r="Z29" s="517"/>
      <c r="AA29" s="517"/>
      <c r="AB29" s="517"/>
      <c r="AC29" s="517"/>
      <c r="AD29" s="517"/>
      <c r="AE29" s="517"/>
      <c r="AF29" s="517"/>
      <c r="AG29" s="517"/>
    </row>
    <row r="30" spans="1:37" ht="21.95" customHeight="1" thickBot="1">
      <c r="A30" s="1" t="s">
        <v>494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495</v>
      </c>
      <c r="B31" s="518"/>
      <c r="C31" s="518"/>
      <c r="D31" s="425" t="s">
        <v>496</v>
      </c>
      <c r="E31" s="519"/>
      <c r="F31" s="519"/>
      <c r="G31" s="519"/>
      <c r="H31" s="519"/>
      <c r="I31" s="519"/>
      <c r="J31" s="519"/>
      <c r="K31" s="519"/>
      <c r="L31" s="519"/>
      <c r="M31" s="520" t="s">
        <v>497</v>
      </c>
      <c r="N31" s="519"/>
      <c r="O31" s="519"/>
      <c r="P31" s="519"/>
      <c r="Q31" s="519"/>
      <c r="R31" s="519"/>
      <c r="S31" s="521"/>
      <c r="T31" s="521" t="s">
        <v>498</v>
      </c>
      <c r="U31" s="519"/>
      <c r="V31" s="519"/>
      <c r="W31" s="519"/>
      <c r="X31" s="519"/>
      <c r="Y31" s="519"/>
      <c r="Z31" s="238"/>
      <c r="AA31" s="522" t="s">
        <v>499</v>
      </c>
      <c r="AB31" s="51"/>
      <c r="AC31" s="51"/>
      <c r="AD31" s="51"/>
      <c r="AE31" s="51"/>
      <c r="AF31" s="51"/>
      <c r="AG31" s="523"/>
      <c r="AK31" s="1"/>
    </row>
    <row r="32" spans="1:37" ht="21.95" customHeight="1">
      <c r="A32" s="524" t="s">
        <v>500</v>
      </c>
      <c r="B32" s="135"/>
      <c r="C32" s="135"/>
      <c r="D32" s="495" t="s">
        <v>501</v>
      </c>
      <c r="E32" s="491"/>
      <c r="F32" s="157"/>
      <c r="G32" s="157"/>
      <c r="H32" s="157"/>
      <c r="I32" s="157"/>
      <c r="J32" s="157"/>
      <c r="K32" s="157"/>
      <c r="L32" s="489"/>
      <c r="M32" s="525" t="s">
        <v>502</v>
      </c>
      <c r="N32" s="135"/>
      <c r="O32" s="526"/>
      <c r="P32" s="135"/>
      <c r="Q32" s="135"/>
      <c r="R32" s="135"/>
      <c r="S32" s="527"/>
      <c r="T32" s="495" t="s">
        <v>503</v>
      </c>
      <c r="U32" s="157"/>
      <c r="V32" s="491"/>
      <c r="W32" s="157"/>
      <c r="X32" s="157"/>
      <c r="Y32" s="157"/>
      <c r="Z32" s="489"/>
      <c r="AA32" s="1" t="s">
        <v>504</v>
      </c>
      <c r="AD32" s="496"/>
      <c r="AG32" s="528"/>
      <c r="AK32" s="1"/>
    </row>
    <row r="33" spans="1:38" ht="21.95" customHeight="1">
      <c r="A33" s="529" t="s">
        <v>505</v>
      </c>
      <c r="B33" s="157"/>
      <c r="C33" s="157"/>
      <c r="D33" s="157"/>
      <c r="E33" s="157"/>
      <c r="F33" s="157"/>
      <c r="G33" s="489"/>
      <c r="H33" s="495" t="s">
        <v>506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0" t="s">
        <v>507</v>
      </c>
      <c r="AA33" s="526"/>
      <c r="AB33" s="135"/>
      <c r="AC33" s="135"/>
      <c r="AD33" s="135"/>
      <c r="AE33" s="135"/>
      <c r="AF33" s="135"/>
      <c r="AG33" s="531"/>
      <c r="AK33" s="312"/>
    </row>
    <row r="34" spans="1:38" ht="21.95" customHeight="1" thickBot="1">
      <c r="A34" s="532" t="s">
        <v>508</v>
      </c>
      <c r="B34" s="53"/>
      <c r="C34" s="53"/>
      <c r="D34" s="53"/>
      <c r="E34" s="53"/>
      <c r="F34" s="53"/>
      <c r="G34" s="533"/>
      <c r="H34" s="534" t="s">
        <v>509</v>
      </c>
      <c r="I34" s="533"/>
      <c r="J34" s="53"/>
      <c r="K34" s="53"/>
      <c r="L34" s="53"/>
      <c r="M34" s="53"/>
      <c r="N34" s="53"/>
      <c r="O34" s="53"/>
      <c r="P34" s="53"/>
      <c r="Q34" s="535"/>
      <c r="R34" s="535"/>
      <c r="S34" s="535"/>
      <c r="T34" s="53"/>
      <c r="U34" s="534" t="s">
        <v>510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6"/>
      <c r="AK34" s="1"/>
    </row>
    <row r="35" spans="1:38" ht="21.95" customHeight="1" thickBot="1">
      <c r="B35" s="537" t="s">
        <v>474</v>
      </c>
      <c r="C35" s="538"/>
      <c r="D35" s="538"/>
      <c r="E35" s="538"/>
      <c r="F35" s="538"/>
      <c r="G35" s="538"/>
      <c r="H35" s="538"/>
      <c r="I35" s="538"/>
      <c r="J35" s="538"/>
      <c r="K35" s="538"/>
      <c r="L35" s="538"/>
      <c r="M35" s="538"/>
      <c r="N35" s="538"/>
      <c r="O35" s="538"/>
      <c r="P35" s="538"/>
      <c r="Q35" s="538"/>
      <c r="R35" s="538"/>
      <c r="S35" s="538"/>
      <c r="T35" s="538"/>
      <c r="U35" s="538"/>
      <c r="V35" s="538"/>
      <c r="W35" s="538"/>
      <c r="X35" s="538"/>
      <c r="Y35" s="538"/>
      <c r="Z35" s="538"/>
      <c r="AA35" s="538"/>
      <c r="AB35" s="538"/>
      <c r="AC35" s="538"/>
      <c r="AD35" s="538"/>
      <c r="AE35" s="538"/>
      <c r="AF35" s="538"/>
      <c r="AG35" s="538"/>
      <c r="AH35" s="1"/>
    </row>
    <row r="36" spans="1:38" ht="21.95" customHeight="1" thickBot="1">
      <c r="A36" s="539" t="s">
        <v>475</v>
      </c>
      <c r="B36" s="182" t="s">
        <v>476</v>
      </c>
      <c r="C36" s="788">
        <v>1</v>
      </c>
      <c r="D36" s="787">
        <v>2</v>
      </c>
      <c r="E36" s="788">
        <v>3</v>
      </c>
      <c r="F36" s="788">
        <v>4</v>
      </c>
      <c r="G36" s="787">
        <v>5</v>
      </c>
      <c r="H36" s="787">
        <v>6</v>
      </c>
      <c r="I36" s="766">
        <v>7</v>
      </c>
      <c r="J36" s="766">
        <v>8</v>
      </c>
      <c r="K36" s="787">
        <v>9</v>
      </c>
      <c r="L36" s="788">
        <v>10</v>
      </c>
      <c r="M36" s="788">
        <v>11</v>
      </c>
      <c r="N36" s="787">
        <v>12</v>
      </c>
      <c r="O36" s="787">
        <v>13</v>
      </c>
      <c r="P36" s="766">
        <v>14</v>
      </c>
      <c r="Q36" s="766">
        <v>15</v>
      </c>
      <c r="R36" s="788">
        <v>16</v>
      </c>
      <c r="S36" s="788">
        <v>17</v>
      </c>
      <c r="T36" s="788">
        <v>18</v>
      </c>
      <c r="U36" s="787">
        <v>19</v>
      </c>
      <c r="V36" s="766">
        <v>20</v>
      </c>
      <c r="W36" s="766">
        <v>21</v>
      </c>
      <c r="X36" s="766">
        <v>22</v>
      </c>
      <c r="Y36" s="787">
        <v>23</v>
      </c>
      <c r="Z36" s="788">
        <v>24</v>
      </c>
      <c r="AA36" s="788">
        <v>25</v>
      </c>
      <c r="AB36" s="787">
        <v>26</v>
      </c>
      <c r="AC36" s="787">
        <v>27</v>
      </c>
      <c r="AD36" s="766">
        <v>28</v>
      </c>
      <c r="AE36" s="830">
        <v>29</v>
      </c>
      <c r="AF36" s="787">
        <v>30</v>
      </c>
      <c r="AG36" s="788">
        <v>31</v>
      </c>
      <c r="AH36" s="498" t="s">
        <v>477</v>
      </c>
      <c r="AI36" s="499" t="s">
        <v>478</v>
      </c>
      <c r="AL36" t="s">
        <v>28</v>
      </c>
    </row>
    <row r="37" spans="1:38" ht="21.95" customHeight="1">
      <c r="A37" s="540">
        <v>1</v>
      </c>
      <c r="B37" s="45" t="s">
        <v>511</v>
      </c>
      <c r="C37" s="923">
        <v>6</v>
      </c>
      <c r="D37" s="923">
        <v>6</v>
      </c>
      <c r="E37" s="923" t="s">
        <v>512</v>
      </c>
      <c r="F37" s="923" t="s">
        <v>513</v>
      </c>
      <c r="G37" s="923" t="s">
        <v>481</v>
      </c>
      <c r="H37" s="923" t="s">
        <v>481</v>
      </c>
      <c r="I37" s="923" t="s">
        <v>481</v>
      </c>
      <c r="J37" s="923" t="s">
        <v>481</v>
      </c>
      <c r="K37" s="923" t="s">
        <v>481</v>
      </c>
      <c r="L37" s="923"/>
      <c r="M37" s="923"/>
      <c r="N37" s="763">
        <v>3</v>
      </c>
      <c r="O37" s="1003">
        <v>3</v>
      </c>
      <c r="P37" s="923">
        <v>5</v>
      </c>
      <c r="Q37" s="923">
        <v>5</v>
      </c>
      <c r="R37" s="923">
        <v>5</v>
      </c>
      <c r="S37" s="923"/>
      <c r="T37" s="923"/>
      <c r="U37" s="923">
        <v>10</v>
      </c>
      <c r="V37" s="923">
        <v>10</v>
      </c>
      <c r="W37" s="923">
        <v>10</v>
      </c>
      <c r="X37" s="923">
        <v>10</v>
      </c>
      <c r="Y37" s="923">
        <v>10</v>
      </c>
      <c r="Z37" s="1046" t="s">
        <v>514</v>
      </c>
      <c r="AA37" s="923" t="s">
        <v>485</v>
      </c>
      <c r="AB37" s="768" t="s">
        <v>485</v>
      </c>
      <c r="AC37" s="923" t="s">
        <v>481</v>
      </c>
      <c r="AD37" s="923" t="s">
        <v>481</v>
      </c>
      <c r="AE37" s="923" t="s">
        <v>481</v>
      </c>
      <c r="AF37" s="923" t="s">
        <v>481</v>
      </c>
      <c r="AG37" s="927" t="s">
        <v>515</v>
      </c>
      <c r="AH37" s="924">
        <v>185</v>
      </c>
      <c r="AI37" s="925">
        <v>37</v>
      </c>
    </row>
    <row r="38" spans="1:38" ht="21.95" customHeight="1">
      <c r="A38" s="541">
        <v>6</v>
      </c>
      <c r="B38" s="542" t="s">
        <v>516</v>
      </c>
      <c r="C38" s="978">
        <v>7</v>
      </c>
      <c r="D38" s="978">
        <v>7</v>
      </c>
      <c r="E38" s="762"/>
      <c r="F38" s="762"/>
      <c r="G38" s="762">
        <v>4</v>
      </c>
      <c r="H38" s="762">
        <v>4</v>
      </c>
      <c r="I38" s="1029">
        <v>4</v>
      </c>
      <c r="J38" s="762">
        <v>4</v>
      </c>
      <c r="K38" s="762">
        <v>4</v>
      </c>
      <c r="L38" s="762"/>
      <c r="M38" s="762"/>
      <c r="N38" s="1003">
        <v>3</v>
      </c>
      <c r="O38" s="762">
        <v>3</v>
      </c>
      <c r="P38" s="762">
        <v>3</v>
      </c>
      <c r="Q38" s="762">
        <v>3</v>
      </c>
      <c r="R38" s="762" t="s">
        <v>28</v>
      </c>
      <c r="S38" s="762"/>
      <c r="T38" s="762"/>
      <c r="U38" s="966">
        <v>11</v>
      </c>
      <c r="V38" s="966">
        <v>11</v>
      </c>
      <c r="W38" s="966">
        <v>11</v>
      </c>
      <c r="X38" s="966">
        <v>11</v>
      </c>
      <c r="Y38" s="966">
        <v>11</v>
      </c>
      <c r="Z38" s="966" t="s">
        <v>517</v>
      </c>
      <c r="AA38" s="966" t="s">
        <v>517</v>
      </c>
      <c r="AB38" s="966" t="s">
        <v>481</v>
      </c>
      <c r="AC38" s="966" t="s">
        <v>481</v>
      </c>
      <c r="AD38" s="966" t="s">
        <v>481</v>
      </c>
      <c r="AE38" s="966" t="s">
        <v>481</v>
      </c>
      <c r="AF38" s="966" t="s">
        <v>481</v>
      </c>
      <c r="AG38" s="973"/>
      <c r="AH38" s="924">
        <v>185</v>
      </c>
      <c r="AI38" s="925">
        <v>37</v>
      </c>
    </row>
    <row r="39" spans="1:38" ht="21.95" customHeight="1" thickBot="1">
      <c r="A39" s="543">
        <v>11</v>
      </c>
      <c r="B39" s="794" t="s">
        <v>518</v>
      </c>
      <c r="C39" s="928">
        <v>8</v>
      </c>
      <c r="D39" s="928">
        <v>8</v>
      </c>
      <c r="E39" s="928" t="s">
        <v>513</v>
      </c>
      <c r="F39" s="928" t="s">
        <v>513</v>
      </c>
      <c r="G39" s="928" t="s">
        <v>481</v>
      </c>
      <c r="H39" s="928" t="s">
        <v>481</v>
      </c>
      <c r="I39" s="928" t="s">
        <v>481</v>
      </c>
      <c r="J39" s="928" t="s">
        <v>481</v>
      </c>
      <c r="K39" s="928" t="s">
        <v>481</v>
      </c>
      <c r="L39" s="928"/>
      <c r="M39" s="928"/>
      <c r="N39" s="928">
        <v>1</v>
      </c>
      <c r="O39" s="1003">
        <v>1</v>
      </c>
      <c r="P39" s="1019">
        <v>1</v>
      </c>
      <c r="Q39" s="1019">
        <v>1</v>
      </c>
      <c r="R39" s="928">
        <v>1</v>
      </c>
      <c r="S39" s="928"/>
      <c r="T39" s="928"/>
      <c r="U39" s="928">
        <v>9</v>
      </c>
      <c r="V39" s="928">
        <v>9</v>
      </c>
      <c r="W39" s="928">
        <v>9</v>
      </c>
      <c r="X39" s="928">
        <v>9</v>
      </c>
      <c r="Y39" s="928">
        <v>9</v>
      </c>
      <c r="Z39" s="928" t="s">
        <v>519</v>
      </c>
      <c r="AA39" s="928" t="s">
        <v>514</v>
      </c>
      <c r="AB39" s="928" t="s">
        <v>481</v>
      </c>
      <c r="AC39" s="928" t="s">
        <v>481</v>
      </c>
      <c r="AD39" s="928" t="s">
        <v>481</v>
      </c>
      <c r="AE39" s="928" t="s">
        <v>481</v>
      </c>
      <c r="AF39" s="928" t="s">
        <v>481</v>
      </c>
      <c r="AG39" s="929"/>
      <c r="AH39" s="924">
        <v>219</v>
      </c>
      <c r="AI39" s="925">
        <v>37</v>
      </c>
    </row>
    <row r="40" spans="1:38" ht="21.95" customHeight="1" thickBot="1">
      <c r="A40" s="540">
        <v>2</v>
      </c>
      <c r="B40" s="45" t="s">
        <v>520</v>
      </c>
      <c r="C40" s="923" t="s">
        <v>481</v>
      </c>
      <c r="D40" s="923" t="s">
        <v>481</v>
      </c>
      <c r="E40" s="923"/>
      <c r="F40" s="930"/>
      <c r="G40" s="1026">
        <v>5</v>
      </c>
      <c r="H40" s="1028" t="s">
        <v>521</v>
      </c>
      <c r="I40" s="923">
        <v>5</v>
      </c>
      <c r="J40" s="763">
        <v>5</v>
      </c>
      <c r="K40" s="763">
        <v>5</v>
      </c>
      <c r="L40" s="923"/>
      <c r="M40" s="923"/>
      <c r="N40" s="1003">
        <v>10</v>
      </c>
      <c r="O40" s="923">
        <v>10</v>
      </c>
      <c r="P40" s="923">
        <v>10</v>
      </c>
      <c r="Q40" s="923">
        <v>10</v>
      </c>
      <c r="R40" s="923">
        <v>10</v>
      </c>
      <c r="S40" s="923" t="s">
        <v>514</v>
      </c>
      <c r="T40" s="930" t="s">
        <v>514</v>
      </c>
      <c r="U40" s="930" t="s">
        <v>481</v>
      </c>
      <c r="V40" s="923" t="s">
        <v>481</v>
      </c>
      <c r="W40" s="923" t="s">
        <v>481</v>
      </c>
      <c r="X40" s="923" t="s">
        <v>481</v>
      </c>
      <c r="Y40" s="923" t="s">
        <v>481</v>
      </c>
      <c r="Z40" s="923" t="s">
        <v>515</v>
      </c>
      <c r="AA40" s="923" t="s">
        <v>515</v>
      </c>
      <c r="AB40" s="1056">
        <v>7</v>
      </c>
      <c r="AC40" s="923">
        <v>7</v>
      </c>
      <c r="AD40" s="923">
        <v>7</v>
      </c>
      <c r="AE40" s="923">
        <v>7</v>
      </c>
      <c r="AF40" s="923">
        <v>7</v>
      </c>
      <c r="AG40" s="923"/>
      <c r="AH40" s="924">
        <v>196</v>
      </c>
      <c r="AI40" s="925">
        <v>37</v>
      </c>
    </row>
    <row r="41" spans="1:38" ht="21.95" customHeight="1" thickBot="1">
      <c r="A41" s="541">
        <v>7</v>
      </c>
      <c r="B41" s="153" t="s">
        <v>522</v>
      </c>
      <c r="C41" s="762">
        <v>4</v>
      </c>
      <c r="D41" s="762">
        <v>4</v>
      </c>
      <c r="E41" s="762"/>
      <c r="F41" s="762"/>
      <c r="G41" s="762">
        <v>3</v>
      </c>
      <c r="H41" s="762">
        <v>3</v>
      </c>
      <c r="I41" s="762">
        <v>3</v>
      </c>
      <c r="J41" s="763">
        <v>3</v>
      </c>
      <c r="K41" s="762">
        <v>3</v>
      </c>
      <c r="L41" s="762"/>
      <c r="M41" s="762"/>
      <c r="N41" s="1003">
        <v>11</v>
      </c>
      <c r="O41" s="762">
        <v>11</v>
      </c>
      <c r="P41" s="762">
        <v>11</v>
      </c>
      <c r="Q41" s="762">
        <v>11</v>
      </c>
      <c r="R41" s="762">
        <v>11</v>
      </c>
      <c r="S41" s="762" t="s">
        <v>517</v>
      </c>
      <c r="T41" s="762" t="s">
        <v>517</v>
      </c>
      <c r="U41" s="762" t="s">
        <v>481</v>
      </c>
      <c r="V41" s="762" t="s">
        <v>481</v>
      </c>
      <c r="W41" s="762" t="s">
        <v>481</v>
      </c>
      <c r="X41" s="762" t="s">
        <v>481</v>
      </c>
      <c r="Y41" s="762" t="s">
        <v>481</v>
      </c>
      <c r="Z41" s="762"/>
      <c r="AA41" s="875" t="s">
        <v>485</v>
      </c>
      <c r="AB41" s="768" t="s">
        <v>485</v>
      </c>
      <c r="AC41" s="762">
        <v>8</v>
      </c>
      <c r="AD41" s="762">
        <v>8</v>
      </c>
      <c r="AE41" s="762">
        <v>8</v>
      </c>
      <c r="AF41" s="762">
        <v>8</v>
      </c>
      <c r="AG41" s="973" t="s">
        <v>513</v>
      </c>
      <c r="AH41" s="924">
        <v>173</v>
      </c>
      <c r="AI41" s="925">
        <v>37</v>
      </c>
    </row>
    <row r="42" spans="1:38" ht="21.95" customHeight="1" thickBot="1">
      <c r="A42" s="543">
        <v>12</v>
      </c>
      <c r="B42" s="544" t="s">
        <v>523</v>
      </c>
      <c r="C42" s="928" t="s">
        <v>481</v>
      </c>
      <c r="D42" s="928" t="s">
        <v>481</v>
      </c>
      <c r="E42" s="928"/>
      <c r="F42" s="928"/>
      <c r="G42" s="928">
        <v>1</v>
      </c>
      <c r="H42" s="928">
        <v>1</v>
      </c>
      <c r="I42" s="928">
        <v>1</v>
      </c>
      <c r="J42" s="763">
        <v>1</v>
      </c>
      <c r="K42" s="928">
        <v>1</v>
      </c>
      <c r="L42" s="928"/>
      <c r="M42" s="928"/>
      <c r="N42" s="1003">
        <v>9</v>
      </c>
      <c r="O42" s="928">
        <v>9</v>
      </c>
      <c r="P42" s="928">
        <v>9</v>
      </c>
      <c r="Q42" s="928">
        <v>9</v>
      </c>
      <c r="R42" s="928">
        <v>9</v>
      </c>
      <c r="S42" s="928" t="s">
        <v>519</v>
      </c>
      <c r="T42" s="928" t="s">
        <v>514</v>
      </c>
      <c r="U42" s="928" t="s">
        <v>481</v>
      </c>
      <c r="V42" s="928" t="s">
        <v>481</v>
      </c>
      <c r="W42" s="928" t="s">
        <v>481</v>
      </c>
      <c r="X42" s="928" t="s">
        <v>481</v>
      </c>
      <c r="Y42" s="928" t="s">
        <v>481</v>
      </c>
      <c r="Z42" s="928"/>
      <c r="AA42" s="923"/>
      <c r="AB42" s="768" t="s">
        <v>485</v>
      </c>
      <c r="AC42" s="928">
        <v>6</v>
      </c>
      <c r="AD42" s="928">
        <v>6</v>
      </c>
      <c r="AE42" s="928">
        <v>6</v>
      </c>
      <c r="AF42" s="928">
        <v>6</v>
      </c>
      <c r="AG42" s="929" t="s">
        <v>512</v>
      </c>
      <c r="AH42" s="924">
        <v>185</v>
      </c>
      <c r="AI42" s="925">
        <v>37</v>
      </c>
    </row>
    <row r="43" spans="1:38" ht="21.95" customHeight="1">
      <c r="A43" s="545">
        <v>3</v>
      </c>
      <c r="B43" s="836" t="s">
        <v>524</v>
      </c>
      <c r="C43" s="871">
        <v>5</v>
      </c>
      <c r="D43" s="1014">
        <v>5</v>
      </c>
      <c r="E43" s="871"/>
      <c r="F43" s="871"/>
      <c r="G43" s="871">
        <v>10</v>
      </c>
      <c r="H43" s="871">
        <v>10</v>
      </c>
      <c r="I43" s="871">
        <v>10</v>
      </c>
      <c r="J43" s="871">
        <v>10</v>
      </c>
      <c r="K43" s="871">
        <v>10</v>
      </c>
      <c r="L43" s="871" t="s">
        <v>514</v>
      </c>
      <c r="M43" s="871" t="s">
        <v>514</v>
      </c>
      <c r="N43" s="871" t="s">
        <v>481</v>
      </c>
      <c r="O43" s="1003" t="s">
        <v>481</v>
      </c>
      <c r="P43" s="871" t="s">
        <v>481</v>
      </c>
      <c r="Q43" s="871" t="s">
        <v>481</v>
      </c>
      <c r="R43" s="931" t="s">
        <v>481</v>
      </c>
      <c r="S43" s="871" t="s">
        <v>515</v>
      </c>
      <c r="T43" s="871" t="s">
        <v>515</v>
      </c>
      <c r="U43" s="872">
        <v>7</v>
      </c>
      <c r="V43" s="872">
        <v>7</v>
      </c>
      <c r="W43" s="1014">
        <v>7</v>
      </c>
      <c r="X43" s="1014">
        <v>7</v>
      </c>
      <c r="Y43" s="1014">
        <v>7</v>
      </c>
      <c r="Z43" s="871"/>
      <c r="AA43" s="871"/>
      <c r="AB43" s="872">
        <v>4</v>
      </c>
      <c r="AC43" s="872">
        <v>4</v>
      </c>
      <c r="AD43" s="872">
        <v>4</v>
      </c>
      <c r="AE43" s="871">
        <v>4</v>
      </c>
      <c r="AF43" s="871">
        <v>4</v>
      </c>
      <c r="AG43" s="932"/>
      <c r="AH43" s="924">
        <v>185</v>
      </c>
      <c r="AI43" s="925">
        <v>37</v>
      </c>
    </row>
    <row r="44" spans="1:38" ht="21.95" customHeight="1">
      <c r="A44" s="541">
        <v>8</v>
      </c>
      <c r="B44" s="319" t="s">
        <v>525</v>
      </c>
      <c r="C44" s="762">
        <v>3</v>
      </c>
      <c r="D44" s="762">
        <v>3</v>
      </c>
      <c r="E44" s="762"/>
      <c r="F44" s="762"/>
      <c r="G44" s="926">
        <v>11</v>
      </c>
      <c r="H44" s="762">
        <v>11</v>
      </c>
      <c r="I44" s="762">
        <v>11</v>
      </c>
      <c r="J44" s="762">
        <v>11</v>
      </c>
      <c r="K44" s="762">
        <v>11</v>
      </c>
      <c r="L44" s="762" t="s">
        <v>517</v>
      </c>
      <c r="M44" s="762" t="s">
        <v>517</v>
      </c>
      <c r="N44" s="762" t="s">
        <v>481</v>
      </c>
      <c r="O44" s="1003" t="s">
        <v>481</v>
      </c>
      <c r="P44" s="762" t="s">
        <v>481</v>
      </c>
      <c r="Q44" s="933" t="s">
        <v>481</v>
      </c>
      <c r="R44" s="762" t="s">
        <v>481</v>
      </c>
      <c r="S44" s="934"/>
      <c r="T44" s="762"/>
      <c r="U44" s="966">
        <v>8</v>
      </c>
      <c r="V44" s="966">
        <v>8</v>
      </c>
      <c r="W44" s="966">
        <v>8</v>
      </c>
      <c r="X44" s="966">
        <v>8</v>
      </c>
      <c r="Y44" s="966">
        <v>8</v>
      </c>
      <c r="Z44" s="966" t="s">
        <v>513</v>
      </c>
      <c r="AA44" s="966" t="s">
        <v>513</v>
      </c>
      <c r="AB44" s="762" t="s">
        <v>481</v>
      </c>
      <c r="AC44" s="762" t="s">
        <v>481</v>
      </c>
      <c r="AD44" s="762" t="s">
        <v>481</v>
      </c>
      <c r="AE44" s="762" t="s">
        <v>481</v>
      </c>
      <c r="AF44" s="762" t="s">
        <v>481</v>
      </c>
      <c r="AG44" s="762"/>
      <c r="AH44" s="924">
        <v>151.5</v>
      </c>
      <c r="AI44" s="925">
        <v>37</v>
      </c>
    </row>
    <row r="45" spans="1:38" ht="21.95" customHeight="1" thickBot="1">
      <c r="A45" s="543">
        <v>13</v>
      </c>
      <c r="B45" s="52" t="s">
        <v>526</v>
      </c>
      <c r="C45" s="928">
        <v>1</v>
      </c>
      <c r="D45" s="928">
        <v>1</v>
      </c>
      <c r="E45" s="928"/>
      <c r="F45" s="928"/>
      <c r="G45" s="928">
        <v>9</v>
      </c>
      <c r="H45" s="928">
        <v>9</v>
      </c>
      <c r="I45" s="928">
        <v>9</v>
      </c>
      <c r="J45" s="928">
        <v>9</v>
      </c>
      <c r="K45" s="928">
        <v>9</v>
      </c>
      <c r="L45" s="928" t="s">
        <v>519</v>
      </c>
      <c r="M45" s="928" t="s">
        <v>514</v>
      </c>
      <c r="N45" s="928" t="s">
        <v>481</v>
      </c>
      <c r="O45" s="1003" t="s">
        <v>481</v>
      </c>
      <c r="P45" s="928" t="s">
        <v>481</v>
      </c>
      <c r="Q45" s="928" t="s">
        <v>481</v>
      </c>
      <c r="R45" s="935" t="s">
        <v>481</v>
      </c>
      <c r="S45" s="928"/>
      <c r="T45" s="928"/>
      <c r="U45" s="928">
        <v>6</v>
      </c>
      <c r="V45" s="928">
        <v>6</v>
      </c>
      <c r="W45" s="928">
        <v>6</v>
      </c>
      <c r="X45" s="928">
        <v>6</v>
      </c>
      <c r="Y45" s="928">
        <v>6</v>
      </c>
      <c r="Z45" s="1019" t="s">
        <v>512</v>
      </c>
      <c r="AA45" s="1019" t="s">
        <v>513</v>
      </c>
      <c r="AB45" s="928" t="s">
        <v>481</v>
      </c>
      <c r="AC45" s="928" t="s">
        <v>481</v>
      </c>
      <c r="AD45" s="928" t="s">
        <v>481</v>
      </c>
      <c r="AE45" s="928" t="s">
        <v>481</v>
      </c>
      <c r="AF45" s="928" t="s">
        <v>481</v>
      </c>
      <c r="AG45" s="928"/>
      <c r="AH45" s="924">
        <v>185</v>
      </c>
      <c r="AI45" s="925">
        <v>37</v>
      </c>
    </row>
    <row r="46" spans="1:38" ht="21.95" customHeight="1">
      <c r="A46" s="545">
        <v>4</v>
      </c>
      <c r="B46" s="319" t="s">
        <v>527</v>
      </c>
      <c r="C46" s="762">
        <v>10</v>
      </c>
      <c r="D46" s="762">
        <v>10</v>
      </c>
      <c r="E46" s="762" t="s">
        <v>514</v>
      </c>
      <c r="F46" s="762" t="s">
        <v>514</v>
      </c>
      <c r="G46" s="762" t="s">
        <v>481</v>
      </c>
      <c r="H46" s="762" t="s">
        <v>481</v>
      </c>
      <c r="I46" s="762" t="s">
        <v>481</v>
      </c>
      <c r="J46" s="871" t="s">
        <v>481</v>
      </c>
      <c r="K46" s="871" t="s">
        <v>481</v>
      </c>
      <c r="L46" s="871" t="s">
        <v>515</v>
      </c>
      <c r="M46" s="871" t="s">
        <v>515</v>
      </c>
      <c r="N46" s="1003">
        <v>7</v>
      </c>
      <c r="O46" s="871">
        <v>7</v>
      </c>
      <c r="P46" s="871">
        <v>7</v>
      </c>
      <c r="Q46" s="871">
        <v>7</v>
      </c>
      <c r="R46" s="871">
        <v>7</v>
      </c>
      <c r="S46" s="871"/>
      <c r="T46" s="871"/>
      <c r="U46" s="1003">
        <v>4</v>
      </c>
      <c r="V46" s="1003">
        <v>4</v>
      </c>
      <c r="W46" s="871">
        <v>4</v>
      </c>
      <c r="X46" s="871">
        <v>4</v>
      </c>
      <c r="Y46" s="871">
        <v>4</v>
      </c>
      <c r="Z46" s="871"/>
      <c r="AA46" s="923" t="s">
        <v>485</v>
      </c>
      <c r="AB46" s="768" t="s">
        <v>485</v>
      </c>
      <c r="AC46" s="1003">
        <v>3</v>
      </c>
      <c r="AD46" s="1003">
        <v>3</v>
      </c>
      <c r="AE46" s="871">
        <v>3</v>
      </c>
      <c r="AF46" s="871">
        <v>3</v>
      </c>
      <c r="AG46" s="936"/>
      <c r="AH46" s="924">
        <v>185</v>
      </c>
      <c r="AI46" s="925">
        <v>37</v>
      </c>
    </row>
    <row r="47" spans="1:38" ht="21.95" customHeight="1">
      <c r="A47" s="541">
        <v>9</v>
      </c>
      <c r="B47" s="319" t="s">
        <v>528</v>
      </c>
      <c r="C47" s="762">
        <v>11</v>
      </c>
      <c r="D47" s="762">
        <v>11</v>
      </c>
      <c r="E47" s="762" t="s">
        <v>517</v>
      </c>
      <c r="F47" s="762" t="s">
        <v>517</v>
      </c>
      <c r="G47" s="762" t="s">
        <v>481</v>
      </c>
      <c r="H47" s="762" t="s">
        <v>481</v>
      </c>
      <c r="I47" s="762" t="s">
        <v>481</v>
      </c>
      <c r="J47" s="762" t="s">
        <v>481</v>
      </c>
      <c r="K47" s="762" t="s">
        <v>481</v>
      </c>
      <c r="L47" s="762"/>
      <c r="M47" s="762"/>
      <c r="N47" s="1003">
        <v>8</v>
      </c>
      <c r="O47" s="762">
        <v>8</v>
      </c>
      <c r="P47" s="762">
        <v>8</v>
      </c>
      <c r="Q47" s="762">
        <v>8</v>
      </c>
      <c r="R47" s="762">
        <v>8</v>
      </c>
      <c r="S47" s="762" t="s">
        <v>513</v>
      </c>
      <c r="T47" s="762" t="s">
        <v>513</v>
      </c>
      <c r="U47" s="762" t="s">
        <v>481</v>
      </c>
      <c r="V47" s="762" t="s">
        <v>481</v>
      </c>
      <c r="W47" s="762" t="s">
        <v>481</v>
      </c>
      <c r="X47" s="762" t="s">
        <v>481</v>
      </c>
      <c r="Y47" s="762" t="s">
        <v>481</v>
      </c>
      <c r="Z47" s="762"/>
      <c r="AA47" s="762"/>
      <c r="AB47" s="1025">
        <v>1</v>
      </c>
      <c r="AC47" s="762">
        <v>1</v>
      </c>
      <c r="AD47" s="762">
        <v>1</v>
      </c>
      <c r="AE47" s="762">
        <v>1</v>
      </c>
      <c r="AF47" s="762">
        <v>1</v>
      </c>
      <c r="AG47" s="933"/>
      <c r="AH47" s="924">
        <v>185</v>
      </c>
      <c r="AI47" s="925">
        <v>37</v>
      </c>
    </row>
    <row r="48" spans="1:38" ht="21.95" customHeight="1" thickBot="1">
      <c r="A48" s="543">
        <v>14</v>
      </c>
      <c r="B48" s="544" t="s">
        <v>529</v>
      </c>
      <c r="C48" s="928">
        <v>9</v>
      </c>
      <c r="D48" s="928">
        <v>9</v>
      </c>
      <c r="E48" s="871" t="s">
        <v>519</v>
      </c>
      <c r="F48" s="871" t="s">
        <v>519</v>
      </c>
      <c r="G48" s="871" t="s">
        <v>481</v>
      </c>
      <c r="H48" s="871" t="s">
        <v>481</v>
      </c>
      <c r="I48" s="871" t="s">
        <v>481</v>
      </c>
      <c r="J48" s="871" t="s">
        <v>481</v>
      </c>
      <c r="K48" s="871" t="s">
        <v>481</v>
      </c>
      <c r="L48" s="928"/>
      <c r="M48" s="928"/>
      <c r="N48" s="928">
        <v>6</v>
      </c>
      <c r="O48" s="1003">
        <v>6</v>
      </c>
      <c r="P48" s="928">
        <v>6</v>
      </c>
      <c r="Q48" s="928">
        <v>6</v>
      </c>
      <c r="R48" s="928">
        <v>6</v>
      </c>
      <c r="S48" s="928" t="s">
        <v>512</v>
      </c>
      <c r="T48" s="928" t="s">
        <v>513</v>
      </c>
      <c r="U48" s="928" t="s">
        <v>481</v>
      </c>
      <c r="V48" s="928" t="s">
        <v>481</v>
      </c>
      <c r="W48" s="928" t="s">
        <v>481</v>
      </c>
      <c r="X48" s="928" t="s">
        <v>481</v>
      </c>
      <c r="Y48" s="1047">
        <v>8</v>
      </c>
      <c r="Z48" s="928"/>
      <c r="AA48" s="928"/>
      <c r="AB48" s="1044">
        <v>3</v>
      </c>
      <c r="AC48" s="761">
        <v>3</v>
      </c>
      <c r="AD48" s="761">
        <v>3</v>
      </c>
      <c r="AE48" s="928">
        <v>5</v>
      </c>
      <c r="AF48" s="1019">
        <v>5</v>
      </c>
      <c r="AG48" s="937"/>
      <c r="AH48" s="924">
        <v>185</v>
      </c>
      <c r="AI48" s="925">
        <v>37</v>
      </c>
    </row>
    <row r="49" spans="1:35" ht="21.95" customHeight="1">
      <c r="A49" s="540">
        <v>5</v>
      </c>
      <c r="B49" s="542" t="s">
        <v>530</v>
      </c>
      <c r="C49" s="923" t="s">
        <v>481</v>
      </c>
      <c r="D49" s="923" t="s">
        <v>481</v>
      </c>
      <c r="E49" s="923" t="s">
        <v>515</v>
      </c>
      <c r="F49" s="923" t="s">
        <v>515</v>
      </c>
      <c r="G49" s="923">
        <v>7</v>
      </c>
      <c r="H49" s="923">
        <v>7</v>
      </c>
      <c r="I49" s="923">
        <v>7</v>
      </c>
      <c r="J49" s="763">
        <v>7</v>
      </c>
      <c r="K49" s="923">
        <v>7</v>
      </c>
      <c r="L49" s="923"/>
      <c r="M49" s="923"/>
      <c r="N49" s="1035">
        <v>4</v>
      </c>
      <c r="O49" s="1003">
        <v>4</v>
      </c>
      <c r="P49" s="1035">
        <v>4</v>
      </c>
      <c r="Q49" s="1035">
        <v>4</v>
      </c>
      <c r="R49" s="1035">
        <v>4</v>
      </c>
      <c r="S49" s="762"/>
      <c r="T49" s="762"/>
      <c r="U49" s="762">
        <v>3</v>
      </c>
      <c r="V49" s="762">
        <v>3</v>
      </c>
      <c r="W49" s="762">
        <v>3</v>
      </c>
      <c r="X49" s="762">
        <v>3</v>
      </c>
      <c r="Y49" s="762">
        <v>3</v>
      </c>
      <c r="Z49" s="762"/>
      <c r="AA49" s="762"/>
      <c r="AB49" s="762">
        <v>11</v>
      </c>
      <c r="AC49" s="762">
        <v>11</v>
      </c>
      <c r="AD49" s="762">
        <v>11</v>
      </c>
      <c r="AE49" s="938">
        <v>11</v>
      </c>
      <c r="AF49" s="923">
        <v>11</v>
      </c>
      <c r="AG49" s="938" t="s">
        <v>517</v>
      </c>
      <c r="AH49" s="924">
        <v>185</v>
      </c>
      <c r="AI49" s="925">
        <v>37</v>
      </c>
    </row>
    <row r="50" spans="1:35" ht="21.95" customHeight="1">
      <c r="A50" s="541">
        <v>10</v>
      </c>
      <c r="B50" s="319" t="s">
        <v>531</v>
      </c>
      <c r="C50" s="762" t="s">
        <v>481</v>
      </c>
      <c r="D50" s="762" t="s">
        <v>481</v>
      </c>
      <c r="E50" s="762"/>
      <c r="F50" s="762"/>
      <c r="G50" s="762">
        <v>8</v>
      </c>
      <c r="H50" s="762">
        <v>8</v>
      </c>
      <c r="I50" s="762">
        <v>8</v>
      </c>
      <c r="J50" s="762">
        <v>8</v>
      </c>
      <c r="K50" s="762">
        <v>8</v>
      </c>
      <c r="L50" s="762" t="s">
        <v>513</v>
      </c>
      <c r="M50" s="762" t="s">
        <v>513</v>
      </c>
      <c r="N50" s="762" t="s">
        <v>481</v>
      </c>
      <c r="O50" s="762" t="s">
        <v>481</v>
      </c>
      <c r="P50" s="762" t="s">
        <v>481</v>
      </c>
      <c r="Q50" s="762" t="s">
        <v>481</v>
      </c>
      <c r="R50" s="762" t="s">
        <v>481</v>
      </c>
      <c r="S50" s="762"/>
      <c r="T50" s="762"/>
      <c r="U50" s="762">
        <v>1</v>
      </c>
      <c r="V50" s="1003">
        <v>1</v>
      </c>
      <c r="W50" s="762">
        <v>1</v>
      </c>
      <c r="X50" s="762">
        <v>1</v>
      </c>
      <c r="Y50" s="762">
        <v>1</v>
      </c>
      <c r="Z50" s="762"/>
      <c r="AA50" s="762"/>
      <c r="AB50" s="768">
        <v>9</v>
      </c>
      <c r="AC50" s="762">
        <v>9</v>
      </c>
      <c r="AD50" s="762">
        <v>9</v>
      </c>
      <c r="AE50" s="933">
        <v>9</v>
      </c>
      <c r="AF50" s="762">
        <v>9</v>
      </c>
      <c r="AG50" s="933" t="s">
        <v>519</v>
      </c>
      <c r="AH50" s="924">
        <v>217.5</v>
      </c>
      <c r="AI50" s="925">
        <v>37</v>
      </c>
    </row>
    <row r="51" spans="1:35" ht="21.95" customHeight="1" thickBot="1">
      <c r="A51" s="543">
        <v>15</v>
      </c>
      <c r="B51" s="52" t="s">
        <v>532</v>
      </c>
      <c r="C51" s="761" t="s">
        <v>481</v>
      </c>
      <c r="D51" s="761" t="s">
        <v>481</v>
      </c>
      <c r="E51" s="761"/>
      <c r="F51" s="761"/>
      <c r="G51" s="761">
        <v>6</v>
      </c>
      <c r="H51" s="761">
        <v>6</v>
      </c>
      <c r="I51" s="761">
        <v>6</v>
      </c>
      <c r="J51" s="761">
        <v>6</v>
      </c>
      <c r="K51" s="761">
        <v>6</v>
      </c>
      <c r="L51" s="761" t="s">
        <v>512</v>
      </c>
      <c r="M51" s="761" t="s">
        <v>513</v>
      </c>
      <c r="N51" s="761" t="s">
        <v>481</v>
      </c>
      <c r="O51" s="761" t="s">
        <v>481</v>
      </c>
      <c r="P51" s="761" t="s">
        <v>481</v>
      </c>
      <c r="Q51" s="761" t="s">
        <v>481</v>
      </c>
      <c r="R51" s="761" t="s">
        <v>481</v>
      </c>
      <c r="S51" s="761"/>
      <c r="T51" s="761"/>
      <c r="U51" s="1037">
        <v>5</v>
      </c>
      <c r="V51" s="1003">
        <v>5</v>
      </c>
      <c r="W51" s="1037">
        <v>5</v>
      </c>
      <c r="X51" s="1037">
        <v>5</v>
      </c>
      <c r="Y51" s="761">
        <v>3</v>
      </c>
      <c r="Z51" s="761"/>
      <c r="AA51" s="761"/>
      <c r="AB51" s="761">
        <v>10</v>
      </c>
      <c r="AC51" s="761">
        <v>10</v>
      </c>
      <c r="AD51" s="761">
        <v>10</v>
      </c>
      <c r="AE51" s="780">
        <v>10</v>
      </c>
      <c r="AF51" s="761">
        <v>10</v>
      </c>
      <c r="AG51" s="780" t="s">
        <v>514</v>
      </c>
      <c r="AH51" s="924">
        <v>187.5</v>
      </c>
      <c r="AI51" s="925">
        <v>37</v>
      </c>
    </row>
    <row r="52" spans="1:35" ht="21.95" customHeight="1">
      <c r="A52" s="516"/>
      <c r="C52" s="538"/>
      <c r="D52" s="538"/>
      <c r="E52" s="538"/>
      <c r="F52" s="538"/>
      <c r="G52" s="538"/>
      <c r="H52" s="538"/>
      <c r="I52" s="538"/>
      <c r="J52" s="538"/>
      <c r="K52" s="538"/>
      <c r="L52" s="538"/>
      <c r="M52" s="538"/>
      <c r="N52" s="538"/>
      <c r="O52" s="538"/>
      <c r="P52" s="538"/>
      <c r="Q52" s="538"/>
      <c r="R52" s="538"/>
      <c r="S52" s="538"/>
      <c r="T52" s="538"/>
      <c r="U52" s="538"/>
      <c r="V52" s="538"/>
      <c r="W52" s="538"/>
      <c r="X52" s="538"/>
      <c r="Y52" s="538"/>
      <c r="Z52" s="538"/>
      <c r="AA52" s="538"/>
      <c r="AB52" s="538"/>
      <c r="AC52" s="538"/>
      <c r="AD52" s="538"/>
      <c r="AE52" s="538"/>
      <c r="AF52" s="538"/>
      <c r="AG52" s="538"/>
      <c r="AH52" s="1"/>
    </row>
    <row r="53" spans="1:35" ht="21.95" customHeight="1">
      <c r="A53" s="516"/>
      <c r="C53" s="538"/>
      <c r="D53" s="538"/>
      <c r="E53" s="538"/>
      <c r="F53" s="538"/>
      <c r="G53" s="538"/>
      <c r="H53" s="538"/>
      <c r="I53" s="538"/>
      <c r="J53" s="538"/>
      <c r="K53" s="538"/>
      <c r="L53" s="538"/>
      <c r="M53" s="538"/>
      <c r="N53" s="538"/>
      <c r="O53" s="538"/>
      <c r="P53" s="538"/>
      <c r="Q53" s="538"/>
      <c r="R53" s="538"/>
      <c r="S53" s="538"/>
      <c r="T53" s="538"/>
      <c r="U53" s="538"/>
      <c r="V53" s="538"/>
      <c r="W53" s="538"/>
      <c r="X53" s="538"/>
      <c r="Y53" s="538"/>
      <c r="Z53" s="538"/>
      <c r="AA53" s="538"/>
      <c r="AB53" s="538"/>
      <c r="AC53" s="538"/>
      <c r="AD53" s="538"/>
      <c r="AE53" s="538"/>
      <c r="AF53" s="538"/>
      <c r="AG53" s="538"/>
      <c r="AH53" s="1"/>
    </row>
    <row r="54" spans="1:35" ht="21.95" customHeight="1">
      <c r="A54" s="516"/>
      <c r="C54" s="538"/>
      <c r="D54" s="538"/>
      <c r="E54" s="538"/>
      <c r="F54" s="538"/>
      <c r="G54" s="538"/>
      <c r="H54" s="538"/>
      <c r="I54" s="538"/>
      <c r="J54" s="538"/>
      <c r="K54" s="538"/>
      <c r="L54" s="538"/>
      <c r="M54" s="538"/>
      <c r="N54" s="538"/>
      <c r="O54" s="538"/>
      <c r="P54" s="538"/>
      <c r="Q54" s="538"/>
      <c r="R54" s="538"/>
      <c r="S54" s="538"/>
      <c r="T54" s="538"/>
      <c r="U54" s="538"/>
      <c r="V54" s="538"/>
      <c r="W54" s="538"/>
      <c r="X54" s="538"/>
      <c r="Y54" s="538"/>
      <c r="Z54" s="538"/>
      <c r="AA54" s="538"/>
      <c r="AB54" s="538"/>
      <c r="AC54" s="538"/>
      <c r="AD54" s="538"/>
      <c r="AE54" s="538"/>
      <c r="AF54" s="538"/>
      <c r="AG54" s="538"/>
      <c r="AH54" s="1"/>
    </row>
    <row r="55" spans="1:35" ht="21.95" customHeight="1" thickBot="1">
      <c r="A55" s="554"/>
      <c r="C55" s="555"/>
      <c r="D55" s="555"/>
      <c r="E55" s="555"/>
      <c r="F55" s="555"/>
      <c r="G55" s="555"/>
      <c r="H55" s="555"/>
      <c r="I55" s="555"/>
      <c r="J55" s="555"/>
      <c r="K55" s="555"/>
      <c r="L55" s="555"/>
      <c r="M55" s="555"/>
      <c r="N55" s="555"/>
      <c r="O55" s="555"/>
      <c r="P55" s="555"/>
      <c r="Q55" s="555"/>
      <c r="R55" s="555"/>
      <c r="S55" s="555"/>
      <c r="T55" s="555"/>
      <c r="U55" s="555"/>
      <c r="V55" s="555"/>
      <c r="W55" s="555"/>
      <c r="X55" s="555"/>
      <c r="Y55" s="555"/>
      <c r="Z55" s="555"/>
      <c r="AA55" s="555"/>
      <c r="AB55" s="555"/>
      <c r="AC55" s="555"/>
      <c r="AD55" s="555"/>
      <c r="AE55" s="555"/>
      <c r="AF55" s="555"/>
      <c r="AG55" s="555"/>
      <c r="AH55" s="556"/>
      <c r="AI55" s="556"/>
    </row>
    <row r="56" spans="1:35" ht="21.95" customHeight="1">
      <c r="A56" s="361"/>
      <c r="B56" s="23" t="s">
        <v>533</v>
      </c>
      <c r="C56" s="7"/>
      <c r="D56" s="414" t="s">
        <v>2</v>
      </c>
      <c r="E56" s="547"/>
      <c r="F56" s="7"/>
      <c r="G56" s="6" t="s">
        <v>3</v>
      </c>
      <c r="H56" s="548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49"/>
      <c r="R56" s="118"/>
      <c r="S56" s="6" t="s">
        <v>7</v>
      </c>
      <c r="T56" s="550"/>
      <c r="U56" s="118"/>
      <c r="V56" s="6" t="s">
        <v>8</v>
      </c>
      <c r="W56" s="549"/>
      <c r="X56" s="349" t="s">
        <v>9</v>
      </c>
      <c r="Y56" s="557"/>
      <c r="Z56" s="557"/>
      <c r="AA56" s="558"/>
      <c r="AB56" s="27" t="s">
        <v>10</v>
      </c>
      <c r="AC56" s="551"/>
      <c r="AD56" s="551"/>
      <c r="AE56" s="559"/>
      <c r="AF56" s="559"/>
      <c r="AG56" s="560"/>
    </row>
    <row r="57" spans="1:35" ht="21.95" customHeight="1">
      <c r="A57" s="361"/>
      <c r="B57" s="306" t="s">
        <v>534</v>
      </c>
      <c r="C57" s="561" t="s">
        <v>535</v>
      </c>
      <c r="D57" s="483"/>
      <c r="E57" s="484"/>
      <c r="F57" s="561" t="s">
        <v>535</v>
      </c>
      <c r="G57" s="483"/>
      <c r="H57" s="484"/>
      <c r="I57" s="561" t="s">
        <v>535</v>
      </c>
      <c r="J57" s="483"/>
      <c r="K57" s="484"/>
      <c r="L57" s="561" t="s">
        <v>535</v>
      </c>
      <c r="M57" s="483"/>
      <c r="N57" s="484"/>
      <c r="O57" s="561" t="s">
        <v>116</v>
      </c>
      <c r="P57" s="483"/>
      <c r="Q57" s="484"/>
      <c r="R57" s="561"/>
      <c r="S57" s="483"/>
      <c r="T57" s="484"/>
      <c r="U57" s="561"/>
      <c r="V57" s="483"/>
      <c r="W57" s="484"/>
      <c r="X57" s="561"/>
      <c r="Y57" s="483"/>
      <c r="Z57" s="483"/>
      <c r="AA57" s="483"/>
      <c r="AB57" s="476"/>
      <c r="AC57" s="483"/>
      <c r="AD57" s="483"/>
      <c r="AE57" s="483"/>
      <c r="AF57" s="483"/>
      <c r="AG57" s="562"/>
    </row>
    <row r="58" spans="1:35" ht="21.95" customHeight="1">
      <c r="A58" s="361"/>
      <c r="B58" s="306" t="s">
        <v>536</v>
      </c>
      <c r="C58" s="561" t="s">
        <v>147</v>
      </c>
      <c r="D58" s="483"/>
      <c r="E58" s="484"/>
      <c r="F58" s="561" t="s">
        <v>147</v>
      </c>
      <c r="G58" s="483"/>
      <c r="H58" s="484"/>
      <c r="I58" s="561" t="s">
        <v>147</v>
      </c>
      <c r="J58" s="483"/>
      <c r="K58" s="484"/>
      <c r="L58" s="561" t="s">
        <v>147</v>
      </c>
      <c r="M58" s="483"/>
      <c r="N58" s="484"/>
      <c r="O58" s="561" t="s">
        <v>537</v>
      </c>
      <c r="P58" s="483"/>
      <c r="Q58" s="484"/>
      <c r="R58" s="561"/>
      <c r="S58" s="483"/>
      <c r="T58" s="484"/>
      <c r="U58" s="561"/>
      <c r="V58" s="483"/>
      <c r="W58" s="484"/>
      <c r="X58" s="561"/>
      <c r="Y58" s="483"/>
      <c r="Z58" s="483"/>
      <c r="AA58" s="483"/>
      <c r="AB58" s="476"/>
      <c r="AC58" s="483"/>
      <c r="AD58" s="483"/>
      <c r="AE58" s="483"/>
      <c r="AF58" s="483"/>
      <c r="AG58" s="562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 thickBot="1">
      <c r="A60" s="861" t="s">
        <v>475</v>
      </c>
      <c r="B60" s="862" t="s">
        <v>476</v>
      </c>
      <c r="C60" s="880">
        <v>1</v>
      </c>
      <c r="D60" s="863">
        <v>2</v>
      </c>
      <c r="E60" s="880">
        <v>3</v>
      </c>
      <c r="F60" s="880">
        <v>4</v>
      </c>
      <c r="G60" s="863">
        <v>5</v>
      </c>
      <c r="H60" s="863">
        <v>6</v>
      </c>
      <c r="I60" s="863">
        <v>7</v>
      </c>
      <c r="J60" s="863">
        <v>8</v>
      </c>
      <c r="K60" s="863">
        <v>9</v>
      </c>
      <c r="L60" s="880">
        <v>10</v>
      </c>
      <c r="M60" s="880">
        <v>11</v>
      </c>
      <c r="N60" s="863">
        <v>12</v>
      </c>
      <c r="O60" s="863">
        <v>13</v>
      </c>
      <c r="P60" s="863">
        <v>14</v>
      </c>
      <c r="Q60" s="863">
        <v>15</v>
      </c>
      <c r="R60" s="880">
        <v>16</v>
      </c>
      <c r="S60" s="880">
        <v>17</v>
      </c>
      <c r="T60" s="880">
        <v>18</v>
      </c>
      <c r="U60" s="863">
        <v>19</v>
      </c>
      <c r="V60" s="863">
        <v>20</v>
      </c>
      <c r="W60" s="863">
        <v>21</v>
      </c>
      <c r="X60" s="863">
        <v>22</v>
      </c>
      <c r="Y60" s="863">
        <v>23</v>
      </c>
      <c r="Z60" s="880">
        <v>24</v>
      </c>
      <c r="AA60" s="880">
        <v>25</v>
      </c>
      <c r="AB60" s="863">
        <v>26</v>
      </c>
      <c r="AC60" s="863">
        <v>27</v>
      </c>
      <c r="AD60" s="863">
        <v>28</v>
      </c>
      <c r="AE60" s="880">
        <v>29</v>
      </c>
      <c r="AF60" s="863">
        <v>30</v>
      </c>
      <c r="AG60" s="880">
        <v>31</v>
      </c>
      <c r="AH60" s="864" t="s">
        <v>477</v>
      </c>
      <c r="AI60" s="865" t="s">
        <v>478</v>
      </c>
    </row>
    <row r="61" spans="1:35" ht="21.95" customHeight="1">
      <c r="A61" s="860">
        <v>8520</v>
      </c>
      <c r="B61" s="860" t="s">
        <v>538</v>
      </c>
      <c r="C61" s="764"/>
      <c r="D61" s="764" t="s">
        <v>539</v>
      </c>
      <c r="E61" s="764"/>
      <c r="F61" s="764"/>
      <c r="G61" s="764" t="s">
        <v>539</v>
      </c>
      <c r="H61" s="764" t="s">
        <v>539</v>
      </c>
      <c r="I61" s="764" t="s">
        <v>539</v>
      </c>
      <c r="J61" s="764" t="s">
        <v>539</v>
      </c>
      <c r="K61" s="764" t="s">
        <v>539</v>
      </c>
      <c r="L61" s="764"/>
      <c r="M61" s="764"/>
      <c r="N61" s="1003" t="s">
        <v>539</v>
      </c>
      <c r="O61" s="764" t="s">
        <v>539</v>
      </c>
      <c r="P61" s="764" t="s">
        <v>539</v>
      </c>
      <c r="Q61" s="764" t="s">
        <v>539</v>
      </c>
      <c r="R61" s="764"/>
      <c r="S61" s="764"/>
      <c r="T61" s="764"/>
      <c r="U61" s="764" t="s">
        <v>539</v>
      </c>
      <c r="V61" s="764" t="s">
        <v>539</v>
      </c>
      <c r="W61" s="764" t="s">
        <v>539</v>
      </c>
      <c r="X61" s="764" t="s">
        <v>539</v>
      </c>
      <c r="Y61" s="764" t="s">
        <v>539</v>
      </c>
      <c r="Z61" s="764"/>
      <c r="AA61" s="764"/>
      <c r="AB61" s="764" t="s">
        <v>539</v>
      </c>
      <c r="AC61" s="764" t="s">
        <v>539</v>
      </c>
      <c r="AD61" s="764" t="s">
        <v>539</v>
      </c>
      <c r="AE61" s="764"/>
      <c r="AF61" s="1032" t="s">
        <v>539</v>
      </c>
      <c r="AG61" s="764"/>
      <c r="AH61" s="510">
        <v>194.5</v>
      </c>
      <c r="AI61" s="511">
        <v>31</v>
      </c>
    </row>
    <row r="62" spans="1:35" ht="21.95" customHeight="1" thickBot="1">
      <c r="A62" s="866">
        <v>8521</v>
      </c>
      <c r="B62" s="866"/>
      <c r="C62" s="867"/>
      <c r="D62" s="867" t="s">
        <v>540</v>
      </c>
      <c r="E62" s="867"/>
      <c r="F62" s="867"/>
      <c r="G62" s="867" t="s">
        <v>540</v>
      </c>
      <c r="H62" s="867" t="s">
        <v>540</v>
      </c>
      <c r="I62" s="867" t="s">
        <v>540</v>
      </c>
      <c r="J62" s="867" t="s">
        <v>540</v>
      </c>
      <c r="K62" s="867" t="s">
        <v>540</v>
      </c>
      <c r="L62" s="867"/>
      <c r="M62" s="867"/>
      <c r="N62" s="867" t="s">
        <v>540</v>
      </c>
      <c r="O62" s="867" t="s">
        <v>540</v>
      </c>
      <c r="P62" s="867" t="s">
        <v>540</v>
      </c>
      <c r="Q62" s="867" t="s">
        <v>540</v>
      </c>
      <c r="R62" s="867"/>
      <c r="S62" s="867"/>
      <c r="T62" s="867"/>
      <c r="U62" s="867" t="s">
        <v>540</v>
      </c>
      <c r="V62" s="867" t="s">
        <v>540</v>
      </c>
      <c r="W62" s="867" t="s">
        <v>540</v>
      </c>
      <c r="X62" s="867" t="s">
        <v>540</v>
      </c>
      <c r="Y62" s="867" t="s">
        <v>540</v>
      </c>
      <c r="Z62" s="867"/>
      <c r="AA62" s="867"/>
      <c r="AB62" s="867" t="s">
        <v>540</v>
      </c>
      <c r="AC62" s="867" t="s">
        <v>540</v>
      </c>
      <c r="AD62" s="867" t="s">
        <v>540</v>
      </c>
      <c r="AE62" s="867"/>
      <c r="AF62" s="867" t="s">
        <v>540</v>
      </c>
      <c r="AG62" s="867"/>
      <c r="AH62" s="868">
        <v>185</v>
      </c>
      <c r="AI62" s="869">
        <v>37</v>
      </c>
    </row>
    <row r="63" spans="1:35" ht="21.95" customHeight="1">
      <c r="A63" s="361"/>
      <c r="B63" s="361"/>
      <c r="C63" s="538"/>
      <c r="D63" s="517"/>
      <c r="E63" s="517"/>
      <c r="F63" s="517"/>
      <c r="G63" s="517"/>
      <c r="H63" s="517"/>
      <c r="I63" s="517"/>
      <c r="J63" s="517"/>
      <c r="K63" s="517"/>
      <c r="L63" s="517"/>
      <c r="M63" s="517"/>
      <c r="N63" s="517"/>
      <c r="O63" s="517"/>
      <c r="P63" s="517"/>
      <c r="Q63" s="517"/>
      <c r="R63" s="517"/>
      <c r="S63" s="517"/>
      <c r="T63" s="517"/>
      <c r="U63" s="517"/>
      <c r="V63" s="517"/>
      <c r="W63" s="517"/>
      <c r="X63" s="517"/>
      <c r="Y63" s="517"/>
      <c r="Z63" s="517"/>
      <c r="AA63" s="517"/>
      <c r="AB63" s="517"/>
      <c r="AC63" s="517"/>
      <c r="AD63" s="517"/>
      <c r="AE63" s="517"/>
      <c r="AF63" s="517"/>
      <c r="AG63" s="517"/>
      <c r="AH63" s="556"/>
      <c r="AI63" s="556"/>
    </row>
    <row r="64" spans="1:35" ht="21.95" customHeight="1">
      <c r="A64" s="361"/>
      <c r="B64" s="361"/>
      <c r="C64" s="538"/>
      <c r="D64" s="517"/>
      <c r="E64" s="517"/>
      <c r="F64" s="517"/>
      <c r="G64" s="517"/>
      <c r="H64" s="517"/>
      <c r="I64" s="517"/>
      <c r="J64" s="517"/>
      <c r="K64" s="517"/>
      <c r="L64" s="517"/>
      <c r="M64" s="517"/>
      <c r="N64" s="517"/>
      <c r="O64" s="517"/>
      <c r="P64" s="517"/>
      <c r="Q64" s="517"/>
      <c r="R64" s="517"/>
      <c r="S64" s="517"/>
      <c r="T64" s="517"/>
      <c r="U64" s="517"/>
      <c r="V64" s="517"/>
      <c r="W64" s="517"/>
      <c r="X64" s="517"/>
      <c r="Y64" s="517"/>
      <c r="Z64" s="517"/>
      <c r="AA64" s="517"/>
      <c r="AB64" s="517"/>
      <c r="AC64" s="517"/>
      <c r="AD64" s="517"/>
      <c r="AE64" s="517"/>
      <c r="AF64" s="517"/>
      <c r="AG64" s="517"/>
      <c r="AH64" s="556"/>
      <c r="AI64" s="556"/>
    </row>
    <row r="65" spans="1:37" ht="21.95" customHeight="1">
      <c r="A65" s="361"/>
      <c r="B65" s="361"/>
      <c r="C65" s="538"/>
      <c r="D65" s="517"/>
      <c r="E65" s="517"/>
      <c r="F65" s="517"/>
      <c r="G65" s="517"/>
      <c r="H65" s="517"/>
      <c r="I65" s="517"/>
      <c r="J65" s="517"/>
      <c r="K65" s="517"/>
      <c r="L65" s="517"/>
      <c r="M65" s="517"/>
      <c r="N65" s="517"/>
      <c r="O65" s="517"/>
      <c r="P65" s="517"/>
      <c r="Q65" s="517"/>
      <c r="R65" s="517"/>
      <c r="S65" s="517"/>
      <c r="T65" s="517"/>
      <c r="U65" s="517"/>
      <c r="V65" s="517"/>
      <c r="W65" s="517"/>
      <c r="X65" s="517"/>
      <c r="Y65" s="517"/>
      <c r="Z65" s="517"/>
      <c r="AA65" s="517"/>
      <c r="AB65" s="517"/>
      <c r="AC65" s="517"/>
      <c r="AD65" s="517"/>
      <c r="AE65" s="517"/>
      <c r="AF65" s="517"/>
      <c r="AG65" s="517"/>
      <c r="AH65" s="556"/>
      <c r="AI65" s="556"/>
    </row>
    <row r="66" spans="1:37" ht="21.95" customHeight="1" thickBot="1">
      <c r="A66" s="1" t="s">
        <v>541</v>
      </c>
      <c r="D66" s="361"/>
      <c r="E66" s="361"/>
      <c r="F66" s="361"/>
      <c r="G66" s="546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37" ht="21.95" customHeight="1">
      <c r="A67" s="1"/>
      <c r="B67" s="23" t="s">
        <v>542</v>
      </c>
      <c r="C67" s="7"/>
      <c r="D67" s="522" t="s">
        <v>2</v>
      </c>
      <c r="E67" s="51"/>
      <c r="F67" s="548"/>
      <c r="G67" s="7"/>
      <c r="H67" s="522" t="s">
        <v>3</v>
      </c>
      <c r="I67" s="51"/>
      <c r="J67" s="548"/>
      <c r="K67" s="7"/>
      <c r="L67" s="522" t="s">
        <v>4</v>
      </c>
      <c r="M67" s="51"/>
      <c r="N67" s="548"/>
      <c r="O67" s="7"/>
      <c r="P67" s="522" t="s">
        <v>5</v>
      </c>
      <c r="Q67" s="51"/>
      <c r="R67" s="548"/>
      <c r="S67" s="7"/>
      <c r="T67" s="522" t="s">
        <v>6</v>
      </c>
      <c r="U67" s="51"/>
      <c r="V67" s="548"/>
      <c r="W67" s="27"/>
      <c r="X67" s="713" t="s">
        <v>7</v>
      </c>
      <c r="Y67" s="519"/>
      <c r="Z67" s="238"/>
      <c r="AA67" s="7"/>
      <c r="AB67" s="522" t="s">
        <v>8</v>
      </c>
      <c r="AC67" s="51"/>
      <c r="AD67" s="51"/>
      <c r="AE67" s="349" t="s">
        <v>9</v>
      </c>
      <c r="AF67" s="51"/>
      <c r="AG67" s="51"/>
      <c r="AH67" s="51"/>
      <c r="AI67" s="523"/>
    </row>
    <row r="68" spans="1:37" ht="21.95" customHeight="1">
      <c r="A68" s="1"/>
      <c r="B68" s="129" t="s">
        <v>324</v>
      </c>
      <c r="C68" s="563" t="s">
        <v>543</v>
      </c>
      <c r="E68" s="157"/>
      <c r="F68" s="564"/>
      <c r="G68" s="563" t="s">
        <v>543</v>
      </c>
      <c r="H68" s="157"/>
      <c r="I68" s="157"/>
      <c r="J68" s="564"/>
      <c r="K68" s="563" t="s">
        <v>543</v>
      </c>
      <c r="L68" s="157"/>
      <c r="M68" s="157"/>
      <c r="N68" s="564"/>
      <c r="O68" s="563" t="s">
        <v>544</v>
      </c>
      <c r="P68" s="157"/>
      <c r="Q68" s="157"/>
      <c r="R68" s="564"/>
      <c r="S68" s="563" t="s">
        <v>545</v>
      </c>
      <c r="T68" s="157"/>
      <c r="U68" s="157"/>
      <c r="V68" s="565"/>
      <c r="W68" s="714"/>
      <c r="X68" s="715"/>
      <c r="Y68" s="715"/>
      <c r="Z68" s="716"/>
      <c r="AA68" s="565"/>
      <c r="AB68" s="157"/>
      <c r="AC68" s="157"/>
      <c r="AD68" s="565"/>
      <c r="AE68" s="121">
        <v>37</v>
      </c>
      <c r="AG68" s="157"/>
      <c r="AH68" s="565"/>
      <c r="AI68" s="490"/>
    </row>
    <row r="69" spans="1:37" ht="21.95" customHeight="1">
      <c r="A69" s="1"/>
      <c r="B69" s="129" t="s">
        <v>325</v>
      </c>
      <c r="C69" s="563" t="s">
        <v>546</v>
      </c>
      <c r="D69" s="157"/>
      <c r="E69" s="157"/>
      <c r="F69" s="564"/>
      <c r="G69" s="563" t="s">
        <v>546</v>
      </c>
      <c r="H69" s="157"/>
      <c r="I69" s="157"/>
      <c r="J69" s="564"/>
      <c r="K69" s="563" t="s">
        <v>546</v>
      </c>
      <c r="L69" s="157"/>
      <c r="M69" s="157"/>
      <c r="N69" s="564"/>
      <c r="O69" s="563" t="s">
        <v>547</v>
      </c>
      <c r="P69" s="157"/>
      <c r="Q69" s="157"/>
      <c r="R69" s="564"/>
      <c r="S69" s="563" t="s">
        <v>548</v>
      </c>
      <c r="T69" s="157"/>
      <c r="U69" s="157"/>
      <c r="V69" s="564"/>
      <c r="W69" s="604" t="s">
        <v>549</v>
      </c>
      <c r="X69" s="55"/>
      <c r="Y69" s="55"/>
      <c r="Z69" s="55"/>
      <c r="AA69" s="563" t="s">
        <v>550</v>
      </c>
      <c r="AB69" s="563"/>
      <c r="AC69" s="563"/>
      <c r="AD69" s="563"/>
      <c r="AE69" s="155">
        <v>68.25</v>
      </c>
      <c r="AF69" s="157"/>
      <c r="AG69" s="567"/>
      <c r="AH69" s="568"/>
      <c r="AI69" s="569"/>
    </row>
    <row r="70" spans="1:37" ht="21.95" customHeight="1">
      <c r="A70" s="1"/>
      <c r="B70" s="129" t="s">
        <v>326</v>
      </c>
      <c r="C70" s="712" t="s">
        <v>167</v>
      </c>
      <c r="D70" s="157"/>
      <c r="E70" s="157"/>
      <c r="F70" s="564"/>
      <c r="G70" s="157" t="s">
        <v>167</v>
      </c>
      <c r="H70" s="157"/>
      <c r="I70" s="157"/>
      <c r="J70" s="564"/>
      <c r="K70" s="157" t="s">
        <v>167</v>
      </c>
      <c r="L70" s="157"/>
      <c r="M70" s="157"/>
      <c r="N70" s="564"/>
      <c r="O70" s="157" t="s">
        <v>167</v>
      </c>
      <c r="P70" s="157"/>
      <c r="Q70" s="157"/>
      <c r="R70" s="564"/>
      <c r="S70" s="157" t="s">
        <v>167</v>
      </c>
      <c r="T70" s="157"/>
      <c r="U70" s="157"/>
      <c r="V70" s="564"/>
      <c r="W70" s="563"/>
      <c r="X70" s="157"/>
      <c r="Y70" s="157"/>
      <c r="Z70" s="564"/>
      <c r="AA70" s="563"/>
      <c r="AB70" s="157"/>
      <c r="AC70" s="157"/>
      <c r="AD70" s="565"/>
      <c r="AE70" s="566">
        <v>0</v>
      </c>
      <c r="AF70" s="567"/>
      <c r="AG70" s="157"/>
      <c r="AH70" s="565"/>
      <c r="AI70" s="490"/>
    </row>
    <row r="71" spans="1:37" ht="21.95" customHeight="1" thickBot="1">
      <c r="A71" s="1"/>
      <c r="B71" s="47"/>
      <c r="C71" s="570"/>
      <c r="D71" s="53"/>
      <c r="E71" s="53"/>
      <c r="F71" s="571"/>
      <c r="G71" s="570"/>
      <c r="H71" s="53"/>
      <c r="I71" s="53"/>
      <c r="J71" s="571"/>
      <c r="K71" s="570"/>
      <c r="L71" s="53"/>
      <c r="M71" s="53"/>
      <c r="N71" s="571"/>
      <c r="O71" s="570"/>
      <c r="P71" s="53"/>
      <c r="Q71" s="53"/>
      <c r="R71" s="571"/>
      <c r="S71" s="570"/>
      <c r="T71" s="53"/>
      <c r="U71" s="53"/>
      <c r="V71" s="571"/>
      <c r="W71" s="53"/>
      <c r="X71" s="53"/>
      <c r="Y71" s="53"/>
      <c r="Z71" s="53"/>
      <c r="AA71" s="53"/>
      <c r="AB71" s="53"/>
      <c r="AC71" s="53"/>
      <c r="AD71" s="53"/>
      <c r="AE71" s="572"/>
      <c r="AF71" s="53"/>
      <c r="AG71" s="53"/>
      <c r="AH71" s="573"/>
      <c r="AI71" s="536"/>
    </row>
    <row r="72" spans="1:37" ht="21.95" customHeight="1" thickBot="1">
      <c r="A72" s="574"/>
      <c r="B72" s="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</row>
    <row r="73" spans="1:37" ht="21.95" customHeight="1" thickBot="1">
      <c r="A73" s="861"/>
      <c r="B73" s="862" t="s">
        <v>476</v>
      </c>
      <c r="C73" s="880">
        <v>1</v>
      </c>
      <c r="D73" s="863">
        <v>2</v>
      </c>
      <c r="E73" s="880">
        <v>3</v>
      </c>
      <c r="F73" s="880">
        <v>4</v>
      </c>
      <c r="G73" s="863">
        <v>5</v>
      </c>
      <c r="H73" s="863">
        <v>6</v>
      </c>
      <c r="I73" s="863">
        <v>7</v>
      </c>
      <c r="J73" s="863">
        <v>8</v>
      </c>
      <c r="K73" s="863">
        <v>9</v>
      </c>
      <c r="L73" s="880">
        <v>10</v>
      </c>
      <c r="M73" s="880">
        <v>11</v>
      </c>
      <c r="N73" s="863">
        <v>12</v>
      </c>
      <c r="O73" s="863">
        <v>13</v>
      </c>
      <c r="P73" s="863">
        <v>14</v>
      </c>
      <c r="Q73" s="863">
        <v>15</v>
      </c>
      <c r="R73" s="880">
        <v>16</v>
      </c>
      <c r="S73" s="880">
        <v>17</v>
      </c>
      <c r="T73" s="880">
        <v>18</v>
      </c>
      <c r="U73" s="863">
        <v>19</v>
      </c>
      <c r="V73" s="863">
        <v>20</v>
      </c>
      <c r="W73" s="863">
        <v>21</v>
      </c>
      <c r="X73" s="863">
        <v>22</v>
      </c>
      <c r="Y73" s="863">
        <v>23</v>
      </c>
      <c r="Z73" s="880">
        <v>24</v>
      </c>
      <c r="AA73" s="880">
        <v>25</v>
      </c>
      <c r="AB73" s="863">
        <v>26</v>
      </c>
      <c r="AC73" s="863">
        <v>27</v>
      </c>
      <c r="AD73" s="863">
        <v>28</v>
      </c>
      <c r="AE73" s="880">
        <v>29</v>
      </c>
      <c r="AF73" s="863">
        <v>30</v>
      </c>
      <c r="AG73" s="880">
        <v>31</v>
      </c>
      <c r="AH73" s="864" t="s">
        <v>477</v>
      </c>
      <c r="AI73" s="865" t="s">
        <v>478</v>
      </c>
    </row>
    <row r="74" spans="1:37" ht="21.95" customHeight="1" thickBot="1">
      <c r="A74" s="870">
        <v>1</v>
      </c>
      <c r="B74" s="836" t="s">
        <v>551</v>
      </c>
      <c r="C74" s="871" t="s">
        <v>481</v>
      </c>
      <c r="D74" s="871" t="s">
        <v>481</v>
      </c>
      <c r="E74" s="871"/>
      <c r="F74" s="871"/>
      <c r="G74" s="871" t="s">
        <v>552</v>
      </c>
      <c r="H74" s="871" t="s">
        <v>552</v>
      </c>
      <c r="I74" s="871" t="s">
        <v>552</v>
      </c>
      <c r="J74" s="871" t="s">
        <v>552</v>
      </c>
      <c r="K74" s="871" t="s">
        <v>552</v>
      </c>
      <c r="L74" s="871"/>
      <c r="M74" s="939"/>
      <c r="N74" s="871" t="s">
        <v>553</v>
      </c>
      <c r="O74" s="1003" t="s">
        <v>553</v>
      </c>
      <c r="P74" s="871" t="s">
        <v>553</v>
      </c>
      <c r="Q74" s="871" t="s">
        <v>554</v>
      </c>
      <c r="R74" s="871" t="s">
        <v>555</v>
      </c>
      <c r="S74" s="976" t="s">
        <v>555</v>
      </c>
      <c r="T74" s="976" t="s">
        <v>555</v>
      </c>
      <c r="U74" s="871" t="s">
        <v>481</v>
      </c>
      <c r="V74" s="871" t="s">
        <v>481</v>
      </c>
      <c r="W74" s="871" t="s">
        <v>481</v>
      </c>
      <c r="X74" s="871" t="s">
        <v>481</v>
      </c>
      <c r="Y74" s="871" t="s">
        <v>481</v>
      </c>
      <c r="Z74" s="871"/>
      <c r="AA74" s="875"/>
      <c r="AB74" s="768" t="s">
        <v>485</v>
      </c>
      <c r="AC74" s="871" t="s">
        <v>552</v>
      </c>
      <c r="AD74" s="871" t="s">
        <v>552</v>
      </c>
      <c r="AE74" s="871" t="s">
        <v>552</v>
      </c>
      <c r="AF74" s="871" t="s">
        <v>552</v>
      </c>
      <c r="AG74" s="871"/>
      <c r="AH74" s="510">
        <v>164</v>
      </c>
      <c r="AI74" s="511">
        <v>37</v>
      </c>
    </row>
    <row r="75" spans="1:37" ht="21.95" customHeight="1">
      <c r="A75" s="575">
        <v>2</v>
      </c>
      <c r="B75" s="542" t="s">
        <v>556</v>
      </c>
      <c r="C75" s="762" t="s">
        <v>552</v>
      </c>
      <c r="D75" s="762" t="s">
        <v>552</v>
      </c>
      <c r="E75" s="762"/>
      <c r="F75" s="762"/>
      <c r="G75" s="982" t="s">
        <v>553</v>
      </c>
      <c r="H75" s="762" t="s">
        <v>553</v>
      </c>
      <c r="I75" s="762" t="s">
        <v>553</v>
      </c>
      <c r="J75" s="762" t="s">
        <v>554</v>
      </c>
      <c r="K75" s="762" t="s">
        <v>554</v>
      </c>
      <c r="L75" s="978" t="s">
        <v>555</v>
      </c>
      <c r="M75" s="978" t="s">
        <v>555</v>
      </c>
      <c r="N75" s="762" t="s">
        <v>481</v>
      </c>
      <c r="O75" s="1003" t="s">
        <v>481</v>
      </c>
      <c r="P75" s="762" t="s">
        <v>481</v>
      </c>
      <c r="Q75" s="762" t="s">
        <v>481</v>
      </c>
      <c r="R75" s="762" t="s">
        <v>481</v>
      </c>
      <c r="S75" s="762"/>
      <c r="T75" s="762"/>
      <c r="U75" s="1015" t="s">
        <v>557</v>
      </c>
      <c r="V75" s="553" t="s">
        <v>552</v>
      </c>
      <c r="W75" s="762" t="s">
        <v>552</v>
      </c>
      <c r="X75" s="762" t="s">
        <v>552</v>
      </c>
      <c r="Y75" s="762" t="s">
        <v>552</v>
      </c>
      <c r="Z75" s="762"/>
      <c r="AA75" s="923" t="s">
        <v>485</v>
      </c>
      <c r="AB75" s="762" t="s">
        <v>553</v>
      </c>
      <c r="AC75" s="762" t="s">
        <v>553</v>
      </c>
      <c r="AD75" s="982" t="s">
        <v>553</v>
      </c>
      <c r="AE75" s="762" t="s">
        <v>555</v>
      </c>
      <c r="AF75" s="762" t="s">
        <v>554</v>
      </c>
      <c r="AG75" s="762" t="s">
        <v>555</v>
      </c>
      <c r="AH75" s="924">
        <v>187</v>
      </c>
      <c r="AI75" s="925">
        <v>37</v>
      </c>
    </row>
    <row r="76" spans="1:37" ht="21.95" customHeight="1" thickBot="1">
      <c r="A76" s="873">
        <v>3</v>
      </c>
      <c r="B76" s="874" t="s">
        <v>558</v>
      </c>
      <c r="C76" s="875" t="s">
        <v>555</v>
      </c>
      <c r="D76" s="875" t="s">
        <v>554</v>
      </c>
      <c r="E76" s="875" t="s">
        <v>555</v>
      </c>
      <c r="F76" s="875" t="s">
        <v>555</v>
      </c>
      <c r="G76" s="875" t="s">
        <v>481</v>
      </c>
      <c r="H76" s="875" t="s">
        <v>481</v>
      </c>
      <c r="I76" s="875" t="s">
        <v>481</v>
      </c>
      <c r="J76" s="875" t="s">
        <v>481</v>
      </c>
      <c r="K76" s="875" t="s">
        <v>481</v>
      </c>
      <c r="L76" s="875"/>
      <c r="M76" s="875"/>
      <c r="N76" s="875" t="s">
        <v>552</v>
      </c>
      <c r="O76" s="1003" t="s">
        <v>552</v>
      </c>
      <c r="P76" s="875" t="s">
        <v>552</v>
      </c>
      <c r="Q76" s="875" t="s">
        <v>552</v>
      </c>
      <c r="R76" s="875" t="s">
        <v>552</v>
      </c>
      <c r="S76" s="875"/>
      <c r="T76" s="875"/>
      <c r="U76" s="1045" t="s">
        <v>553</v>
      </c>
      <c r="V76" s="875" t="s">
        <v>553</v>
      </c>
      <c r="W76" s="875" t="s">
        <v>553</v>
      </c>
      <c r="X76" s="875" t="s">
        <v>554</v>
      </c>
      <c r="Y76" s="875" t="s">
        <v>554</v>
      </c>
      <c r="Z76" s="875" t="s">
        <v>555</v>
      </c>
      <c r="AA76" s="875" t="s">
        <v>555</v>
      </c>
      <c r="AB76" s="875" t="s">
        <v>481</v>
      </c>
      <c r="AC76" s="875" t="s">
        <v>481</v>
      </c>
      <c r="AD76" s="875" t="s">
        <v>481</v>
      </c>
      <c r="AE76" s="875" t="s">
        <v>481</v>
      </c>
      <c r="AF76" s="875" t="s">
        <v>481</v>
      </c>
      <c r="AG76" s="875"/>
      <c r="AH76" s="868">
        <v>249.75</v>
      </c>
      <c r="AI76" s="869">
        <v>37</v>
      </c>
    </row>
    <row r="77" spans="1:37" ht="21.95" customHeight="1">
      <c r="AK77">
        <v>5</v>
      </c>
    </row>
    <row r="78" spans="1:37" ht="21.95" customHeight="1" thickBot="1">
      <c r="A78" s="312" t="s">
        <v>559</v>
      </c>
      <c r="C78" s="555"/>
      <c r="D78" s="555"/>
      <c r="E78" s="555"/>
      <c r="F78" s="555"/>
      <c r="G78" s="555"/>
      <c r="H78" s="555"/>
      <c r="I78" s="555"/>
      <c r="J78" s="555"/>
      <c r="K78" s="555"/>
      <c r="L78" s="555"/>
      <c r="M78" s="555"/>
      <c r="N78" s="555"/>
      <c r="O78" s="555"/>
      <c r="P78" s="555"/>
      <c r="Q78" s="555"/>
      <c r="R78" s="555"/>
      <c r="S78" s="555"/>
      <c r="T78" s="555"/>
      <c r="U78" s="555"/>
      <c r="V78" s="555"/>
      <c r="W78" s="555"/>
      <c r="X78" s="555"/>
      <c r="Y78" s="555"/>
      <c r="Z78" s="555"/>
      <c r="AA78" s="555"/>
      <c r="AB78" s="555"/>
      <c r="AC78" s="555"/>
      <c r="AD78" s="555"/>
      <c r="AE78" s="555"/>
      <c r="AF78" s="555"/>
      <c r="AH78" s="556"/>
      <c r="AI78" s="556"/>
    </row>
    <row r="79" spans="1:37" ht="21.95" customHeight="1">
      <c r="A79" s="576"/>
      <c r="B79" s="23" t="s">
        <v>542</v>
      </c>
      <c r="C79" s="7"/>
      <c r="D79" s="522" t="s">
        <v>2</v>
      </c>
      <c r="E79" s="51"/>
      <c r="F79" s="548"/>
      <c r="G79" s="7"/>
      <c r="H79" s="522" t="s">
        <v>3</v>
      </c>
      <c r="I79" s="51"/>
      <c r="J79" s="548"/>
      <c r="K79" s="7"/>
      <c r="L79" s="522" t="s">
        <v>4</v>
      </c>
      <c r="M79" s="51"/>
      <c r="N79" s="548"/>
      <c r="O79" s="7"/>
      <c r="P79" s="522" t="s">
        <v>5</v>
      </c>
      <c r="Q79" s="51"/>
      <c r="R79" s="548"/>
      <c r="S79" s="7"/>
      <c r="T79" s="522" t="s">
        <v>6</v>
      </c>
      <c r="U79" s="51"/>
      <c r="V79" s="548"/>
      <c r="W79" s="27"/>
      <c r="X79" s="713" t="s">
        <v>7</v>
      </c>
      <c r="Y79" s="519"/>
      <c r="Z79" s="238"/>
      <c r="AA79" s="7"/>
      <c r="AB79" s="522" t="s">
        <v>8</v>
      </c>
      <c r="AC79" s="51"/>
      <c r="AD79" s="51"/>
      <c r="AE79" s="349" t="s">
        <v>9</v>
      </c>
      <c r="AF79" s="51"/>
      <c r="AG79" s="51"/>
      <c r="AH79" s="51"/>
      <c r="AI79" s="523"/>
    </row>
    <row r="80" spans="1:37" ht="21.95" customHeight="1">
      <c r="B80" s="129" t="s">
        <v>324</v>
      </c>
      <c r="C80" s="589" t="s">
        <v>560</v>
      </c>
      <c r="E80" s="157"/>
      <c r="F80" s="564"/>
      <c r="G80" s="563" t="s">
        <v>561</v>
      </c>
      <c r="H80" s="483" t="s">
        <v>562</v>
      </c>
      <c r="I80" s="157"/>
      <c r="J80" s="564"/>
      <c r="K80" s="589" t="s">
        <v>560</v>
      </c>
      <c r="L80" s="483"/>
      <c r="M80" s="483"/>
      <c r="N80" s="588"/>
      <c r="O80" s="589" t="s">
        <v>563</v>
      </c>
      <c r="P80" s="483"/>
      <c r="Q80" s="483"/>
      <c r="R80" s="588"/>
      <c r="S80" s="589" t="s">
        <v>564</v>
      </c>
      <c r="T80" s="483"/>
      <c r="U80" s="483"/>
      <c r="V80" s="477"/>
      <c r="W80" s="714"/>
      <c r="X80" s="715"/>
      <c r="Y80" s="715"/>
      <c r="Z80" s="716"/>
      <c r="AA80" s="565"/>
      <c r="AB80" s="157"/>
      <c r="AC80" s="157"/>
      <c r="AD80" s="565"/>
      <c r="AE80" s="121">
        <v>37</v>
      </c>
      <c r="AG80" s="157"/>
      <c r="AH80" s="565"/>
      <c r="AI80" s="490"/>
    </row>
    <row r="81" spans="1:35" ht="21.95" customHeight="1">
      <c r="B81" s="129" t="s">
        <v>325</v>
      </c>
      <c r="C81" s="589" t="s">
        <v>565</v>
      </c>
      <c r="E81" s="157"/>
      <c r="F81" s="564"/>
      <c r="G81" s="589" t="s">
        <v>565</v>
      </c>
      <c r="I81" s="157"/>
      <c r="J81" s="564"/>
      <c r="K81" s="589" t="s">
        <v>565</v>
      </c>
      <c r="L81" s="157"/>
      <c r="M81" s="157"/>
      <c r="N81" s="564"/>
      <c r="O81" s="589" t="s">
        <v>566</v>
      </c>
      <c r="P81" s="157"/>
      <c r="Q81" s="157"/>
      <c r="R81" s="564"/>
      <c r="S81" s="563" t="s">
        <v>567</v>
      </c>
      <c r="T81" s="157"/>
      <c r="U81" s="157"/>
      <c r="V81" s="564"/>
      <c r="W81" s="604" t="s">
        <v>291</v>
      </c>
      <c r="X81" s="55"/>
      <c r="Y81" s="55"/>
      <c r="Z81" s="55"/>
      <c r="AA81" s="563" t="s">
        <v>28</v>
      </c>
      <c r="AB81" s="563"/>
      <c r="AC81" s="563"/>
      <c r="AD81" s="563"/>
      <c r="AE81" s="155">
        <v>37</v>
      </c>
      <c r="AF81" s="157"/>
      <c r="AG81" s="567"/>
      <c r="AH81" s="568"/>
      <c r="AI81" s="569"/>
    </row>
    <row r="82" spans="1:35" ht="21.95" customHeight="1">
      <c r="B82" s="129" t="s">
        <v>326</v>
      </c>
      <c r="C82" s="834" t="s">
        <v>568</v>
      </c>
      <c r="D82" s="157"/>
      <c r="E82" s="157"/>
      <c r="F82" s="564"/>
      <c r="G82" s="157" t="s">
        <v>569</v>
      </c>
      <c r="H82" s="157"/>
      <c r="I82" s="157"/>
      <c r="J82" s="564"/>
      <c r="K82" s="835" t="s">
        <v>570</v>
      </c>
      <c r="L82" s="157"/>
      <c r="M82" s="157"/>
      <c r="N82" s="564"/>
      <c r="O82" s="835" t="s">
        <v>571</v>
      </c>
      <c r="P82" s="157"/>
      <c r="Q82" s="157"/>
      <c r="R82" s="564"/>
      <c r="S82" s="835" t="s">
        <v>571</v>
      </c>
      <c r="T82" s="157"/>
      <c r="U82" s="157"/>
      <c r="V82" s="564"/>
      <c r="W82" s="563"/>
      <c r="X82" s="157"/>
      <c r="Y82" s="157"/>
      <c r="Z82" s="564"/>
      <c r="AA82" s="563"/>
      <c r="AB82" s="157"/>
      <c r="AC82" s="157"/>
      <c r="AD82" s="565"/>
      <c r="AE82" s="566">
        <v>36</v>
      </c>
      <c r="AF82" s="567"/>
      <c r="AG82" s="157"/>
      <c r="AH82" s="565"/>
      <c r="AI82" s="490"/>
    </row>
    <row r="83" spans="1:35" ht="21.95" customHeight="1" thickBot="1">
      <c r="B83" s="47"/>
      <c r="C83" s="570"/>
      <c r="D83" s="53"/>
      <c r="E83" s="53"/>
      <c r="F83" s="571"/>
      <c r="G83" s="570"/>
      <c r="H83" s="53"/>
      <c r="I83" s="53"/>
      <c r="J83" s="571"/>
      <c r="K83" s="570"/>
      <c r="L83" s="53"/>
      <c r="M83" s="53"/>
      <c r="N83" s="571"/>
      <c r="O83" s="570"/>
      <c r="P83" s="53"/>
      <c r="Q83" s="53"/>
      <c r="R83" s="571"/>
      <c r="S83" s="570"/>
      <c r="T83" s="53"/>
      <c r="U83" s="53"/>
      <c r="V83" s="571"/>
      <c r="W83" s="53"/>
      <c r="X83" s="53"/>
      <c r="Y83" s="53"/>
      <c r="Z83" s="53"/>
      <c r="AA83" s="53"/>
      <c r="AB83" s="53"/>
      <c r="AC83" s="53"/>
      <c r="AD83" s="53"/>
      <c r="AE83" s="572"/>
      <c r="AF83" s="53"/>
      <c r="AG83" s="53"/>
      <c r="AH83" s="573"/>
      <c r="AI83" s="536"/>
    </row>
    <row r="84" spans="1:35" ht="21.95" customHeight="1" thickBot="1"/>
    <row r="85" spans="1:35" ht="21.95" customHeight="1" thickBot="1">
      <c r="A85" s="861"/>
      <c r="B85" s="862" t="s">
        <v>476</v>
      </c>
      <c r="C85" s="880">
        <v>1</v>
      </c>
      <c r="D85" s="863">
        <v>2</v>
      </c>
      <c r="E85" s="880">
        <v>3</v>
      </c>
      <c r="F85" s="880">
        <v>4</v>
      </c>
      <c r="G85" s="863">
        <v>5</v>
      </c>
      <c r="H85" s="863">
        <v>6</v>
      </c>
      <c r="I85" s="863">
        <v>7</v>
      </c>
      <c r="J85" s="863">
        <v>8</v>
      </c>
      <c r="K85" s="863">
        <v>9</v>
      </c>
      <c r="L85" s="880">
        <v>10</v>
      </c>
      <c r="M85" s="880">
        <v>11</v>
      </c>
      <c r="N85" s="863">
        <v>12</v>
      </c>
      <c r="O85" s="863">
        <v>13</v>
      </c>
      <c r="P85" s="863">
        <v>14</v>
      </c>
      <c r="Q85" s="863">
        <v>15</v>
      </c>
      <c r="R85" s="880">
        <v>16</v>
      </c>
      <c r="S85" s="880">
        <v>17</v>
      </c>
      <c r="T85" s="880">
        <v>18</v>
      </c>
      <c r="U85" s="863">
        <v>19</v>
      </c>
      <c r="V85" s="863">
        <v>20</v>
      </c>
      <c r="W85" s="863">
        <v>21</v>
      </c>
      <c r="X85" s="863">
        <v>22</v>
      </c>
      <c r="Y85" s="863">
        <v>23</v>
      </c>
      <c r="Z85" s="880">
        <v>24</v>
      </c>
      <c r="AA85" s="880">
        <v>25</v>
      </c>
      <c r="AB85" s="863">
        <v>26</v>
      </c>
      <c r="AC85" s="863">
        <v>27</v>
      </c>
      <c r="AD85" s="863">
        <v>28</v>
      </c>
      <c r="AE85" s="880">
        <v>29</v>
      </c>
      <c r="AF85" s="863">
        <v>30</v>
      </c>
      <c r="AG85" s="880">
        <v>31</v>
      </c>
      <c r="AH85" s="864" t="s">
        <v>477</v>
      </c>
      <c r="AI85" s="865" t="s">
        <v>478</v>
      </c>
    </row>
    <row r="86" spans="1:35" ht="21.95" customHeight="1" thickBot="1">
      <c r="A86" s="870">
        <v>1</v>
      </c>
      <c r="B86" s="54" t="s">
        <v>572</v>
      </c>
      <c r="C86" s="871" t="s">
        <v>553</v>
      </c>
      <c r="D86" s="871" t="s">
        <v>553</v>
      </c>
      <c r="E86" s="871"/>
      <c r="F86" s="871"/>
      <c r="G86" s="1014" t="s">
        <v>561</v>
      </c>
      <c r="H86" s="1014" t="s">
        <v>561</v>
      </c>
      <c r="I86" s="1014" t="s">
        <v>561</v>
      </c>
      <c r="J86" s="763" t="s">
        <v>561</v>
      </c>
      <c r="K86" s="1014" t="s">
        <v>561</v>
      </c>
      <c r="L86" s="871"/>
      <c r="M86" s="871"/>
      <c r="N86" s="1041" t="s">
        <v>573</v>
      </c>
      <c r="O86" s="1041" t="s">
        <v>573</v>
      </c>
      <c r="P86" s="1041" t="s">
        <v>573</v>
      </c>
      <c r="Q86" s="1041" t="s">
        <v>573</v>
      </c>
      <c r="R86" s="1041" t="s">
        <v>573</v>
      </c>
      <c r="S86" s="1041"/>
      <c r="T86" s="1041"/>
      <c r="U86" s="1041" t="s">
        <v>554</v>
      </c>
      <c r="V86" s="1017" t="s">
        <v>554</v>
      </c>
      <c r="W86" s="1041" t="s">
        <v>554</v>
      </c>
      <c r="X86" s="1041" t="s">
        <v>553</v>
      </c>
      <c r="Y86" s="1041" t="s">
        <v>553</v>
      </c>
      <c r="Z86" s="1041"/>
      <c r="AA86" s="1041"/>
      <c r="AB86" s="1041" t="s">
        <v>561</v>
      </c>
      <c r="AC86" s="1041" t="s">
        <v>561</v>
      </c>
      <c r="AD86" s="1041" t="s">
        <v>561</v>
      </c>
      <c r="AE86" s="1041" t="s">
        <v>561</v>
      </c>
      <c r="AF86" s="1041" t="s">
        <v>561</v>
      </c>
      <c r="AG86" s="871"/>
      <c r="AH86" s="510">
        <v>240.5</v>
      </c>
      <c r="AI86" s="511">
        <v>37</v>
      </c>
    </row>
    <row r="87" spans="1:35" ht="21.95" customHeight="1" thickBot="1">
      <c r="A87" s="575">
        <v>2</v>
      </c>
      <c r="B87" s="1022" t="s">
        <v>574</v>
      </c>
      <c r="C87" s="762" t="s">
        <v>561</v>
      </c>
      <c r="D87" s="762" t="s">
        <v>561</v>
      </c>
      <c r="E87" s="762"/>
      <c r="F87" s="762"/>
      <c r="G87" s="1025" t="s">
        <v>573</v>
      </c>
      <c r="H87" s="762" t="s">
        <v>573</v>
      </c>
      <c r="I87" s="768">
        <v>4</v>
      </c>
      <c r="J87" s="763" t="s">
        <v>573</v>
      </c>
      <c r="K87" s="762" t="s">
        <v>573</v>
      </c>
      <c r="L87" s="762"/>
      <c r="M87" s="762"/>
      <c r="N87" s="1003" t="s">
        <v>554</v>
      </c>
      <c r="O87" s="762" t="s">
        <v>554</v>
      </c>
      <c r="P87" s="762" t="s">
        <v>554</v>
      </c>
      <c r="Q87" s="762" t="s">
        <v>553</v>
      </c>
      <c r="R87" s="762" t="s">
        <v>561</v>
      </c>
      <c r="S87" s="762"/>
      <c r="T87" s="762"/>
      <c r="U87" s="762" t="s">
        <v>553</v>
      </c>
      <c r="V87" s="762" t="s">
        <v>561</v>
      </c>
      <c r="W87" s="762" t="s">
        <v>561</v>
      </c>
      <c r="X87" s="762" t="s">
        <v>561</v>
      </c>
      <c r="Y87" s="762" t="s">
        <v>561</v>
      </c>
      <c r="Z87" s="762"/>
      <c r="AA87" s="762"/>
      <c r="AB87" s="1025" t="s">
        <v>573</v>
      </c>
      <c r="AC87" s="762" t="s">
        <v>573</v>
      </c>
      <c r="AD87" s="966" t="s">
        <v>573</v>
      </c>
      <c r="AE87" s="762" t="s">
        <v>573</v>
      </c>
      <c r="AF87" s="762" t="s">
        <v>573</v>
      </c>
      <c r="AG87" s="762"/>
      <c r="AH87" s="924">
        <v>254.75</v>
      </c>
      <c r="AI87" s="925">
        <v>37</v>
      </c>
    </row>
    <row r="88" spans="1:35" ht="21.95" customHeight="1" thickBot="1">
      <c r="A88" s="877">
        <v>3</v>
      </c>
      <c r="B88" s="878" t="s">
        <v>575</v>
      </c>
      <c r="C88" s="875" t="s">
        <v>573</v>
      </c>
      <c r="D88" s="875" t="s">
        <v>573</v>
      </c>
      <c r="E88" s="875"/>
      <c r="F88" s="875"/>
      <c r="G88" s="762" t="s">
        <v>554</v>
      </c>
      <c r="H88" s="762" t="s">
        <v>554</v>
      </c>
      <c r="I88" s="762" t="s">
        <v>554</v>
      </c>
      <c r="J88" s="763" t="s">
        <v>553</v>
      </c>
      <c r="K88" s="1027" t="s">
        <v>553</v>
      </c>
      <c r="L88" s="875"/>
      <c r="M88" s="875"/>
      <c r="N88" s="875" t="s">
        <v>561</v>
      </c>
      <c r="O88" s="1003" t="s">
        <v>561</v>
      </c>
      <c r="P88" s="875" t="s">
        <v>561</v>
      </c>
      <c r="Q88" s="875" t="s">
        <v>561</v>
      </c>
      <c r="R88" s="875" t="s">
        <v>561</v>
      </c>
      <c r="S88" s="875"/>
      <c r="T88" s="875"/>
      <c r="U88" s="875" t="s">
        <v>554</v>
      </c>
      <c r="V88" s="875" t="s">
        <v>554</v>
      </c>
      <c r="W88" s="1008" t="s">
        <v>554</v>
      </c>
      <c r="X88" s="875" t="s">
        <v>553</v>
      </c>
      <c r="Y88" s="875" t="s">
        <v>553</v>
      </c>
      <c r="Z88" s="875"/>
      <c r="AA88" s="875"/>
      <c r="AB88" s="990" t="s">
        <v>554</v>
      </c>
      <c r="AC88" s="990" t="s">
        <v>554</v>
      </c>
      <c r="AD88" s="990" t="s">
        <v>554</v>
      </c>
      <c r="AE88" s="990" t="s">
        <v>553</v>
      </c>
      <c r="AF88" s="990" t="s">
        <v>553</v>
      </c>
      <c r="AG88" s="990"/>
      <c r="AH88" s="868">
        <v>193.2</v>
      </c>
      <c r="AI88" s="869">
        <v>37</v>
      </c>
    </row>
    <row r="89" spans="1:35" ht="21.95" customHeight="1">
      <c r="A89" s="576"/>
      <c r="B89" s="583"/>
      <c r="C89" s="583"/>
      <c r="D89" s="583"/>
      <c r="E89" s="583"/>
      <c r="F89" s="583"/>
      <c r="G89" s="583"/>
      <c r="H89" s="583"/>
      <c r="I89" s="555"/>
      <c r="J89" s="555"/>
      <c r="K89" s="555"/>
      <c r="L89" s="555"/>
      <c r="M89" s="555"/>
      <c r="N89" s="555"/>
      <c r="O89" s="555"/>
      <c r="P89" s="555"/>
      <c r="Q89" s="555"/>
      <c r="R89" s="555"/>
      <c r="S89" s="555"/>
      <c r="T89" s="555"/>
      <c r="U89" s="555"/>
      <c r="V89" s="555"/>
      <c r="W89" s="555"/>
      <c r="X89" s="555"/>
      <c r="Y89" s="555"/>
      <c r="Z89" s="555"/>
      <c r="AA89" s="555"/>
      <c r="AB89" s="555"/>
      <c r="AC89" s="555"/>
      <c r="AD89" s="555"/>
      <c r="AE89" s="555"/>
      <c r="AF89" s="555"/>
      <c r="AH89" s="556"/>
      <c r="AI89" s="556"/>
    </row>
    <row r="90" spans="1:35" ht="21.95" customHeight="1">
      <c r="A90" s="576"/>
      <c r="B90" s="583"/>
      <c r="C90" s="555"/>
      <c r="D90" s="555"/>
      <c r="E90" s="555"/>
      <c r="F90" s="555"/>
      <c r="G90" s="555"/>
      <c r="H90" s="555"/>
      <c r="I90" s="555"/>
      <c r="J90" s="555"/>
      <c r="K90" s="555"/>
      <c r="L90" s="555"/>
      <c r="M90" s="555"/>
      <c r="N90" s="555"/>
      <c r="O90" s="555"/>
      <c r="P90" s="555"/>
      <c r="Q90" s="555"/>
      <c r="R90" s="555"/>
      <c r="S90" s="555"/>
      <c r="T90" s="555"/>
      <c r="U90" s="555"/>
      <c r="V90" s="555"/>
      <c r="W90" s="555"/>
      <c r="X90" s="555"/>
      <c r="Y90" s="555"/>
      <c r="Z90" s="555"/>
      <c r="AA90" s="555"/>
      <c r="AB90" s="555"/>
      <c r="AC90" s="555"/>
      <c r="AD90" s="555"/>
      <c r="AE90" s="555"/>
      <c r="AF90" s="555"/>
      <c r="AG90" s="555"/>
      <c r="AH90" s="556"/>
      <c r="AI90" s="556"/>
    </row>
    <row r="91" spans="1:35" ht="21.95" customHeight="1" thickBot="1">
      <c r="A91" s="1" t="s">
        <v>576</v>
      </c>
      <c r="D91" s="361"/>
      <c r="E91" s="361"/>
      <c r="F91" s="361"/>
      <c r="G91" s="546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5" ht="21.95" customHeight="1">
      <c r="A92" s="1"/>
      <c r="B92" s="23" t="s">
        <v>577</v>
      </c>
      <c r="C92" s="7"/>
      <c r="D92" s="522" t="s">
        <v>2</v>
      </c>
      <c r="E92" s="51"/>
      <c r="F92" s="548"/>
      <c r="G92" s="7"/>
      <c r="H92" s="522" t="s">
        <v>3</v>
      </c>
      <c r="I92" s="51"/>
      <c r="J92" s="548"/>
      <c r="K92" s="7"/>
      <c r="L92" s="522" t="s">
        <v>4</v>
      </c>
      <c r="M92" s="51"/>
      <c r="N92" s="548"/>
      <c r="O92" s="7"/>
      <c r="P92" s="522" t="s">
        <v>5</v>
      </c>
      <c r="Q92" s="51"/>
      <c r="R92" s="548"/>
      <c r="S92" s="7"/>
      <c r="T92" s="522" t="s">
        <v>6</v>
      </c>
      <c r="U92" s="51"/>
      <c r="V92" s="548"/>
      <c r="W92" s="7"/>
      <c r="X92" s="522" t="s">
        <v>7</v>
      </c>
      <c r="Y92" s="51"/>
      <c r="Z92" s="548"/>
      <c r="AA92" s="7"/>
      <c r="AB92" s="522" t="s">
        <v>8</v>
      </c>
      <c r="AC92" s="51"/>
      <c r="AD92" s="51"/>
      <c r="AE92" s="425" t="s">
        <v>10</v>
      </c>
      <c r="AF92" s="51"/>
      <c r="AG92" s="51"/>
      <c r="AH92" s="51"/>
      <c r="AI92" s="523"/>
    </row>
    <row r="93" spans="1:35" ht="21.95" customHeight="1">
      <c r="A93" s="1"/>
      <c r="B93" s="129" t="s">
        <v>324</v>
      </c>
      <c r="C93" s="121" t="s">
        <v>578</v>
      </c>
      <c r="D93" s="157"/>
      <c r="E93" s="157"/>
      <c r="F93" s="564"/>
      <c r="G93" s="121" t="s">
        <v>578</v>
      </c>
      <c r="H93" s="157"/>
      <c r="I93" s="157"/>
      <c r="J93" s="564"/>
      <c r="K93" s="121" t="s">
        <v>578</v>
      </c>
      <c r="L93" s="157"/>
      <c r="M93" s="157"/>
      <c r="N93" s="564"/>
      <c r="O93" s="121" t="s">
        <v>579</v>
      </c>
      <c r="P93" s="157"/>
      <c r="Q93" s="157"/>
      <c r="R93" s="564"/>
      <c r="S93" s="121" t="s">
        <v>167</v>
      </c>
      <c r="T93" s="157"/>
      <c r="U93" s="157"/>
      <c r="V93" s="564"/>
      <c r="W93" s="795"/>
      <c r="X93" s="577"/>
      <c r="Y93" s="577"/>
      <c r="Z93" s="578"/>
      <c r="AA93" s="563"/>
      <c r="AB93" s="157"/>
      <c r="AC93" s="157"/>
      <c r="AD93" s="565"/>
      <c r="AE93" s="128">
        <v>27</v>
      </c>
      <c r="AF93" s="157"/>
      <c r="AG93" s="157" t="s">
        <v>28</v>
      </c>
      <c r="AH93" s="565"/>
      <c r="AI93" s="490"/>
    </row>
    <row r="94" spans="1:35" ht="21.95" customHeight="1">
      <c r="A94" s="1"/>
      <c r="B94" s="129" t="s">
        <v>325</v>
      </c>
      <c r="C94" s="121" t="s">
        <v>580</v>
      </c>
      <c r="D94" s="157"/>
      <c r="E94" s="157"/>
      <c r="F94" s="564"/>
      <c r="G94" s="121" t="s">
        <v>580</v>
      </c>
      <c r="H94" s="157"/>
      <c r="I94" s="157"/>
      <c r="J94" s="564"/>
      <c r="K94" s="121" t="s">
        <v>580</v>
      </c>
      <c r="L94" s="157"/>
      <c r="M94" s="157"/>
      <c r="N94" s="564"/>
      <c r="O94" s="121" t="s">
        <v>580</v>
      </c>
      <c r="P94" s="157"/>
      <c r="Q94" s="157"/>
      <c r="R94" s="564"/>
      <c r="S94" s="121" t="s">
        <v>578</v>
      </c>
      <c r="T94" s="157"/>
      <c r="U94" s="157"/>
      <c r="V94" s="564"/>
      <c r="W94" s="121"/>
      <c r="X94" s="157"/>
      <c r="Y94" s="157"/>
      <c r="Z94" s="564"/>
      <c r="AA94" s="157"/>
      <c r="AB94" s="157"/>
      <c r="AC94" s="157"/>
      <c r="AD94" s="565"/>
      <c r="AE94" s="128">
        <v>39</v>
      </c>
      <c r="AF94" s="157"/>
      <c r="AG94" s="157"/>
      <c r="AH94" s="565"/>
      <c r="AI94" s="490"/>
    </row>
    <row r="95" spans="1:35" ht="21.95" customHeight="1">
      <c r="A95" s="1"/>
      <c r="B95" s="129" t="s">
        <v>326</v>
      </c>
      <c r="C95" s="121" t="s">
        <v>580</v>
      </c>
      <c r="D95" s="157"/>
      <c r="E95" s="157"/>
      <c r="F95" s="564"/>
      <c r="G95" s="121" t="s">
        <v>580</v>
      </c>
      <c r="H95" s="157"/>
      <c r="I95" s="157"/>
      <c r="J95" s="564"/>
      <c r="K95" s="121" t="s">
        <v>580</v>
      </c>
      <c r="L95" s="157"/>
      <c r="M95" s="157"/>
      <c r="N95" s="564"/>
      <c r="O95" s="121" t="s">
        <v>580</v>
      </c>
      <c r="P95" s="157"/>
      <c r="Q95" s="157"/>
      <c r="R95" s="564"/>
      <c r="S95" s="121" t="s">
        <v>580</v>
      </c>
      <c r="T95" s="157"/>
      <c r="U95" s="157"/>
      <c r="V95" s="564"/>
      <c r="W95" s="584" t="s">
        <v>581</v>
      </c>
      <c r="X95" s="135"/>
      <c r="Y95" s="135"/>
      <c r="Z95" s="580"/>
      <c r="AA95" s="579"/>
      <c r="AB95" s="135"/>
      <c r="AC95" s="135"/>
      <c r="AD95" s="581"/>
      <c r="AE95" s="128">
        <v>45</v>
      </c>
      <c r="AF95" s="157"/>
      <c r="AG95" s="157"/>
      <c r="AH95" s="565"/>
      <c r="AI95" s="490"/>
    </row>
    <row r="96" spans="1:35" ht="21.95" customHeight="1" thickBot="1">
      <c r="A96" s="1"/>
      <c r="B96" s="16" t="s">
        <v>236</v>
      </c>
      <c r="C96" s="57"/>
      <c r="D96" s="53"/>
      <c r="E96" s="53"/>
      <c r="F96" s="571"/>
      <c r="G96" s="57"/>
      <c r="H96" s="53"/>
      <c r="I96" s="53"/>
      <c r="J96" s="571"/>
      <c r="K96" s="57"/>
      <c r="L96" s="53"/>
      <c r="M96" s="53"/>
      <c r="N96" s="571"/>
      <c r="O96" s="57"/>
      <c r="P96" s="53"/>
      <c r="Q96" s="53"/>
      <c r="R96" s="571"/>
      <c r="S96" s="57"/>
      <c r="T96" s="53"/>
      <c r="U96" s="53"/>
      <c r="V96" s="573"/>
      <c r="W96" s="57"/>
      <c r="X96" s="573"/>
      <c r="Y96" s="53"/>
      <c r="Z96" s="571"/>
      <c r="AA96" s="57"/>
      <c r="AB96" s="573"/>
      <c r="AC96" s="53"/>
      <c r="AD96" s="571"/>
      <c r="AE96" s="582"/>
      <c r="AF96" s="53"/>
      <c r="AG96" s="53"/>
      <c r="AH96" s="573"/>
      <c r="AI96" s="536"/>
    </row>
    <row r="97" spans="1:35" ht="21.95" customHeight="1" thickBot="1">
      <c r="A97" s="574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 thickBot="1">
      <c r="A98" s="861"/>
      <c r="B98" s="862" t="s">
        <v>476</v>
      </c>
      <c r="C98" s="880">
        <v>1</v>
      </c>
      <c r="D98" s="863">
        <v>2</v>
      </c>
      <c r="E98" s="880">
        <v>3</v>
      </c>
      <c r="F98" s="880">
        <v>4</v>
      </c>
      <c r="G98" s="863">
        <v>5</v>
      </c>
      <c r="H98" s="863">
        <v>6</v>
      </c>
      <c r="I98" s="863">
        <v>7</v>
      </c>
      <c r="J98" s="863">
        <v>8</v>
      </c>
      <c r="K98" s="863">
        <v>9</v>
      </c>
      <c r="L98" s="880">
        <v>10</v>
      </c>
      <c r="M98" s="880">
        <v>11</v>
      </c>
      <c r="N98" s="863">
        <v>12</v>
      </c>
      <c r="O98" s="863">
        <v>13</v>
      </c>
      <c r="P98" s="863">
        <v>14</v>
      </c>
      <c r="Q98" s="863">
        <v>15</v>
      </c>
      <c r="R98" s="880">
        <v>16</v>
      </c>
      <c r="S98" s="880">
        <v>17</v>
      </c>
      <c r="T98" s="880">
        <v>18</v>
      </c>
      <c r="U98" s="863">
        <v>19</v>
      </c>
      <c r="V98" s="863">
        <v>20</v>
      </c>
      <c r="W98" s="863">
        <v>21</v>
      </c>
      <c r="X98" s="863">
        <v>22</v>
      </c>
      <c r="Y98" s="863">
        <v>23</v>
      </c>
      <c r="Z98" s="880">
        <v>24</v>
      </c>
      <c r="AA98" s="880">
        <v>25</v>
      </c>
      <c r="AB98" s="863">
        <v>26</v>
      </c>
      <c r="AC98" s="863">
        <v>27</v>
      </c>
      <c r="AD98" s="863">
        <v>28</v>
      </c>
      <c r="AE98" s="880">
        <v>29</v>
      </c>
      <c r="AF98" s="863">
        <v>30</v>
      </c>
      <c r="AG98" s="880">
        <v>31</v>
      </c>
      <c r="AH98" s="864" t="s">
        <v>477</v>
      </c>
      <c r="AI98" s="865" t="s">
        <v>478</v>
      </c>
    </row>
    <row r="99" spans="1:35" ht="21.95" customHeight="1" thickBot="1">
      <c r="A99" s="870">
        <v>1</v>
      </c>
      <c r="B99" s="879" t="s">
        <v>582</v>
      </c>
      <c r="C99" s="764" t="s">
        <v>583</v>
      </c>
      <c r="D99" s="764" t="s">
        <v>583</v>
      </c>
      <c r="E99" s="764" t="s">
        <v>583</v>
      </c>
      <c r="F99" s="764"/>
      <c r="G99" s="764" t="s">
        <v>584</v>
      </c>
      <c r="H99" s="764" t="s">
        <v>584</v>
      </c>
      <c r="I99" s="964" t="s">
        <v>584</v>
      </c>
      <c r="J99" s="764" t="s">
        <v>584</v>
      </c>
      <c r="K99" s="764" t="s">
        <v>481</v>
      </c>
      <c r="L99" s="764"/>
      <c r="M99" s="764"/>
      <c r="N99" s="1003" t="s">
        <v>585</v>
      </c>
      <c r="O99" s="983" t="s">
        <v>586</v>
      </c>
      <c r="P99" s="764" t="s">
        <v>585</v>
      </c>
      <c r="Q99" s="965" t="s">
        <v>585</v>
      </c>
      <c r="R99" s="764" t="s">
        <v>585</v>
      </c>
      <c r="S99" s="764"/>
      <c r="T99" s="764"/>
      <c r="U99" s="764" t="s">
        <v>583</v>
      </c>
      <c r="V99" s="764" t="s">
        <v>583</v>
      </c>
      <c r="W99" s="764" t="s">
        <v>583</v>
      </c>
      <c r="X99" s="983" t="s">
        <v>586</v>
      </c>
      <c r="Y99" s="764" t="s">
        <v>583</v>
      </c>
      <c r="Z99" s="764" t="s">
        <v>583</v>
      </c>
      <c r="AA99" s="875"/>
      <c r="AB99" s="768" t="s">
        <v>485</v>
      </c>
      <c r="AC99" s="983" t="s">
        <v>586</v>
      </c>
      <c r="AD99" s="964" t="s">
        <v>584</v>
      </c>
      <c r="AE99" s="764" t="s">
        <v>584</v>
      </c>
      <c r="AF99" s="764" t="s">
        <v>481</v>
      </c>
      <c r="AG99" s="764"/>
      <c r="AH99" s="510">
        <v>222</v>
      </c>
      <c r="AI99" s="511">
        <v>37</v>
      </c>
    </row>
    <row r="100" spans="1:35" ht="21.95" customHeight="1">
      <c r="A100" s="575">
        <v>2</v>
      </c>
      <c r="B100" s="857" t="s">
        <v>587</v>
      </c>
      <c r="C100" s="768" t="s">
        <v>584</v>
      </c>
      <c r="D100" s="768" t="s">
        <v>481</v>
      </c>
      <c r="E100" s="768"/>
      <c r="F100" s="768"/>
      <c r="G100" s="768" t="s">
        <v>585</v>
      </c>
      <c r="H100" s="768" t="s">
        <v>585</v>
      </c>
      <c r="I100" s="768" t="s">
        <v>585</v>
      </c>
      <c r="J100" s="763" t="s">
        <v>585</v>
      </c>
      <c r="K100" s="768" t="s">
        <v>585</v>
      </c>
      <c r="L100" s="768"/>
      <c r="M100" s="768"/>
      <c r="N100" s="768" t="s">
        <v>583</v>
      </c>
      <c r="O100" s="1003" t="s">
        <v>583</v>
      </c>
      <c r="P100" s="768" t="s">
        <v>583</v>
      </c>
      <c r="Q100" s="768" t="s">
        <v>583</v>
      </c>
      <c r="R100" s="768" t="s">
        <v>583</v>
      </c>
      <c r="S100" s="768" t="s">
        <v>583</v>
      </c>
      <c r="T100" s="768"/>
      <c r="U100" s="768" t="s">
        <v>584</v>
      </c>
      <c r="V100" s="768" t="s">
        <v>584</v>
      </c>
      <c r="W100" s="768" t="s">
        <v>584</v>
      </c>
      <c r="X100" s="768" t="s">
        <v>584</v>
      </c>
      <c r="Y100" s="768" t="s">
        <v>481</v>
      </c>
      <c r="Z100" s="768"/>
      <c r="AA100" s="837" t="s">
        <v>485</v>
      </c>
      <c r="AB100" s="768" t="s">
        <v>585</v>
      </c>
      <c r="AC100" s="768" t="s">
        <v>585</v>
      </c>
      <c r="AD100" s="768" t="s">
        <v>585</v>
      </c>
      <c r="AE100" s="768" t="s">
        <v>585</v>
      </c>
      <c r="AF100" s="768" t="s">
        <v>585</v>
      </c>
      <c r="AG100" s="768"/>
      <c r="AH100" s="924">
        <v>185</v>
      </c>
      <c r="AI100" s="925">
        <v>37</v>
      </c>
    </row>
    <row r="101" spans="1:35" ht="21.95" customHeight="1">
      <c r="A101" s="575">
        <v>3</v>
      </c>
      <c r="B101" s="857" t="s">
        <v>289</v>
      </c>
      <c r="C101" s="768" t="s">
        <v>585</v>
      </c>
      <c r="D101" s="768" t="s">
        <v>585</v>
      </c>
      <c r="E101" s="768"/>
      <c r="F101" s="768"/>
      <c r="G101" s="768" t="s">
        <v>583</v>
      </c>
      <c r="H101" s="768" t="s">
        <v>583</v>
      </c>
      <c r="I101" s="768" t="s">
        <v>583</v>
      </c>
      <c r="J101" s="768" t="s">
        <v>583</v>
      </c>
      <c r="K101" s="768" t="s">
        <v>583</v>
      </c>
      <c r="L101" s="768" t="s">
        <v>583</v>
      </c>
      <c r="M101" s="768"/>
      <c r="N101" s="768" t="s">
        <v>584</v>
      </c>
      <c r="O101" s="768" t="s">
        <v>584</v>
      </c>
      <c r="P101" s="768" t="s">
        <v>584</v>
      </c>
      <c r="Q101" s="1007" t="s">
        <v>584</v>
      </c>
      <c r="R101" s="768" t="s">
        <v>481</v>
      </c>
      <c r="S101" s="768"/>
      <c r="T101" s="768"/>
      <c r="U101" s="768" t="s">
        <v>585</v>
      </c>
      <c r="V101" s="1003" t="s">
        <v>585</v>
      </c>
      <c r="W101" s="768" t="s">
        <v>585</v>
      </c>
      <c r="X101" s="768" t="s">
        <v>585</v>
      </c>
      <c r="Y101" s="768" t="s">
        <v>585</v>
      </c>
      <c r="Z101" s="768"/>
      <c r="AA101" s="768"/>
      <c r="AB101" s="768" t="s">
        <v>583</v>
      </c>
      <c r="AC101" s="768" t="s">
        <v>583</v>
      </c>
      <c r="AD101" s="768" t="s">
        <v>583</v>
      </c>
      <c r="AE101" s="768" t="s">
        <v>583</v>
      </c>
      <c r="AF101" s="768" t="s">
        <v>583</v>
      </c>
      <c r="AG101" s="768" t="s">
        <v>583</v>
      </c>
      <c r="AH101" s="924">
        <v>222</v>
      </c>
      <c r="AI101" s="925">
        <v>37</v>
      </c>
    </row>
    <row r="102" spans="1:35" ht="21.95" customHeight="1">
      <c r="A102" s="575">
        <v>4</v>
      </c>
      <c r="B102" s="857"/>
      <c r="C102" s="768"/>
      <c r="D102" s="762"/>
      <c r="E102" s="768"/>
      <c r="F102" s="768"/>
      <c r="G102" s="768"/>
      <c r="H102" s="768"/>
      <c r="I102" s="768"/>
      <c r="J102" s="762"/>
      <c r="K102" s="762"/>
      <c r="L102" s="768"/>
      <c r="M102" s="768"/>
      <c r="N102" s="768"/>
      <c r="O102" s="768"/>
      <c r="P102" s="768"/>
      <c r="Q102" s="762"/>
      <c r="R102" s="762"/>
      <c r="S102" s="762"/>
      <c r="T102" s="762"/>
      <c r="U102" s="762"/>
      <c r="V102" s="762"/>
      <c r="W102" s="762"/>
      <c r="X102" s="768"/>
      <c r="Y102" s="762"/>
      <c r="Z102" s="768"/>
      <c r="AA102" s="768"/>
      <c r="AB102" s="768"/>
      <c r="AC102" s="768"/>
      <c r="AD102" s="768"/>
      <c r="AE102" s="768"/>
      <c r="AF102" s="762"/>
      <c r="AG102" s="768"/>
      <c r="AH102" s="924">
        <v>185</v>
      </c>
      <c r="AI102" s="925">
        <v>37</v>
      </c>
    </row>
    <row r="103" spans="1:35" ht="21.95" customHeight="1">
      <c r="A103" s="576"/>
      <c r="B103" s="583"/>
      <c r="C103" s="555"/>
      <c r="D103" s="538"/>
      <c r="E103" s="538"/>
      <c r="F103" s="538"/>
      <c r="G103" s="538"/>
      <c r="H103" s="538"/>
      <c r="I103" s="555"/>
      <c r="J103" s="555"/>
      <c r="K103" s="538"/>
      <c r="L103" s="538"/>
      <c r="M103" s="538"/>
      <c r="N103" s="538"/>
      <c r="O103" s="538"/>
      <c r="P103" s="538"/>
      <c r="Q103" s="555"/>
      <c r="R103" s="538"/>
      <c r="S103" s="817"/>
      <c r="T103" s="817"/>
      <c r="U103" s="817"/>
      <c r="V103" s="817"/>
      <c r="W103" s="555"/>
      <c r="X103" s="555"/>
      <c r="Y103" s="538"/>
      <c r="Z103" s="538"/>
      <c r="AA103" s="538"/>
      <c r="AB103" s="538"/>
      <c r="AC103" s="538"/>
      <c r="AD103" s="538"/>
      <c r="AE103" s="555"/>
      <c r="AF103" s="538"/>
      <c r="AG103" s="538"/>
      <c r="AH103" s="556"/>
      <c r="AI103" s="556"/>
    </row>
    <row r="104" spans="1:35" ht="21.95" customHeight="1" thickBot="1">
      <c r="A104" s="805" t="s">
        <v>588</v>
      </c>
      <c r="B104" s="538"/>
      <c r="C104" s="555"/>
      <c r="D104" s="538"/>
      <c r="E104" s="538"/>
      <c r="F104" s="538"/>
      <c r="G104" s="538"/>
      <c r="H104" s="538"/>
      <c r="I104" s="555"/>
      <c r="J104" s="555"/>
      <c r="K104" s="538"/>
      <c r="L104" s="538"/>
      <c r="M104" s="538"/>
      <c r="N104" s="538"/>
      <c r="O104" s="538"/>
      <c r="P104" s="538"/>
      <c r="Q104" s="555"/>
      <c r="R104" s="538"/>
      <c r="S104" s="538"/>
      <c r="T104" s="538"/>
      <c r="U104" s="538"/>
      <c r="V104" s="538"/>
      <c r="W104" s="555"/>
      <c r="X104" s="555"/>
      <c r="Y104" s="538"/>
      <c r="Z104" s="538"/>
      <c r="AA104" s="538"/>
      <c r="AB104" s="538"/>
      <c r="AC104" s="538"/>
      <c r="AD104" s="538"/>
      <c r="AE104" s="555"/>
      <c r="AF104" s="538"/>
      <c r="AG104" s="538"/>
      <c r="AH104" s="556"/>
      <c r="AI104" s="556"/>
    </row>
    <row r="105" spans="1:35" ht="21.95" customHeight="1">
      <c r="A105" s="576"/>
      <c r="B105" s="806" t="s">
        <v>589</v>
      </c>
      <c r="C105" s="814"/>
      <c r="D105" s="807" t="s">
        <v>2</v>
      </c>
      <c r="E105" s="808"/>
      <c r="F105" s="809"/>
      <c r="G105" s="810"/>
      <c r="H105" s="807" t="s">
        <v>3</v>
      </c>
      <c r="I105" s="808"/>
      <c r="J105" s="809"/>
      <c r="K105" s="810"/>
      <c r="L105" s="807" t="s">
        <v>4</v>
      </c>
      <c r="M105" s="808"/>
      <c r="N105" s="809"/>
      <c r="O105" s="810"/>
      <c r="P105" s="807" t="s">
        <v>5</v>
      </c>
      <c r="Q105" s="808"/>
      <c r="R105" s="809"/>
      <c r="S105" s="810"/>
      <c r="T105" s="807" t="s">
        <v>6</v>
      </c>
      <c r="U105" s="808"/>
      <c r="V105" s="809"/>
      <c r="W105" s="810"/>
      <c r="X105" s="807" t="s">
        <v>7</v>
      </c>
      <c r="Y105" s="808"/>
      <c r="Z105" s="809"/>
      <c r="AA105" s="810"/>
      <c r="AB105" s="807" t="s">
        <v>8</v>
      </c>
      <c r="AC105" s="808"/>
      <c r="AD105" s="808"/>
      <c r="AE105" s="811" t="s">
        <v>10</v>
      </c>
      <c r="AF105" s="808"/>
      <c r="AG105" s="808"/>
      <c r="AH105" s="808"/>
      <c r="AI105" s="812"/>
    </row>
    <row r="106" spans="1:35" ht="21.95" customHeight="1">
      <c r="A106" s="576"/>
      <c r="B106" s="832" t="s">
        <v>590</v>
      </c>
      <c r="C106" s="815" t="s">
        <v>591</v>
      </c>
      <c r="D106" s="831" t="s">
        <v>592</v>
      </c>
      <c r="E106" s="816"/>
      <c r="F106" s="813"/>
      <c r="G106" s="815"/>
      <c r="H106" s="831" t="s">
        <v>592</v>
      </c>
      <c r="I106" s="816"/>
      <c r="J106" s="813"/>
      <c r="K106" s="815"/>
      <c r="L106" s="831" t="s">
        <v>592</v>
      </c>
      <c r="M106" s="816"/>
      <c r="N106" s="813"/>
      <c r="O106" s="815"/>
      <c r="P106" s="831" t="s">
        <v>593</v>
      </c>
      <c r="Q106" s="816"/>
      <c r="R106" s="813"/>
      <c r="S106" s="815"/>
      <c r="T106" s="831" t="s">
        <v>594</v>
      </c>
      <c r="U106" s="816"/>
      <c r="V106" s="813"/>
      <c r="W106" s="815"/>
      <c r="X106" s="816"/>
      <c r="Y106" s="816"/>
      <c r="Z106" s="813"/>
      <c r="AA106" s="815"/>
      <c r="AB106" s="816"/>
      <c r="AC106" s="816"/>
      <c r="AD106" s="816"/>
      <c r="AE106" s="815"/>
      <c r="AF106" s="816"/>
      <c r="AG106" s="816"/>
      <c r="AH106" s="818"/>
      <c r="AI106" s="819"/>
    </row>
    <row r="107" spans="1:35" ht="21.95" customHeight="1">
      <c r="A107" s="576"/>
      <c r="B107" s="833" t="s">
        <v>595</v>
      </c>
      <c r="C107" s="815" t="s">
        <v>596</v>
      </c>
      <c r="D107" s="831" t="s">
        <v>592</v>
      </c>
      <c r="E107" s="816"/>
      <c r="F107" s="813"/>
      <c r="G107" s="815"/>
      <c r="H107" s="831" t="s">
        <v>592</v>
      </c>
      <c r="I107" s="816"/>
      <c r="J107" s="813"/>
      <c r="K107" s="815"/>
      <c r="L107" s="831" t="s">
        <v>592</v>
      </c>
      <c r="M107" s="816"/>
      <c r="N107" s="813"/>
      <c r="O107" s="815"/>
      <c r="P107" s="831" t="s">
        <v>593</v>
      </c>
      <c r="Q107" s="816"/>
      <c r="R107" s="813"/>
      <c r="S107" s="815"/>
      <c r="T107" s="831" t="s">
        <v>594</v>
      </c>
      <c r="U107" s="816"/>
      <c r="V107" s="813"/>
      <c r="W107" s="815"/>
      <c r="X107" s="816"/>
      <c r="Y107" s="816"/>
      <c r="Z107" s="813"/>
      <c r="AA107" s="815"/>
      <c r="AB107" s="816"/>
      <c r="AC107" s="816"/>
      <c r="AD107" s="816"/>
      <c r="AE107" s="815"/>
      <c r="AF107" s="816"/>
      <c r="AG107" s="816"/>
      <c r="AH107" s="818"/>
      <c r="AI107" s="819"/>
    </row>
    <row r="108" spans="1:35" ht="21.95" customHeight="1">
      <c r="A108" s="576"/>
      <c r="B108" s="833" t="s">
        <v>597</v>
      </c>
      <c r="C108" s="815" t="s">
        <v>598</v>
      </c>
      <c r="D108" s="831" t="s">
        <v>592</v>
      </c>
      <c r="E108" s="816"/>
      <c r="F108" s="813"/>
      <c r="G108" s="815"/>
      <c r="H108" s="831" t="s">
        <v>592</v>
      </c>
      <c r="I108" s="816"/>
      <c r="J108" s="813"/>
      <c r="K108" s="815"/>
      <c r="L108" s="831" t="s">
        <v>592</v>
      </c>
      <c r="M108" s="816"/>
      <c r="N108" s="813"/>
      <c r="O108" s="815"/>
      <c r="P108" s="831" t="s">
        <v>593</v>
      </c>
      <c r="Q108" s="816"/>
      <c r="R108" s="813"/>
      <c r="S108" s="815"/>
      <c r="T108" s="831" t="s">
        <v>594</v>
      </c>
      <c r="U108" s="816"/>
      <c r="V108" s="813"/>
      <c r="W108" s="815"/>
      <c r="X108" s="816"/>
      <c r="Y108" s="816"/>
      <c r="Z108" s="813"/>
      <c r="AA108" s="815"/>
      <c r="AB108" s="816"/>
      <c r="AC108" s="816"/>
      <c r="AD108" s="816"/>
      <c r="AE108" s="815"/>
      <c r="AF108" s="816"/>
      <c r="AG108" s="816"/>
      <c r="AH108" s="818"/>
      <c r="AI108" s="819"/>
    </row>
    <row r="109" spans="1:35" ht="21.95" customHeight="1">
      <c r="A109" s="576"/>
      <c r="B109" s="833" t="s">
        <v>599</v>
      </c>
      <c r="C109" s="815" t="s">
        <v>600</v>
      </c>
      <c r="D109" s="831" t="s">
        <v>592</v>
      </c>
      <c r="E109" s="816"/>
      <c r="F109" s="813"/>
      <c r="G109" s="815"/>
      <c r="H109" s="831" t="s">
        <v>592</v>
      </c>
      <c r="I109" s="816"/>
      <c r="J109" s="813"/>
      <c r="K109" s="815"/>
      <c r="L109" s="831" t="s">
        <v>592</v>
      </c>
      <c r="M109" s="816"/>
      <c r="N109" s="813"/>
      <c r="O109" s="815"/>
      <c r="P109" s="831" t="s">
        <v>593</v>
      </c>
      <c r="Q109" s="816"/>
      <c r="R109" s="813"/>
      <c r="S109" s="815"/>
      <c r="T109" s="831" t="s">
        <v>594</v>
      </c>
      <c r="U109" s="816"/>
      <c r="V109" s="813"/>
      <c r="W109" s="815"/>
      <c r="X109" s="816"/>
      <c r="Y109" s="816"/>
      <c r="Z109" s="813"/>
      <c r="AA109" s="815"/>
      <c r="AB109" s="816"/>
      <c r="AC109" s="816"/>
      <c r="AD109" s="816"/>
      <c r="AE109" s="815"/>
      <c r="AF109" s="816"/>
      <c r="AG109" s="816"/>
      <c r="AH109" s="818"/>
      <c r="AI109" s="819"/>
    </row>
    <row r="110" spans="1:35" ht="21.95" customHeight="1">
      <c r="A110" s="576"/>
      <c r="B110" s="833" t="s">
        <v>601</v>
      </c>
      <c r="C110" s="815" t="s">
        <v>602</v>
      </c>
      <c r="D110" s="831" t="s">
        <v>592</v>
      </c>
      <c r="E110" s="816"/>
      <c r="F110" s="813"/>
      <c r="G110" s="815"/>
      <c r="H110" s="831" t="s">
        <v>592</v>
      </c>
      <c r="I110" s="816"/>
      <c r="J110" s="813"/>
      <c r="K110" s="815"/>
      <c r="L110" s="831" t="s">
        <v>592</v>
      </c>
      <c r="M110" s="816"/>
      <c r="N110" s="813"/>
      <c r="O110" s="815"/>
      <c r="P110" s="831" t="s">
        <v>593</v>
      </c>
      <c r="Q110" s="816"/>
      <c r="R110" s="813"/>
      <c r="S110" s="815"/>
      <c r="T110" s="831" t="s">
        <v>594</v>
      </c>
      <c r="U110" s="816"/>
      <c r="V110" s="813"/>
      <c r="W110" s="815"/>
      <c r="X110" s="816"/>
      <c r="Y110" s="816"/>
      <c r="Z110" s="813"/>
      <c r="AA110" s="815"/>
      <c r="AB110" s="816"/>
      <c r="AC110" s="816"/>
      <c r="AD110" s="816"/>
      <c r="AE110" s="815"/>
      <c r="AF110" s="816"/>
      <c r="AG110" s="816"/>
      <c r="AH110" s="818"/>
      <c r="AI110" s="819"/>
    </row>
    <row r="111" spans="1:35" ht="21.95" customHeight="1">
      <c r="A111" s="576"/>
      <c r="B111" s="833" t="s">
        <v>603</v>
      </c>
      <c r="C111" s="815" t="s">
        <v>604</v>
      </c>
      <c r="D111" s="831" t="s">
        <v>592</v>
      </c>
      <c r="E111" s="816"/>
      <c r="F111" s="813"/>
      <c r="G111" s="815"/>
      <c r="H111" s="831" t="s">
        <v>592</v>
      </c>
      <c r="I111" s="816"/>
      <c r="J111" s="813"/>
      <c r="K111" s="815"/>
      <c r="L111" s="831" t="s">
        <v>592</v>
      </c>
      <c r="M111" s="816"/>
      <c r="N111" s="813"/>
      <c r="O111" s="815"/>
      <c r="P111" s="831" t="s">
        <v>593</v>
      </c>
      <c r="Q111" s="816"/>
      <c r="R111" s="813"/>
      <c r="S111" s="815"/>
      <c r="T111" s="831" t="s">
        <v>594</v>
      </c>
      <c r="U111" s="816"/>
      <c r="V111" s="813"/>
      <c r="W111" s="815"/>
      <c r="X111" s="816"/>
      <c r="Y111" s="816"/>
      <c r="Z111" s="813"/>
      <c r="AA111" s="815"/>
      <c r="AB111" s="816"/>
      <c r="AC111" s="816"/>
      <c r="AD111" s="816"/>
      <c r="AE111" s="815"/>
      <c r="AF111" s="816"/>
      <c r="AG111" s="816"/>
      <c r="AH111" s="818"/>
      <c r="AI111" s="819"/>
    </row>
    <row r="112" spans="1:35" ht="21.95" customHeight="1">
      <c r="A112" s="576"/>
      <c r="B112" s="833" t="s">
        <v>605</v>
      </c>
      <c r="C112" s="815" t="s">
        <v>606</v>
      </c>
      <c r="D112" s="831" t="s">
        <v>592</v>
      </c>
      <c r="E112" s="816"/>
      <c r="F112" s="813"/>
      <c r="G112" s="815"/>
      <c r="H112" s="831" t="s">
        <v>592</v>
      </c>
      <c r="I112" s="816"/>
      <c r="J112" s="813"/>
      <c r="K112" s="815"/>
      <c r="L112" s="831" t="s">
        <v>592</v>
      </c>
      <c r="M112" s="816"/>
      <c r="N112" s="813"/>
      <c r="O112" s="815"/>
      <c r="P112" s="831" t="s">
        <v>593</v>
      </c>
      <c r="Q112" s="816"/>
      <c r="R112" s="813"/>
      <c r="S112" s="815"/>
      <c r="T112" s="831" t="s">
        <v>594</v>
      </c>
      <c r="U112" s="816"/>
      <c r="V112" s="813"/>
      <c r="W112" s="815"/>
      <c r="X112" s="816"/>
      <c r="Y112" s="816"/>
      <c r="Z112" s="813"/>
      <c r="AA112" s="815"/>
      <c r="AB112" s="816"/>
      <c r="AC112" s="816"/>
      <c r="AD112" s="816"/>
      <c r="AE112" s="815"/>
      <c r="AF112" s="816"/>
      <c r="AG112" s="816"/>
      <c r="AH112" s="818"/>
      <c r="AI112" s="819"/>
    </row>
    <row r="113" spans="1:35" ht="21.95" customHeight="1">
      <c r="A113" s="576"/>
      <c r="B113" s="833" t="s">
        <v>605</v>
      </c>
      <c r="C113" s="815" t="s">
        <v>607</v>
      </c>
      <c r="D113" s="831" t="s">
        <v>592</v>
      </c>
      <c r="E113" s="816"/>
      <c r="F113" s="813"/>
      <c r="G113" s="815"/>
      <c r="H113" s="831" t="s">
        <v>592</v>
      </c>
      <c r="I113" s="816"/>
      <c r="J113" s="813"/>
      <c r="K113" s="815"/>
      <c r="L113" s="831" t="s">
        <v>592</v>
      </c>
      <c r="M113" s="816"/>
      <c r="N113" s="813"/>
      <c r="O113" s="815"/>
      <c r="P113" s="831" t="s">
        <v>593</v>
      </c>
      <c r="Q113" s="816"/>
      <c r="R113" s="813"/>
      <c r="S113" s="815"/>
      <c r="T113" s="831" t="s">
        <v>594</v>
      </c>
      <c r="U113" s="816"/>
      <c r="V113" s="813"/>
      <c r="W113" s="815"/>
      <c r="X113" s="816"/>
      <c r="Y113" s="816"/>
      <c r="Z113" s="813"/>
      <c r="AA113" s="815"/>
      <c r="AB113" s="816"/>
      <c r="AC113" s="816"/>
      <c r="AD113" s="816"/>
      <c r="AE113" s="815"/>
      <c r="AF113" s="816"/>
      <c r="AG113" s="816"/>
      <c r="AH113" s="818"/>
      <c r="AI113" s="819"/>
    </row>
    <row r="114" spans="1:35" ht="21.95" customHeight="1">
      <c r="A114" s="576"/>
      <c r="B114" s="833" t="s">
        <v>608</v>
      </c>
      <c r="C114" s="815" t="s">
        <v>609</v>
      </c>
      <c r="D114" s="831" t="s">
        <v>592</v>
      </c>
      <c r="E114" s="816"/>
      <c r="F114" s="813"/>
      <c r="G114" s="815"/>
      <c r="H114" s="831" t="s">
        <v>592</v>
      </c>
      <c r="I114" s="816"/>
      <c r="J114" s="813"/>
      <c r="K114" s="815"/>
      <c r="L114" s="831" t="s">
        <v>592</v>
      </c>
      <c r="M114" s="816"/>
      <c r="N114" s="813"/>
      <c r="O114" s="815"/>
      <c r="P114" s="831" t="s">
        <v>593</v>
      </c>
      <c r="Q114" s="816"/>
      <c r="R114" s="813"/>
      <c r="S114" s="815"/>
      <c r="T114" s="831" t="s">
        <v>594</v>
      </c>
      <c r="U114" s="816"/>
      <c r="V114" s="813"/>
      <c r="W114" s="815"/>
      <c r="X114" s="816"/>
      <c r="Y114" s="816"/>
      <c r="Z114" s="813"/>
      <c r="AA114" s="815"/>
      <c r="AB114" s="816"/>
      <c r="AC114" s="816"/>
      <c r="AD114" s="816"/>
      <c r="AE114" s="815"/>
      <c r="AF114" s="816"/>
      <c r="AG114" s="816"/>
      <c r="AH114" s="818"/>
      <c r="AI114" s="819"/>
    </row>
    <row r="115" spans="1:35" ht="21.95" customHeight="1">
      <c r="A115" s="576"/>
      <c r="B115" s="833" t="s">
        <v>610</v>
      </c>
      <c r="C115" s="815" t="s">
        <v>611</v>
      </c>
      <c r="D115" s="831" t="s">
        <v>592</v>
      </c>
      <c r="E115" s="816"/>
      <c r="F115" s="813"/>
      <c r="G115" s="815"/>
      <c r="H115" s="831" t="s">
        <v>592</v>
      </c>
      <c r="I115" s="816"/>
      <c r="J115" s="813"/>
      <c r="K115" s="815"/>
      <c r="L115" s="831" t="s">
        <v>592</v>
      </c>
      <c r="M115" s="816"/>
      <c r="N115" s="813"/>
      <c r="O115" s="815"/>
      <c r="P115" s="831" t="s">
        <v>593</v>
      </c>
      <c r="Q115" s="816"/>
      <c r="R115" s="813"/>
      <c r="S115" s="815"/>
      <c r="T115" s="831" t="s">
        <v>594</v>
      </c>
      <c r="U115" s="816"/>
      <c r="V115" s="813"/>
      <c r="W115" s="815"/>
      <c r="X115" s="816"/>
      <c r="Y115" s="816"/>
      <c r="Z115" s="813"/>
      <c r="AA115" s="815"/>
      <c r="AB115" s="816"/>
      <c r="AC115" s="816"/>
      <c r="AD115" s="816"/>
      <c r="AE115" s="815"/>
      <c r="AF115" s="816"/>
      <c r="AG115" s="816"/>
      <c r="AH115" s="818"/>
      <c r="AI115" s="819"/>
    </row>
    <row r="116" spans="1:35" ht="21.95" customHeight="1">
      <c r="A116" s="576"/>
      <c r="B116" s="833" t="s">
        <v>612</v>
      </c>
      <c r="C116" s="815" t="s">
        <v>613</v>
      </c>
      <c r="D116" s="831" t="s">
        <v>592</v>
      </c>
      <c r="E116" s="816"/>
      <c r="F116" s="813"/>
      <c r="G116" s="815"/>
      <c r="H116" s="831" t="s">
        <v>592</v>
      </c>
      <c r="I116" s="816"/>
      <c r="J116" s="813"/>
      <c r="K116" s="815"/>
      <c r="L116" s="831" t="s">
        <v>592</v>
      </c>
      <c r="M116" s="816"/>
      <c r="N116" s="813"/>
      <c r="O116" s="815"/>
      <c r="P116" s="831" t="s">
        <v>593</v>
      </c>
      <c r="Q116" s="816"/>
      <c r="R116" s="813"/>
      <c r="S116" s="815"/>
      <c r="T116" s="831" t="s">
        <v>594</v>
      </c>
      <c r="U116" s="816"/>
      <c r="V116" s="813"/>
      <c r="W116" s="815"/>
      <c r="X116" s="816"/>
      <c r="Y116" s="816"/>
      <c r="Z116" s="813"/>
      <c r="AA116" s="815"/>
      <c r="AB116" s="816"/>
      <c r="AC116" s="816"/>
      <c r="AD116" s="816"/>
      <c r="AE116" s="815"/>
      <c r="AF116" s="816"/>
      <c r="AG116" s="816"/>
      <c r="AH116" s="818"/>
      <c r="AI116" s="819"/>
    </row>
    <row r="117" spans="1:35" ht="21.95" customHeight="1" thickBot="1">
      <c r="A117" s="576"/>
      <c r="B117" s="583"/>
      <c r="C117" s="555"/>
      <c r="D117" s="538"/>
      <c r="E117" s="538"/>
      <c r="F117" s="538"/>
      <c r="G117" s="538"/>
      <c r="H117" s="538"/>
      <c r="I117" s="555"/>
      <c r="J117" s="555"/>
      <c r="K117" s="538"/>
      <c r="L117" s="538"/>
      <c r="M117" s="538"/>
      <c r="N117" s="538"/>
      <c r="O117" s="538"/>
      <c r="P117" s="538"/>
      <c r="Q117" s="555"/>
      <c r="R117" s="538"/>
      <c r="S117" s="538"/>
      <c r="T117" s="538"/>
      <c r="U117" s="538"/>
      <c r="V117" s="538"/>
      <c r="W117" s="555"/>
      <c r="X117" s="555"/>
      <c r="Y117" s="538"/>
      <c r="Z117" s="538"/>
      <c r="AA117" s="538"/>
      <c r="AB117" s="538"/>
      <c r="AC117" s="538"/>
      <c r="AD117" s="538"/>
      <c r="AE117" s="555"/>
      <c r="AF117" s="538"/>
      <c r="AG117" s="538"/>
      <c r="AH117" s="556"/>
      <c r="AI117" s="556"/>
    </row>
    <row r="118" spans="1:35" ht="21.95" customHeight="1" thickBot="1">
      <c r="A118" s="785"/>
      <c r="B118" s="883" t="s">
        <v>476</v>
      </c>
      <c r="C118" s="880">
        <v>1</v>
      </c>
      <c r="D118" s="863">
        <v>2</v>
      </c>
      <c r="E118" s="880">
        <v>3</v>
      </c>
      <c r="F118" s="880">
        <v>4</v>
      </c>
      <c r="G118" s="863">
        <v>5</v>
      </c>
      <c r="H118" s="863">
        <v>6</v>
      </c>
      <c r="I118" s="863">
        <v>7</v>
      </c>
      <c r="J118" s="863">
        <v>8</v>
      </c>
      <c r="K118" s="863">
        <v>9</v>
      </c>
      <c r="L118" s="880">
        <v>10</v>
      </c>
      <c r="M118" s="880">
        <v>11</v>
      </c>
      <c r="N118" s="863">
        <v>12</v>
      </c>
      <c r="O118" s="863">
        <v>13</v>
      </c>
      <c r="P118" s="863">
        <v>14</v>
      </c>
      <c r="Q118" s="863">
        <v>15</v>
      </c>
      <c r="R118" s="880">
        <v>16</v>
      </c>
      <c r="S118" s="880">
        <v>17</v>
      </c>
      <c r="T118" s="880">
        <v>18</v>
      </c>
      <c r="U118" s="863">
        <v>19</v>
      </c>
      <c r="V118" s="863">
        <v>20</v>
      </c>
      <c r="W118" s="863">
        <v>21</v>
      </c>
      <c r="X118" s="863">
        <v>22</v>
      </c>
      <c r="Y118" s="863">
        <v>23</v>
      </c>
      <c r="Z118" s="880">
        <v>24</v>
      </c>
      <c r="AA118" s="880">
        <v>25</v>
      </c>
      <c r="AB118" s="863">
        <v>26</v>
      </c>
      <c r="AC118" s="863">
        <v>27</v>
      </c>
      <c r="AD118" s="863">
        <v>28</v>
      </c>
      <c r="AE118" s="880">
        <v>29</v>
      </c>
      <c r="AF118" s="863">
        <v>30</v>
      </c>
      <c r="AG118" s="880">
        <v>31</v>
      </c>
      <c r="AH118" s="884" t="s">
        <v>477</v>
      </c>
      <c r="AI118" s="885" t="s">
        <v>478</v>
      </c>
    </row>
    <row r="119" spans="1:35" ht="21.95" customHeight="1" thickBot="1">
      <c r="A119" s="576"/>
      <c r="B119" s="881" t="s">
        <v>614</v>
      </c>
      <c r="C119" s="882"/>
      <c r="D119" s="882" t="s">
        <v>591</v>
      </c>
      <c r="E119" s="882"/>
      <c r="F119" s="882"/>
      <c r="G119" s="882" t="s">
        <v>591</v>
      </c>
      <c r="H119" s="882" t="s">
        <v>591</v>
      </c>
      <c r="I119" s="882" t="s">
        <v>591</v>
      </c>
      <c r="J119" s="882" t="s">
        <v>591</v>
      </c>
      <c r="K119" s="882" t="s">
        <v>591</v>
      </c>
      <c r="L119" s="882"/>
      <c r="M119" s="882"/>
      <c r="N119" s="882" t="s">
        <v>591</v>
      </c>
      <c r="O119" s="882" t="s">
        <v>591</v>
      </c>
      <c r="P119" s="882" t="s">
        <v>591</v>
      </c>
      <c r="Q119" s="1011" t="s">
        <v>591</v>
      </c>
      <c r="R119" s="882"/>
      <c r="S119" s="882"/>
      <c r="T119" s="882"/>
      <c r="U119" s="882" t="s">
        <v>591</v>
      </c>
      <c r="V119" s="1003" t="s">
        <v>591</v>
      </c>
      <c r="W119" s="882" t="s">
        <v>591</v>
      </c>
      <c r="X119" s="882" t="s">
        <v>591</v>
      </c>
      <c r="Y119" s="882" t="s">
        <v>591</v>
      </c>
      <c r="Z119" s="882"/>
      <c r="AA119" s="882"/>
      <c r="AB119" s="882" t="s">
        <v>591</v>
      </c>
      <c r="AC119" s="882" t="s">
        <v>591</v>
      </c>
      <c r="AD119" s="882" t="s">
        <v>591</v>
      </c>
      <c r="AE119" s="882"/>
      <c r="AF119" s="882" t="s">
        <v>591</v>
      </c>
      <c r="AG119" s="882"/>
      <c r="AH119" s="510">
        <v>222</v>
      </c>
      <c r="AI119" s="511">
        <v>37</v>
      </c>
    </row>
    <row r="120" spans="1:35" ht="21.95" customHeight="1" thickBot="1">
      <c r="A120" s="576"/>
      <c r="B120" s="804" t="s">
        <v>615</v>
      </c>
      <c r="C120" s="837"/>
      <c r="D120" s="837" t="s">
        <v>591</v>
      </c>
      <c r="E120" s="837"/>
      <c r="F120" s="837"/>
      <c r="G120" s="837" t="s">
        <v>591</v>
      </c>
      <c r="H120" s="837" t="s">
        <v>591</v>
      </c>
      <c r="I120" s="837" t="s">
        <v>591</v>
      </c>
      <c r="J120" s="763" t="s">
        <v>591</v>
      </c>
      <c r="K120" s="837" t="s">
        <v>591</v>
      </c>
      <c r="L120" s="837"/>
      <c r="M120" s="837"/>
      <c r="N120" s="1003" t="s">
        <v>591</v>
      </c>
      <c r="O120" s="837" t="s">
        <v>591</v>
      </c>
      <c r="P120" s="837" t="s">
        <v>591</v>
      </c>
      <c r="Q120" s="1012" t="s">
        <v>591</v>
      </c>
      <c r="R120" s="837"/>
      <c r="S120" s="837"/>
      <c r="T120" s="837"/>
      <c r="U120" s="837" t="s">
        <v>591</v>
      </c>
      <c r="V120" s="837" t="s">
        <v>591</v>
      </c>
      <c r="W120" s="837" t="s">
        <v>591</v>
      </c>
      <c r="X120" s="837" t="s">
        <v>591</v>
      </c>
      <c r="Y120" s="837" t="s">
        <v>591</v>
      </c>
      <c r="Z120" s="837"/>
      <c r="AA120" s="837" t="s">
        <v>485</v>
      </c>
      <c r="AB120" s="768" t="s">
        <v>485</v>
      </c>
      <c r="AC120" s="837" t="s">
        <v>591</v>
      </c>
      <c r="AD120" s="1023" t="s">
        <v>591</v>
      </c>
      <c r="AE120" s="1023"/>
      <c r="AF120" s="1023" t="s">
        <v>591</v>
      </c>
      <c r="AG120" s="1023"/>
      <c r="AH120" s="924">
        <v>251.75</v>
      </c>
      <c r="AI120" s="925">
        <v>37</v>
      </c>
    </row>
    <row r="121" spans="1:35" ht="21.95" customHeight="1">
      <c r="A121" s="576"/>
      <c r="B121" s="804" t="s">
        <v>616</v>
      </c>
      <c r="C121" s="837"/>
      <c r="D121" s="1006" t="s">
        <v>596</v>
      </c>
      <c r="E121" s="837"/>
      <c r="F121" s="837"/>
      <c r="G121" s="837" t="s">
        <v>596</v>
      </c>
      <c r="H121" s="837" t="s">
        <v>596</v>
      </c>
      <c r="I121" s="837" t="s">
        <v>596</v>
      </c>
      <c r="J121" s="763" t="s">
        <v>596</v>
      </c>
      <c r="K121" s="837" t="s">
        <v>596</v>
      </c>
      <c r="L121" s="837"/>
      <c r="M121" s="837"/>
      <c r="N121" s="837" t="s">
        <v>596</v>
      </c>
      <c r="O121" s="1003" t="s">
        <v>596</v>
      </c>
      <c r="P121" s="837" t="s">
        <v>596</v>
      </c>
      <c r="Q121" s="1012" t="s">
        <v>596</v>
      </c>
      <c r="R121" s="837"/>
      <c r="S121" s="837"/>
      <c r="T121" s="837"/>
      <c r="U121" s="837" t="s">
        <v>596</v>
      </c>
      <c r="V121" s="837" t="s">
        <v>596</v>
      </c>
      <c r="W121" s="837" t="s">
        <v>596</v>
      </c>
      <c r="X121" s="837" t="s">
        <v>596</v>
      </c>
      <c r="Y121" s="837" t="s">
        <v>596</v>
      </c>
      <c r="Z121" s="837"/>
      <c r="AA121" s="837"/>
      <c r="AB121" s="837" t="s">
        <v>596</v>
      </c>
      <c r="AC121" s="837" t="s">
        <v>596</v>
      </c>
      <c r="AD121" s="837" t="s">
        <v>596</v>
      </c>
      <c r="AE121" s="837"/>
      <c r="AF121" s="837" t="s">
        <v>596</v>
      </c>
      <c r="AG121" s="837"/>
      <c r="AH121" s="924">
        <v>222</v>
      </c>
      <c r="AI121" s="925">
        <v>37</v>
      </c>
    </row>
    <row r="122" spans="1:35" ht="21.95" customHeight="1" thickBot="1">
      <c r="A122" s="576"/>
      <c r="B122" s="804" t="s">
        <v>617</v>
      </c>
      <c r="C122" s="837"/>
      <c r="D122" s="1023" t="s">
        <v>598</v>
      </c>
      <c r="E122" s="837"/>
      <c r="F122" s="837"/>
      <c r="G122" s="1023" t="s">
        <v>598</v>
      </c>
      <c r="H122" s="1023" t="s">
        <v>618</v>
      </c>
      <c r="I122" s="815" t="s">
        <v>598</v>
      </c>
      <c r="J122" s="815" t="s">
        <v>598</v>
      </c>
      <c r="K122" s="815" t="s">
        <v>598</v>
      </c>
      <c r="L122" s="837"/>
      <c r="M122" s="837"/>
      <c r="N122" s="837" t="s">
        <v>598</v>
      </c>
      <c r="O122" s="1003" t="s">
        <v>598</v>
      </c>
      <c r="P122" s="837" t="s">
        <v>598</v>
      </c>
      <c r="Q122" s="1011" t="s">
        <v>598</v>
      </c>
      <c r="R122" s="837"/>
      <c r="S122" s="837"/>
      <c r="T122" s="837"/>
      <c r="U122" s="837" t="s">
        <v>598</v>
      </c>
      <c r="V122" s="837" t="s">
        <v>598</v>
      </c>
      <c r="W122" s="837" t="s">
        <v>598</v>
      </c>
      <c r="X122" s="837" t="s">
        <v>598</v>
      </c>
      <c r="Y122" s="837" t="s">
        <v>598</v>
      </c>
      <c r="Z122" s="837"/>
      <c r="AA122" s="837"/>
      <c r="AB122" s="837" t="s">
        <v>598</v>
      </c>
      <c r="AC122" s="837" t="s">
        <v>598</v>
      </c>
      <c r="AD122" s="837" t="s">
        <v>598</v>
      </c>
      <c r="AE122" s="837"/>
      <c r="AF122" s="969" t="s">
        <v>598</v>
      </c>
      <c r="AG122" s="837"/>
      <c r="AH122" s="924">
        <v>226.75</v>
      </c>
      <c r="AI122" s="925">
        <v>37</v>
      </c>
    </row>
    <row r="123" spans="1:35" ht="21.95" customHeight="1">
      <c r="A123" s="576"/>
      <c r="B123" s="804" t="s">
        <v>619</v>
      </c>
      <c r="C123" s="837"/>
      <c r="D123" s="1013" t="s">
        <v>600</v>
      </c>
      <c r="E123" s="837"/>
      <c r="F123" s="837"/>
      <c r="G123" s="1023" t="s">
        <v>620</v>
      </c>
      <c r="H123" s="837" t="s">
        <v>600</v>
      </c>
      <c r="I123" s="837" t="s">
        <v>600</v>
      </c>
      <c r="J123" s="763" t="s">
        <v>600</v>
      </c>
      <c r="K123" s="837" t="s">
        <v>600</v>
      </c>
      <c r="L123" s="837"/>
      <c r="M123" s="837"/>
      <c r="N123" s="1003" t="s">
        <v>600</v>
      </c>
      <c r="O123" s="837" t="s">
        <v>600</v>
      </c>
      <c r="P123" s="837" t="s">
        <v>600</v>
      </c>
      <c r="Q123" s="1011" t="s">
        <v>600</v>
      </c>
      <c r="R123" s="837"/>
      <c r="S123" s="837"/>
      <c r="T123" s="837"/>
      <c r="U123" s="969" t="s">
        <v>600</v>
      </c>
      <c r="V123" s="969" t="s">
        <v>600</v>
      </c>
      <c r="W123" s="969" t="s">
        <v>600</v>
      </c>
      <c r="X123" s="969" t="s">
        <v>600</v>
      </c>
      <c r="Y123" s="969" t="s">
        <v>600</v>
      </c>
      <c r="Z123" s="969"/>
      <c r="AA123" s="969"/>
      <c r="AB123" s="837" t="s">
        <v>600</v>
      </c>
      <c r="AC123" s="837" t="s">
        <v>600</v>
      </c>
      <c r="AD123" s="837" t="s">
        <v>600</v>
      </c>
      <c r="AE123" s="837"/>
      <c r="AF123" s="837" t="s">
        <v>600</v>
      </c>
      <c r="AG123" s="837"/>
      <c r="AH123" s="924">
        <v>185</v>
      </c>
      <c r="AI123" s="925">
        <v>37</v>
      </c>
    </row>
    <row r="124" spans="1:35" ht="21.95" customHeight="1" thickBot="1">
      <c r="A124" s="576"/>
      <c r="B124" s="804" t="s">
        <v>621</v>
      </c>
      <c r="C124" s="837"/>
      <c r="D124" s="837" t="s">
        <v>602</v>
      </c>
      <c r="E124" s="837"/>
      <c r="F124" s="837"/>
      <c r="G124" s="837" t="s">
        <v>602</v>
      </c>
      <c r="H124" s="837" t="s">
        <v>602</v>
      </c>
      <c r="I124" s="837" t="s">
        <v>602</v>
      </c>
      <c r="J124" s="837" t="s">
        <v>602</v>
      </c>
      <c r="K124" s="837" t="s">
        <v>602</v>
      </c>
      <c r="L124" s="837"/>
      <c r="M124" s="837"/>
      <c r="N124" s="782" t="s">
        <v>602</v>
      </c>
      <c r="O124" s="837" t="s">
        <v>602</v>
      </c>
      <c r="P124" s="837" t="s">
        <v>602</v>
      </c>
      <c r="Q124" s="1011" t="s">
        <v>602</v>
      </c>
      <c r="R124" s="837"/>
      <c r="S124" s="837"/>
      <c r="T124" s="837"/>
      <c r="U124" s="837" t="s">
        <v>602</v>
      </c>
      <c r="V124" s="837" t="s">
        <v>602</v>
      </c>
      <c r="W124" s="837" t="s">
        <v>602</v>
      </c>
      <c r="X124" s="837" t="s">
        <v>602</v>
      </c>
      <c r="Y124" s="837" t="s">
        <v>602</v>
      </c>
      <c r="Z124" s="837"/>
      <c r="AA124" s="837"/>
      <c r="AB124" s="837" t="s">
        <v>602</v>
      </c>
      <c r="AC124" s="837" t="s">
        <v>602</v>
      </c>
      <c r="AD124" s="837" t="s">
        <v>602</v>
      </c>
      <c r="AE124" s="837"/>
      <c r="AF124" s="969" t="s">
        <v>602</v>
      </c>
      <c r="AG124" s="837"/>
      <c r="AH124" s="924">
        <v>259.75</v>
      </c>
      <c r="AI124" s="925">
        <v>37</v>
      </c>
    </row>
    <row r="125" spans="1:35" ht="21.95" customHeight="1">
      <c r="A125" s="576"/>
      <c r="B125" s="804" t="s">
        <v>622</v>
      </c>
      <c r="C125" s="837"/>
      <c r="D125" s="837" t="s">
        <v>604</v>
      </c>
      <c r="E125" s="837"/>
      <c r="F125" s="837"/>
      <c r="G125" s="837" t="s">
        <v>604</v>
      </c>
      <c r="H125" s="837" t="s">
        <v>604</v>
      </c>
      <c r="I125" s="837" t="s">
        <v>604</v>
      </c>
      <c r="J125" s="763" t="s">
        <v>604</v>
      </c>
      <c r="K125" s="837" t="s">
        <v>604</v>
      </c>
      <c r="L125" s="837"/>
      <c r="M125" s="837"/>
      <c r="N125" s="837" t="s">
        <v>604</v>
      </c>
      <c r="O125" s="837" t="s">
        <v>604</v>
      </c>
      <c r="P125" s="837" t="s">
        <v>604</v>
      </c>
      <c r="Q125" s="1011" t="s">
        <v>604</v>
      </c>
      <c r="R125" s="837"/>
      <c r="S125" s="837"/>
      <c r="T125" s="837"/>
      <c r="U125" s="837" t="s">
        <v>604</v>
      </c>
      <c r="V125" s="1003" t="s">
        <v>604</v>
      </c>
      <c r="W125" s="837" t="s">
        <v>604</v>
      </c>
      <c r="X125" s="837" t="s">
        <v>604</v>
      </c>
      <c r="Y125" s="837" t="s">
        <v>604</v>
      </c>
      <c r="Z125" s="837"/>
      <c r="AA125" s="837"/>
      <c r="AB125" s="837" t="s">
        <v>604</v>
      </c>
      <c r="AC125" s="837" t="s">
        <v>604</v>
      </c>
      <c r="AD125" s="837" t="s">
        <v>604</v>
      </c>
      <c r="AE125" s="837"/>
      <c r="AF125" s="815" t="s">
        <v>604</v>
      </c>
      <c r="AG125" s="837"/>
      <c r="AH125" s="924">
        <v>209.75</v>
      </c>
      <c r="AI125" s="925">
        <v>37</v>
      </c>
    </row>
    <row r="126" spans="1:35" ht="21.95" customHeight="1" thickBot="1">
      <c r="A126" s="576"/>
      <c r="B126" s="804" t="s">
        <v>623</v>
      </c>
      <c r="C126" s="837"/>
      <c r="D126" s="837" t="s">
        <v>606</v>
      </c>
      <c r="E126" s="837"/>
      <c r="F126" s="837"/>
      <c r="G126" s="1023" t="s">
        <v>606</v>
      </c>
      <c r="H126" s="1023" t="s">
        <v>606</v>
      </c>
      <c r="I126" s="1023" t="s">
        <v>606</v>
      </c>
      <c r="J126" s="1023" t="s">
        <v>606</v>
      </c>
      <c r="K126" s="1023" t="s">
        <v>606</v>
      </c>
      <c r="L126" s="837"/>
      <c r="M126" s="837"/>
      <c r="N126" s="837" t="s">
        <v>606</v>
      </c>
      <c r="O126" s="837" t="s">
        <v>606</v>
      </c>
      <c r="P126" s="837" t="s">
        <v>606</v>
      </c>
      <c r="Q126" s="1011" t="s">
        <v>606</v>
      </c>
      <c r="R126" s="837"/>
      <c r="S126" s="837"/>
      <c r="T126" s="837"/>
      <c r="U126" s="837" t="s">
        <v>606</v>
      </c>
      <c r="V126" s="1003" t="s">
        <v>606</v>
      </c>
      <c r="W126" s="837" t="s">
        <v>606</v>
      </c>
      <c r="X126" s="837" t="s">
        <v>606</v>
      </c>
      <c r="Y126" s="837" t="s">
        <v>606</v>
      </c>
      <c r="Z126" s="837"/>
      <c r="AA126" s="837"/>
      <c r="AB126" s="837" t="s">
        <v>606</v>
      </c>
      <c r="AC126" s="837" t="s">
        <v>606</v>
      </c>
      <c r="AD126" s="837" t="s">
        <v>606</v>
      </c>
      <c r="AE126" s="837"/>
      <c r="AF126" s="837" t="s">
        <v>606</v>
      </c>
      <c r="AG126" s="837"/>
      <c r="AH126" s="924">
        <v>185</v>
      </c>
      <c r="AI126" s="925">
        <v>37</v>
      </c>
    </row>
    <row r="127" spans="1:35" ht="21.95" customHeight="1" thickBot="1">
      <c r="A127" s="576"/>
      <c r="B127" s="804" t="s">
        <v>624</v>
      </c>
      <c r="C127" s="837"/>
      <c r="D127" s="837" t="s">
        <v>607</v>
      </c>
      <c r="E127" s="837"/>
      <c r="F127" s="837"/>
      <c r="G127" s="837" t="s">
        <v>607</v>
      </c>
      <c r="H127" s="837" t="s">
        <v>607</v>
      </c>
      <c r="I127" s="837" t="s">
        <v>607</v>
      </c>
      <c r="J127" s="763" t="s">
        <v>607</v>
      </c>
      <c r="K127" s="837" t="s">
        <v>607</v>
      </c>
      <c r="L127" s="837"/>
      <c r="M127" s="837"/>
      <c r="N127" s="837" t="s">
        <v>607</v>
      </c>
      <c r="O127" s="837" t="s">
        <v>607</v>
      </c>
      <c r="P127" s="837" t="s">
        <v>607</v>
      </c>
      <c r="Q127" s="1011" t="s">
        <v>607</v>
      </c>
      <c r="R127" s="837"/>
      <c r="S127" s="837"/>
      <c r="T127" s="837"/>
      <c r="U127" s="1023" t="s">
        <v>625</v>
      </c>
      <c r="V127" s="1003" t="s">
        <v>607</v>
      </c>
      <c r="W127" s="837" t="s">
        <v>607</v>
      </c>
      <c r="X127" s="837" t="s">
        <v>607</v>
      </c>
      <c r="Y127" s="837" t="s">
        <v>607</v>
      </c>
      <c r="Z127" s="837"/>
      <c r="AA127" s="837"/>
      <c r="AB127" s="1023" t="s">
        <v>625</v>
      </c>
      <c r="AC127" s="815" t="s">
        <v>607</v>
      </c>
      <c r="AD127" s="815" t="s">
        <v>607</v>
      </c>
      <c r="AE127" s="815"/>
      <c r="AF127" s="815" t="s">
        <v>607</v>
      </c>
      <c r="AG127" s="815"/>
      <c r="AH127" s="924">
        <v>222</v>
      </c>
      <c r="AI127" s="925">
        <v>37</v>
      </c>
    </row>
    <row r="128" spans="1:35" ht="21.95" customHeight="1" thickBot="1">
      <c r="A128" s="576"/>
      <c r="B128" s="804" t="s">
        <v>626</v>
      </c>
      <c r="C128" s="837"/>
      <c r="D128" s="837" t="s">
        <v>609</v>
      </c>
      <c r="E128" s="837"/>
      <c r="F128" s="837"/>
      <c r="G128" s="837" t="s">
        <v>609</v>
      </c>
      <c r="H128" s="837" t="s">
        <v>609</v>
      </c>
      <c r="I128" s="837" t="s">
        <v>609</v>
      </c>
      <c r="J128" s="763" t="s">
        <v>609</v>
      </c>
      <c r="K128" s="837" t="s">
        <v>609</v>
      </c>
      <c r="L128" s="837"/>
      <c r="M128" s="837"/>
      <c r="N128" s="837" t="s">
        <v>609</v>
      </c>
      <c r="O128" s="1003" t="s">
        <v>609</v>
      </c>
      <c r="P128" s="837" t="s">
        <v>609</v>
      </c>
      <c r="Q128" s="1011" t="s">
        <v>609</v>
      </c>
      <c r="R128" s="837"/>
      <c r="S128" s="837"/>
      <c r="T128" s="837"/>
      <c r="U128" s="837" t="s">
        <v>609</v>
      </c>
      <c r="V128" s="837" t="s">
        <v>609</v>
      </c>
      <c r="W128" s="837" t="s">
        <v>609</v>
      </c>
      <c r="X128" s="837" t="s">
        <v>609</v>
      </c>
      <c r="Y128" s="837" t="s">
        <v>609</v>
      </c>
      <c r="Z128" s="837"/>
      <c r="AA128" s="837"/>
      <c r="AB128" s="837" t="s">
        <v>609</v>
      </c>
      <c r="AC128" s="837" t="s">
        <v>609</v>
      </c>
      <c r="AD128" s="837" t="s">
        <v>609</v>
      </c>
      <c r="AE128" s="837"/>
      <c r="AF128" s="837" t="s">
        <v>609</v>
      </c>
      <c r="AG128" s="837"/>
      <c r="AH128" s="924">
        <v>185</v>
      </c>
      <c r="AI128" s="925">
        <v>37</v>
      </c>
    </row>
    <row r="129" spans="1:35" ht="21.95" customHeight="1">
      <c r="A129" s="576"/>
      <c r="B129" s="804" t="s">
        <v>627</v>
      </c>
      <c r="C129" s="837"/>
      <c r="D129" s="837" t="s">
        <v>611</v>
      </c>
      <c r="E129" s="837"/>
      <c r="F129" s="837"/>
      <c r="G129" s="837" t="s">
        <v>611</v>
      </c>
      <c r="H129" s="837" t="s">
        <v>611</v>
      </c>
      <c r="I129" s="837" t="s">
        <v>628</v>
      </c>
      <c r="J129" s="763" t="s">
        <v>628</v>
      </c>
      <c r="K129" s="837" t="s">
        <v>628</v>
      </c>
      <c r="L129" s="837"/>
      <c r="M129" s="837"/>
      <c r="N129" s="837" t="s">
        <v>611</v>
      </c>
      <c r="O129" s="837" t="s">
        <v>611</v>
      </c>
      <c r="P129" s="837" t="s">
        <v>611</v>
      </c>
      <c r="Q129" s="1011" t="s">
        <v>611</v>
      </c>
      <c r="R129" s="837"/>
      <c r="S129" s="837"/>
      <c r="T129" s="837"/>
      <c r="U129" s="837" t="s">
        <v>611</v>
      </c>
      <c r="V129" s="1003" t="s">
        <v>611</v>
      </c>
      <c r="W129" s="837" t="s">
        <v>611</v>
      </c>
      <c r="X129" s="837" t="s">
        <v>611</v>
      </c>
      <c r="Y129" s="837" t="s">
        <v>611</v>
      </c>
      <c r="Z129" s="837"/>
      <c r="AA129" s="837" t="s">
        <v>485</v>
      </c>
      <c r="AB129" s="837" t="s">
        <v>611</v>
      </c>
      <c r="AC129" s="837" t="s">
        <v>611</v>
      </c>
      <c r="AD129" s="837" t="s">
        <v>611</v>
      </c>
      <c r="AE129" s="837"/>
      <c r="AF129" s="837" t="s">
        <v>611</v>
      </c>
      <c r="AG129" s="837"/>
      <c r="AH129" s="924">
        <v>209.58</v>
      </c>
      <c r="AI129" s="925">
        <v>37</v>
      </c>
    </row>
    <row r="130" spans="1:35" ht="21.95" customHeight="1" thickBot="1">
      <c r="A130" s="576"/>
      <c r="B130" s="886" t="s">
        <v>629</v>
      </c>
      <c r="C130" s="887"/>
      <c r="D130" s="887" t="s">
        <v>613</v>
      </c>
      <c r="E130" s="887"/>
      <c r="F130" s="887"/>
      <c r="G130" s="887" t="s">
        <v>613</v>
      </c>
      <c r="H130" s="887" t="s">
        <v>613</v>
      </c>
      <c r="I130" s="887" t="s">
        <v>613</v>
      </c>
      <c r="J130" s="887" t="s">
        <v>613</v>
      </c>
      <c r="K130" s="887" t="s">
        <v>613</v>
      </c>
      <c r="L130" s="887"/>
      <c r="M130" s="887"/>
      <c r="N130" s="1003" t="s">
        <v>613</v>
      </c>
      <c r="O130" s="887" t="s">
        <v>613</v>
      </c>
      <c r="P130" s="887" t="s">
        <v>613</v>
      </c>
      <c r="Q130" s="1011" t="s">
        <v>613</v>
      </c>
      <c r="R130" s="887"/>
      <c r="S130" s="887"/>
      <c r="T130" s="887"/>
      <c r="U130" s="887" t="s">
        <v>613</v>
      </c>
      <c r="V130" s="887" t="s">
        <v>613</v>
      </c>
      <c r="W130" s="887" t="s">
        <v>613</v>
      </c>
      <c r="X130" s="887" t="s">
        <v>613</v>
      </c>
      <c r="Y130" s="887" t="s">
        <v>613</v>
      </c>
      <c r="Z130" s="887"/>
      <c r="AA130" s="887"/>
      <c r="AB130" s="887" t="s">
        <v>613</v>
      </c>
      <c r="AC130" s="887" t="s">
        <v>613</v>
      </c>
      <c r="AD130" s="887" t="s">
        <v>613</v>
      </c>
      <c r="AE130" s="887"/>
      <c r="AF130" s="887" t="s">
        <v>613</v>
      </c>
      <c r="AG130" s="887"/>
      <c r="AH130" s="868">
        <v>202.75</v>
      </c>
      <c r="AI130" s="869">
        <v>37</v>
      </c>
    </row>
    <row r="131" spans="1:35" ht="21.95" customHeight="1">
      <c r="A131" s="576"/>
      <c r="B131" s="847"/>
      <c r="C131" s="555"/>
      <c r="D131" s="555"/>
      <c r="E131" s="555"/>
      <c r="F131" s="555"/>
      <c r="G131" s="555"/>
      <c r="H131" s="555"/>
      <c r="I131" s="555"/>
      <c r="J131" s="555"/>
      <c r="K131" s="555"/>
      <c r="L131" s="555"/>
      <c r="M131" s="555"/>
      <c r="N131" s="555"/>
      <c r="O131" s="555"/>
      <c r="P131" s="555"/>
      <c r="Q131" s="555"/>
      <c r="R131" s="555"/>
      <c r="S131" s="555"/>
      <c r="T131" s="555"/>
      <c r="U131" s="555"/>
      <c r="V131" s="555"/>
      <c r="W131" s="555"/>
      <c r="X131" s="555"/>
      <c r="Y131" s="555"/>
      <c r="Z131" s="555"/>
      <c r="AA131" s="555"/>
      <c r="AB131" s="555"/>
      <c r="AC131" s="555"/>
      <c r="AD131" s="555"/>
      <c r="AE131" s="555"/>
      <c r="AF131" s="555"/>
      <c r="AG131" s="555"/>
      <c r="AH131" s="556"/>
      <c r="AI131" s="556"/>
    </row>
    <row r="132" spans="1:35" ht="21.95" customHeight="1" thickBot="1">
      <c r="A132" s="805" t="s">
        <v>630</v>
      </c>
      <c r="B132" s="538" t="s">
        <v>631</v>
      </c>
      <c r="C132" s="555"/>
      <c r="D132" s="538"/>
      <c r="E132" s="538"/>
      <c r="F132" s="538"/>
      <c r="G132" s="538"/>
      <c r="H132" s="538"/>
      <c r="I132" s="555"/>
      <c r="J132" s="555"/>
      <c r="K132" s="538"/>
      <c r="L132" s="538"/>
      <c r="M132" s="538"/>
      <c r="N132" s="538"/>
      <c r="O132" s="538"/>
      <c r="P132" s="538"/>
      <c r="Q132" s="555"/>
      <c r="R132" s="538"/>
      <c r="S132" s="538"/>
      <c r="T132" s="538"/>
      <c r="U132" s="538"/>
      <c r="V132" s="538"/>
      <c r="W132" s="555"/>
      <c r="X132" s="555"/>
      <c r="Y132" s="538"/>
      <c r="Z132" s="538"/>
      <c r="AA132" s="538"/>
      <c r="AB132" s="538"/>
      <c r="AC132" s="538"/>
      <c r="AD132" s="538"/>
      <c r="AE132" s="555"/>
      <c r="AF132" s="538"/>
      <c r="AG132" s="538"/>
      <c r="AH132" s="556"/>
      <c r="AI132" s="556"/>
    </row>
    <row r="133" spans="1:35" ht="21.95" customHeight="1">
      <c r="A133" s="576"/>
      <c r="B133" s="806" t="s">
        <v>589</v>
      </c>
      <c r="C133" s="814"/>
      <c r="D133" s="807" t="s">
        <v>2</v>
      </c>
      <c r="E133" s="808"/>
      <c r="F133" s="809"/>
      <c r="G133" s="810"/>
      <c r="H133" s="807" t="s">
        <v>3</v>
      </c>
      <c r="I133" s="808"/>
      <c r="J133" s="809"/>
      <c r="K133" s="810"/>
      <c r="L133" s="807" t="s">
        <v>4</v>
      </c>
      <c r="M133" s="808"/>
      <c r="N133" s="809"/>
      <c r="O133" s="810"/>
      <c r="P133" s="807" t="s">
        <v>5</v>
      </c>
      <c r="Q133" s="808"/>
      <c r="R133" s="809"/>
      <c r="S133" s="810"/>
      <c r="T133" s="807" t="s">
        <v>6</v>
      </c>
      <c r="U133" s="808"/>
      <c r="V133" s="809"/>
      <c r="W133" s="810"/>
      <c r="X133" s="807" t="s">
        <v>7</v>
      </c>
      <c r="Y133" s="808"/>
      <c r="Z133" s="809"/>
      <c r="AA133" s="810"/>
      <c r="AB133" s="807" t="s">
        <v>8</v>
      </c>
      <c r="AC133" s="808"/>
      <c r="AD133" s="808"/>
      <c r="AE133" s="811" t="s">
        <v>10</v>
      </c>
      <c r="AF133" s="808"/>
      <c r="AG133" s="808"/>
      <c r="AH133" s="808"/>
      <c r="AI133" s="812"/>
    </row>
    <row r="134" spans="1:35" ht="21.95" customHeight="1">
      <c r="A134" s="576"/>
      <c r="B134" s="832"/>
      <c r="C134" s="815"/>
      <c r="D134" s="831"/>
      <c r="E134" s="816"/>
      <c r="F134" s="813"/>
      <c r="G134" s="815"/>
      <c r="H134" s="831"/>
      <c r="I134" s="816"/>
      <c r="J134" s="813"/>
      <c r="K134" s="815"/>
      <c r="L134" s="831"/>
      <c r="M134" s="816"/>
      <c r="N134" s="813"/>
      <c r="O134" s="815"/>
      <c r="P134" s="831"/>
      <c r="Q134" s="816"/>
      <c r="R134" s="813"/>
      <c r="S134" s="815"/>
      <c r="T134" s="831"/>
      <c r="U134" s="816"/>
      <c r="V134" s="813"/>
      <c r="W134" s="815"/>
      <c r="X134" s="816"/>
      <c r="Y134" s="816"/>
      <c r="Z134" s="813"/>
      <c r="AA134" s="815"/>
      <c r="AB134" s="816"/>
      <c r="AC134" s="816"/>
      <c r="AD134" s="816"/>
      <c r="AE134" s="815"/>
      <c r="AF134" s="816"/>
      <c r="AG134" s="816"/>
      <c r="AH134" s="818"/>
      <c r="AI134" s="819"/>
    </row>
    <row r="135" spans="1:35" ht="21.95" customHeight="1">
      <c r="A135" s="576"/>
      <c r="B135" s="833"/>
      <c r="C135" s="815"/>
      <c r="D135" s="831"/>
      <c r="E135" s="816"/>
      <c r="F135" s="813"/>
      <c r="G135" s="815"/>
      <c r="H135" s="831"/>
      <c r="I135" s="816"/>
      <c r="J135" s="813"/>
      <c r="K135" s="815"/>
      <c r="L135" s="831"/>
      <c r="M135" s="816"/>
      <c r="N135" s="813"/>
      <c r="O135" s="815"/>
      <c r="P135" s="831"/>
      <c r="Q135" s="816"/>
      <c r="R135" s="813"/>
      <c r="S135" s="815"/>
      <c r="T135" s="831"/>
      <c r="U135" s="816"/>
      <c r="V135" s="813"/>
      <c r="W135" s="815"/>
      <c r="X135" s="816"/>
      <c r="Y135" s="816"/>
      <c r="Z135" s="813"/>
      <c r="AA135" s="815"/>
      <c r="AB135" s="816"/>
      <c r="AC135" s="816"/>
      <c r="AD135" s="816"/>
      <c r="AE135" s="815"/>
      <c r="AF135" s="816"/>
      <c r="AG135" s="816"/>
      <c r="AH135" s="818"/>
      <c r="AI135" s="819"/>
    </row>
    <row r="136" spans="1:35" ht="21.95" customHeight="1">
      <c r="A136" s="576"/>
      <c r="B136" s="833"/>
      <c r="C136" s="815"/>
      <c r="D136" s="831"/>
      <c r="E136" s="816"/>
      <c r="F136" s="813"/>
      <c r="G136" s="815"/>
      <c r="H136" s="831"/>
      <c r="I136" s="816"/>
      <c r="J136" s="813"/>
      <c r="K136" s="815"/>
      <c r="L136" s="831"/>
      <c r="M136" s="816"/>
      <c r="N136" s="813"/>
      <c r="O136" s="815"/>
      <c r="P136" s="831"/>
      <c r="Q136" s="816"/>
      <c r="R136" s="813"/>
      <c r="S136" s="815"/>
      <c r="T136" s="831"/>
      <c r="U136" s="816"/>
      <c r="V136" s="813"/>
      <c r="W136" s="815"/>
      <c r="X136" s="816"/>
      <c r="Y136" s="816"/>
      <c r="Z136" s="813"/>
      <c r="AA136" s="815"/>
      <c r="AB136" s="816"/>
      <c r="AC136" s="816"/>
      <c r="AD136" s="816"/>
      <c r="AE136" s="815"/>
      <c r="AF136" s="816"/>
      <c r="AG136" s="816"/>
      <c r="AH136" s="818"/>
      <c r="AI136" s="819"/>
    </row>
    <row r="137" spans="1:35" ht="21.75" customHeight="1" thickBot="1">
      <c r="A137" s="576"/>
      <c r="B137" s="847"/>
      <c r="C137" s="555"/>
      <c r="D137" s="555"/>
      <c r="E137" s="555"/>
      <c r="F137" s="555"/>
      <c r="G137" s="555"/>
      <c r="H137" s="555"/>
      <c r="I137" s="555"/>
      <c r="J137" s="555"/>
      <c r="K137" s="555"/>
      <c r="L137" s="555"/>
      <c r="M137" s="555"/>
      <c r="N137" s="555"/>
      <c r="O137" s="555"/>
      <c r="P137" s="555"/>
      <c r="Q137" s="555"/>
      <c r="R137" s="555"/>
      <c r="S137" s="555"/>
      <c r="T137" s="555"/>
      <c r="U137" s="555"/>
      <c r="V137" s="555"/>
      <c r="W137" s="555"/>
      <c r="X137" s="555"/>
      <c r="Y137" s="555"/>
      <c r="Z137" s="555"/>
      <c r="AA137" s="555"/>
      <c r="AB137" s="555"/>
      <c r="AC137" s="555"/>
      <c r="AD137" s="555"/>
      <c r="AE137" s="555"/>
      <c r="AF137" s="555"/>
      <c r="AG137" s="555"/>
      <c r="AH137" s="556"/>
      <c r="AI137" s="556"/>
    </row>
    <row r="138" spans="1:35" ht="21.95" customHeight="1" thickBot="1">
      <c r="A138" s="785"/>
      <c r="B138" s="883" t="s">
        <v>476</v>
      </c>
      <c r="C138" s="880">
        <v>1</v>
      </c>
      <c r="D138" s="863">
        <v>2</v>
      </c>
      <c r="E138" s="880">
        <v>3</v>
      </c>
      <c r="F138" s="880">
        <v>4</v>
      </c>
      <c r="G138" s="863">
        <v>5</v>
      </c>
      <c r="H138" s="863">
        <v>6</v>
      </c>
      <c r="I138" s="863">
        <v>7</v>
      </c>
      <c r="J138" s="863">
        <v>8</v>
      </c>
      <c r="K138" s="863">
        <v>9</v>
      </c>
      <c r="L138" s="880">
        <v>10</v>
      </c>
      <c r="M138" s="880">
        <v>11</v>
      </c>
      <c r="N138" s="863">
        <v>12</v>
      </c>
      <c r="O138" s="863">
        <v>13</v>
      </c>
      <c r="P138" s="863">
        <v>14</v>
      </c>
      <c r="Q138" s="863">
        <v>15</v>
      </c>
      <c r="R138" s="880">
        <v>16</v>
      </c>
      <c r="S138" s="880">
        <v>17</v>
      </c>
      <c r="T138" s="880">
        <v>18</v>
      </c>
      <c r="U138" s="863">
        <v>19</v>
      </c>
      <c r="V138" s="863">
        <v>20</v>
      </c>
      <c r="W138" s="863">
        <v>21</v>
      </c>
      <c r="X138" s="863">
        <v>22</v>
      </c>
      <c r="Y138" s="863">
        <v>23</v>
      </c>
      <c r="Z138" s="880">
        <v>24</v>
      </c>
      <c r="AA138" s="880">
        <v>25</v>
      </c>
      <c r="AB138" s="863">
        <v>26</v>
      </c>
      <c r="AC138" s="863">
        <v>27</v>
      </c>
      <c r="AD138" s="863">
        <v>28</v>
      </c>
      <c r="AE138" s="880">
        <v>29</v>
      </c>
      <c r="AF138" s="863">
        <v>30</v>
      </c>
      <c r="AG138" s="880">
        <v>31</v>
      </c>
      <c r="AH138" s="884" t="s">
        <v>477</v>
      </c>
      <c r="AI138" s="885" t="s">
        <v>478</v>
      </c>
    </row>
    <row r="139" spans="1:35" ht="21.95" customHeight="1">
      <c r="A139" s="576"/>
      <c r="B139" s="993" t="s">
        <v>632</v>
      </c>
      <c r="C139" s="764"/>
      <c r="D139" s="764" t="s">
        <v>491</v>
      </c>
      <c r="E139" s="764"/>
      <c r="F139" s="764"/>
      <c r="G139" s="764" t="s">
        <v>491</v>
      </c>
      <c r="H139" s="764" t="s">
        <v>491</v>
      </c>
      <c r="I139" s="764" t="s">
        <v>491</v>
      </c>
      <c r="J139" s="764" t="s">
        <v>491</v>
      </c>
      <c r="K139" s="764" t="s">
        <v>491</v>
      </c>
      <c r="L139" s="764"/>
      <c r="M139" s="764"/>
      <c r="N139" s="764" t="s">
        <v>491</v>
      </c>
      <c r="O139" s="764" t="s">
        <v>491</v>
      </c>
      <c r="P139" s="764" t="s">
        <v>491</v>
      </c>
      <c r="Q139" s="764" t="s">
        <v>491</v>
      </c>
      <c r="R139" s="764"/>
      <c r="S139" s="764"/>
      <c r="T139" s="764"/>
      <c r="U139" s="764" t="s">
        <v>491</v>
      </c>
      <c r="V139" s="764" t="s">
        <v>491</v>
      </c>
      <c r="W139" s="764" t="s">
        <v>491</v>
      </c>
      <c r="X139" s="764" t="s">
        <v>491</v>
      </c>
      <c r="Y139" s="764" t="s">
        <v>491</v>
      </c>
      <c r="Z139" s="764"/>
      <c r="AA139" s="764"/>
      <c r="AB139" s="764" t="s">
        <v>491</v>
      </c>
      <c r="AC139" s="764" t="s">
        <v>491</v>
      </c>
      <c r="AD139" s="764" t="s">
        <v>491</v>
      </c>
      <c r="AE139" s="764"/>
      <c r="AF139" s="764" t="s">
        <v>491</v>
      </c>
      <c r="AG139" s="882"/>
      <c r="AH139" s="510">
        <v>215.5</v>
      </c>
      <c r="AI139" s="511">
        <v>37</v>
      </c>
    </row>
    <row r="140" spans="1:35" ht="21.95" customHeight="1" thickBot="1">
      <c r="A140" s="576"/>
      <c r="B140" s="993" t="s">
        <v>633</v>
      </c>
      <c r="C140" s="764"/>
      <c r="D140" s="764" t="s">
        <v>491</v>
      </c>
      <c r="E140" s="764"/>
      <c r="F140" s="764"/>
      <c r="G140" s="764" t="s">
        <v>491</v>
      </c>
      <c r="H140" s="764" t="s">
        <v>491</v>
      </c>
      <c r="I140" s="764" t="s">
        <v>491</v>
      </c>
      <c r="J140" s="764" t="s">
        <v>491</v>
      </c>
      <c r="K140" s="764" t="s">
        <v>491</v>
      </c>
      <c r="L140" s="764"/>
      <c r="M140" s="764"/>
      <c r="N140" s="764" t="s">
        <v>491</v>
      </c>
      <c r="O140" s="764" t="s">
        <v>491</v>
      </c>
      <c r="P140" s="764" t="s">
        <v>491</v>
      </c>
      <c r="Q140" s="764" t="s">
        <v>491</v>
      </c>
      <c r="R140" s="764"/>
      <c r="S140" s="764"/>
      <c r="T140" s="764"/>
      <c r="U140" s="764" t="s">
        <v>491</v>
      </c>
      <c r="V140" s="764" t="s">
        <v>491</v>
      </c>
      <c r="W140" s="764" t="s">
        <v>491</v>
      </c>
      <c r="X140" s="764" t="s">
        <v>491</v>
      </c>
      <c r="Y140" s="764" t="s">
        <v>491</v>
      </c>
      <c r="Z140" s="764"/>
      <c r="AA140" s="764"/>
      <c r="AB140" s="764" t="s">
        <v>491</v>
      </c>
      <c r="AC140" s="764" t="s">
        <v>491</v>
      </c>
      <c r="AD140" s="764" t="s">
        <v>491</v>
      </c>
      <c r="AE140" s="764"/>
      <c r="AF140" s="764" t="s">
        <v>491</v>
      </c>
      <c r="AG140" s="882"/>
      <c r="AH140" s="924">
        <v>185</v>
      </c>
      <c r="AI140" s="925">
        <v>37</v>
      </c>
    </row>
    <row r="141" spans="1:35" ht="21.95" customHeight="1">
      <c r="A141" s="576"/>
      <c r="B141" s="993" t="s">
        <v>634</v>
      </c>
      <c r="C141" s="764"/>
      <c r="D141" s="764" t="s">
        <v>491</v>
      </c>
      <c r="E141" s="764"/>
      <c r="F141" s="764"/>
      <c r="G141" s="764" t="s">
        <v>491</v>
      </c>
      <c r="H141" s="764" t="s">
        <v>491</v>
      </c>
      <c r="I141" s="764" t="s">
        <v>491</v>
      </c>
      <c r="J141" s="763" t="s">
        <v>485</v>
      </c>
      <c r="K141" s="764" t="s">
        <v>491</v>
      </c>
      <c r="L141" s="764"/>
      <c r="M141" s="764"/>
      <c r="N141" s="764" t="s">
        <v>491</v>
      </c>
      <c r="O141" s="764" t="s">
        <v>491</v>
      </c>
      <c r="P141" s="764" t="s">
        <v>491</v>
      </c>
      <c r="Q141" s="764" t="s">
        <v>491</v>
      </c>
      <c r="R141" s="764"/>
      <c r="S141" s="764"/>
      <c r="T141" s="764"/>
      <c r="U141" s="764" t="s">
        <v>491</v>
      </c>
      <c r="V141" s="764" t="s">
        <v>491</v>
      </c>
      <c r="W141" s="764" t="s">
        <v>491</v>
      </c>
      <c r="X141" s="764" t="s">
        <v>491</v>
      </c>
      <c r="Y141" s="764" t="s">
        <v>491</v>
      </c>
      <c r="Z141" s="764"/>
      <c r="AA141" s="764"/>
      <c r="AB141" s="764" t="s">
        <v>491</v>
      </c>
      <c r="AC141" s="764" t="s">
        <v>491</v>
      </c>
      <c r="AD141" s="764" t="s">
        <v>491</v>
      </c>
      <c r="AE141" s="764"/>
      <c r="AF141" s="764" t="s">
        <v>491</v>
      </c>
      <c r="AG141" s="882"/>
      <c r="AH141" s="924">
        <v>185</v>
      </c>
      <c r="AI141" s="925">
        <v>37</v>
      </c>
    </row>
    <row r="142" spans="1:35" ht="21.95" customHeight="1" thickBot="1">
      <c r="A142" s="576"/>
      <c r="B142" s="994" t="s">
        <v>635</v>
      </c>
      <c r="C142" s="764" t="s">
        <v>28</v>
      </c>
      <c r="D142" s="764" t="s">
        <v>491</v>
      </c>
      <c r="E142" s="764"/>
      <c r="F142" s="764"/>
      <c r="G142" s="764" t="s">
        <v>491</v>
      </c>
      <c r="H142" s="764" t="s">
        <v>491</v>
      </c>
      <c r="I142" s="764" t="s">
        <v>491</v>
      </c>
      <c r="J142" s="764" t="s">
        <v>491</v>
      </c>
      <c r="K142" s="764" t="s">
        <v>491</v>
      </c>
      <c r="L142" s="764"/>
      <c r="M142" s="764"/>
      <c r="N142" s="764" t="s">
        <v>491</v>
      </c>
      <c r="O142" s="764" t="s">
        <v>491</v>
      </c>
      <c r="P142" s="764" t="s">
        <v>491</v>
      </c>
      <c r="Q142" s="764" t="s">
        <v>491</v>
      </c>
      <c r="R142" s="764"/>
      <c r="S142" s="764"/>
      <c r="T142" s="764"/>
      <c r="U142" s="764" t="s">
        <v>491</v>
      </c>
      <c r="V142" s="764" t="s">
        <v>491</v>
      </c>
      <c r="W142" s="764" t="s">
        <v>491</v>
      </c>
      <c r="X142" s="764" t="s">
        <v>491</v>
      </c>
      <c r="Y142" s="764" t="s">
        <v>491</v>
      </c>
      <c r="Z142" s="764"/>
      <c r="AA142" s="764"/>
      <c r="AB142" s="764" t="s">
        <v>491</v>
      </c>
      <c r="AC142" s="764" t="s">
        <v>491</v>
      </c>
      <c r="AD142" s="764" t="s">
        <v>491</v>
      </c>
      <c r="AE142" s="764"/>
      <c r="AF142" s="764" t="s">
        <v>491</v>
      </c>
      <c r="AG142" s="882"/>
      <c r="AH142" s="924">
        <v>185</v>
      </c>
      <c r="AI142" s="925">
        <v>37</v>
      </c>
    </row>
    <row r="143" spans="1:35" ht="21.95" customHeight="1">
      <c r="A143" s="576"/>
      <c r="B143" s="993" t="s">
        <v>636</v>
      </c>
      <c r="C143" s="764"/>
      <c r="D143" s="764" t="s">
        <v>491</v>
      </c>
      <c r="E143" s="764"/>
      <c r="F143" s="764"/>
      <c r="G143" s="764" t="s">
        <v>491</v>
      </c>
      <c r="H143" s="764" t="s">
        <v>491</v>
      </c>
      <c r="I143" s="764" t="s">
        <v>491</v>
      </c>
      <c r="J143" s="763" t="s">
        <v>485</v>
      </c>
      <c r="K143" s="764" t="s">
        <v>491</v>
      </c>
      <c r="L143" s="764"/>
      <c r="M143" s="764"/>
      <c r="N143" s="764" t="s">
        <v>491</v>
      </c>
      <c r="O143" s="764" t="s">
        <v>491</v>
      </c>
      <c r="P143" s="764" t="s">
        <v>491</v>
      </c>
      <c r="Q143" s="764" t="s">
        <v>491</v>
      </c>
      <c r="R143" s="764"/>
      <c r="S143" s="764"/>
      <c r="T143" s="764"/>
      <c r="U143" s="764" t="s">
        <v>491</v>
      </c>
      <c r="V143" s="764" t="s">
        <v>491</v>
      </c>
      <c r="W143" s="764" t="s">
        <v>491</v>
      </c>
      <c r="X143" s="764" t="s">
        <v>491</v>
      </c>
      <c r="Y143" s="764" t="s">
        <v>491</v>
      </c>
      <c r="Z143" s="764"/>
      <c r="AA143" s="764"/>
      <c r="AB143" s="764" t="s">
        <v>491</v>
      </c>
      <c r="AC143" s="764" t="s">
        <v>491</v>
      </c>
      <c r="AD143" s="764" t="s">
        <v>491</v>
      </c>
      <c r="AE143" s="764"/>
      <c r="AF143" s="764" t="s">
        <v>491</v>
      </c>
      <c r="AG143" s="882"/>
      <c r="AH143" s="924">
        <v>185</v>
      </c>
      <c r="AI143" s="925">
        <v>37</v>
      </c>
    </row>
    <row r="144" spans="1:35" ht="21.95" customHeight="1">
      <c r="A144" s="576"/>
      <c r="B144" s="995" t="s">
        <v>637</v>
      </c>
      <c r="C144" s="772"/>
      <c r="D144" s="764" t="s">
        <v>491</v>
      </c>
      <c r="E144" s="764"/>
      <c r="F144" s="764"/>
      <c r="G144" s="764" t="s">
        <v>491</v>
      </c>
      <c r="H144" s="764" t="s">
        <v>491</v>
      </c>
      <c r="I144" s="764" t="s">
        <v>491</v>
      </c>
      <c r="J144" s="764" t="s">
        <v>491</v>
      </c>
      <c r="K144" s="764" t="s">
        <v>491</v>
      </c>
      <c r="L144" s="764"/>
      <c r="M144" s="764"/>
      <c r="N144" s="764" t="s">
        <v>491</v>
      </c>
      <c r="O144" s="764" t="s">
        <v>491</v>
      </c>
      <c r="P144" s="764" t="s">
        <v>491</v>
      </c>
      <c r="Q144" s="764" t="s">
        <v>491</v>
      </c>
      <c r="R144" s="764"/>
      <c r="S144" s="764"/>
      <c r="T144" s="764"/>
      <c r="U144" s="764" t="s">
        <v>491</v>
      </c>
      <c r="V144" s="764" t="s">
        <v>491</v>
      </c>
      <c r="W144" s="764" t="s">
        <v>491</v>
      </c>
      <c r="X144" s="764" t="s">
        <v>491</v>
      </c>
      <c r="Y144" s="764" t="s">
        <v>491</v>
      </c>
      <c r="Z144" s="764"/>
      <c r="AA144" s="764"/>
      <c r="AB144" s="764" t="s">
        <v>491</v>
      </c>
      <c r="AC144" s="764" t="s">
        <v>491</v>
      </c>
      <c r="AD144" s="764" t="s">
        <v>491</v>
      </c>
      <c r="AE144" s="764"/>
      <c r="AF144" s="764" t="s">
        <v>491</v>
      </c>
      <c r="AG144" s="997"/>
      <c r="AH144" s="597">
        <v>185</v>
      </c>
      <c r="AI144" s="598">
        <v>37</v>
      </c>
    </row>
    <row r="145" spans="1:36" ht="21.95" customHeight="1" thickBot="1">
      <c r="A145" s="576"/>
      <c r="B145" s="996" t="s">
        <v>638</v>
      </c>
      <c r="C145" s="851"/>
      <c r="D145" s="764" t="s">
        <v>491</v>
      </c>
      <c r="E145" s="764"/>
      <c r="F145" s="764"/>
      <c r="G145" s="764" t="s">
        <v>491</v>
      </c>
      <c r="H145" s="764" t="s">
        <v>491</v>
      </c>
      <c r="I145" s="764" t="s">
        <v>491</v>
      </c>
      <c r="J145" s="764" t="s">
        <v>491</v>
      </c>
      <c r="K145" s="764" t="s">
        <v>491</v>
      </c>
      <c r="L145" s="764"/>
      <c r="M145" s="764"/>
      <c r="N145" s="764" t="s">
        <v>491</v>
      </c>
      <c r="O145" s="764" t="s">
        <v>491</v>
      </c>
      <c r="P145" s="764" t="s">
        <v>491</v>
      </c>
      <c r="Q145" s="764" t="s">
        <v>491</v>
      </c>
      <c r="R145" s="764"/>
      <c r="S145" s="764"/>
      <c r="T145" s="764"/>
      <c r="U145" s="764" t="s">
        <v>491</v>
      </c>
      <c r="V145" s="764" t="s">
        <v>491</v>
      </c>
      <c r="W145" s="764" t="s">
        <v>491</v>
      </c>
      <c r="X145" s="764" t="s">
        <v>491</v>
      </c>
      <c r="Y145" s="764" t="s">
        <v>491</v>
      </c>
      <c r="Z145" s="764"/>
      <c r="AA145" s="875"/>
      <c r="AB145" s="768" t="s">
        <v>485</v>
      </c>
      <c r="AC145" s="764" t="s">
        <v>491</v>
      </c>
      <c r="AD145" s="764" t="s">
        <v>491</v>
      </c>
      <c r="AE145" s="764"/>
      <c r="AF145" s="764" t="s">
        <v>491</v>
      </c>
      <c r="AG145" s="851"/>
      <c r="AH145" s="998"/>
      <c r="AI145" s="998"/>
    </row>
    <row r="146" spans="1:36" ht="21.95" customHeight="1" thickBot="1">
      <c r="A146" s="805" t="s">
        <v>639</v>
      </c>
      <c r="B146" s="538"/>
      <c r="C146" s="555"/>
      <c r="D146" s="538"/>
      <c r="E146" s="538"/>
      <c r="F146" s="538"/>
      <c r="G146" s="538"/>
      <c r="H146" s="538"/>
      <c r="I146" s="555"/>
      <c r="J146" s="555"/>
      <c r="K146" s="538"/>
      <c r="L146" s="538"/>
      <c r="M146" s="538"/>
      <c r="N146" s="538"/>
      <c r="O146" s="538"/>
      <c r="P146" s="538"/>
      <c r="Q146" s="555"/>
      <c r="R146" s="538"/>
      <c r="S146" s="538"/>
      <c r="T146" s="538"/>
      <c r="U146" s="538"/>
      <c r="V146" s="538"/>
      <c r="W146" s="555"/>
      <c r="X146" s="555"/>
      <c r="Y146" s="538"/>
      <c r="Z146" s="538"/>
      <c r="AA146" s="538"/>
      <c r="AB146" s="538"/>
      <c r="AC146" s="538"/>
      <c r="AD146" s="538"/>
      <c r="AE146" s="555"/>
      <c r="AF146" s="538"/>
      <c r="AG146" s="538"/>
      <c r="AH146" s="556"/>
      <c r="AI146" s="556"/>
    </row>
    <row r="147" spans="1:36" ht="21.95" customHeight="1">
      <c r="A147" s="576"/>
      <c r="B147" s="806" t="s">
        <v>589</v>
      </c>
      <c r="C147" s="814"/>
      <c r="D147" s="807" t="s">
        <v>2</v>
      </c>
      <c r="E147" s="808"/>
      <c r="F147" s="809"/>
      <c r="G147" s="810"/>
      <c r="H147" s="807" t="s">
        <v>3</v>
      </c>
      <c r="I147" s="808"/>
      <c r="J147" s="809"/>
      <c r="K147" s="810"/>
      <c r="L147" s="807" t="s">
        <v>4</v>
      </c>
      <c r="M147" s="808"/>
      <c r="N147" s="809"/>
      <c r="O147" s="810"/>
      <c r="P147" s="807" t="s">
        <v>5</v>
      </c>
      <c r="Q147" s="808"/>
      <c r="R147" s="809"/>
      <c r="S147" s="810"/>
      <c r="T147" s="807" t="s">
        <v>6</v>
      </c>
      <c r="U147" s="808"/>
      <c r="V147" s="809"/>
      <c r="W147" s="810"/>
      <c r="X147" s="807" t="s">
        <v>7</v>
      </c>
      <c r="Y147" s="808"/>
      <c r="Z147" s="809"/>
      <c r="AA147" s="810"/>
      <c r="AB147" s="807" t="s">
        <v>8</v>
      </c>
      <c r="AC147" s="808"/>
      <c r="AD147" s="808"/>
      <c r="AE147" s="811" t="s">
        <v>10</v>
      </c>
      <c r="AF147" s="808"/>
      <c r="AG147" s="808"/>
      <c r="AH147" s="808"/>
      <c r="AI147" s="812"/>
    </row>
    <row r="148" spans="1:36" ht="21.95" customHeight="1">
      <c r="A148" s="576"/>
      <c r="B148" s="832"/>
      <c r="C148" s="815"/>
      <c r="D148" s="831"/>
      <c r="E148" s="816"/>
      <c r="F148" s="813"/>
      <c r="G148" s="815"/>
      <c r="H148" s="831"/>
      <c r="I148" s="816"/>
      <c r="J148" s="813"/>
      <c r="K148" s="815"/>
      <c r="L148" s="831"/>
      <c r="M148" s="816"/>
      <c r="N148" s="813"/>
      <c r="O148" s="815"/>
      <c r="P148" s="831"/>
      <c r="Q148" s="816"/>
      <c r="R148" s="813"/>
      <c r="S148" s="815"/>
      <c r="T148" s="831"/>
      <c r="U148" s="816"/>
      <c r="V148" s="813"/>
      <c r="W148" s="815"/>
      <c r="X148" s="816"/>
      <c r="Y148" s="816"/>
      <c r="Z148" s="813"/>
      <c r="AA148" s="815"/>
      <c r="AB148" s="816"/>
      <c r="AC148" s="816"/>
      <c r="AD148" s="816"/>
      <c r="AE148" s="815"/>
      <c r="AF148" s="816"/>
      <c r="AG148" s="816"/>
      <c r="AH148" s="818"/>
      <c r="AI148" s="819"/>
    </row>
    <row r="149" spans="1:36" ht="21.95" customHeight="1">
      <c r="A149" s="576"/>
      <c r="B149" s="833"/>
      <c r="C149" s="815"/>
      <c r="D149" s="831"/>
      <c r="E149" s="816"/>
      <c r="F149" s="813"/>
      <c r="G149" s="815"/>
      <c r="H149" s="831"/>
      <c r="I149" s="816"/>
      <c r="J149" s="813"/>
      <c r="K149" s="815"/>
      <c r="L149" s="831"/>
      <c r="M149" s="816"/>
      <c r="N149" s="813"/>
      <c r="O149" s="815"/>
      <c r="P149" s="831"/>
      <c r="Q149" s="816"/>
      <c r="R149" s="813"/>
      <c r="S149" s="815"/>
      <c r="T149" s="831"/>
      <c r="U149" s="816"/>
      <c r="V149" s="813"/>
      <c r="W149" s="815"/>
      <c r="X149" s="816"/>
      <c r="Y149" s="816"/>
      <c r="Z149" s="813"/>
      <c r="AA149" s="815"/>
      <c r="AB149" s="816"/>
      <c r="AC149" s="816"/>
      <c r="AD149" s="816"/>
      <c r="AE149" s="815"/>
      <c r="AF149" s="816"/>
      <c r="AG149" s="816"/>
      <c r="AH149" s="818"/>
      <c r="AI149" s="819"/>
    </row>
    <row r="150" spans="1:36" ht="21.95" customHeight="1">
      <c r="A150" s="576"/>
      <c r="B150" s="833"/>
      <c r="C150" s="815"/>
      <c r="D150" s="831"/>
      <c r="E150" s="816"/>
      <c r="F150" s="813"/>
      <c r="G150" s="815"/>
      <c r="H150" s="831"/>
      <c r="I150" s="816"/>
      <c r="J150" s="813"/>
      <c r="K150" s="815"/>
      <c r="L150" s="831"/>
      <c r="M150" s="816"/>
      <c r="N150" s="813"/>
      <c r="O150" s="815"/>
      <c r="P150" s="831"/>
      <c r="Q150" s="816"/>
      <c r="R150" s="813"/>
      <c r="S150" s="815"/>
      <c r="T150" s="831"/>
      <c r="U150" s="816"/>
      <c r="V150" s="813"/>
      <c r="W150" s="815"/>
      <c r="X150" s="816"/>
      <c r="Y150" s="816"/>
      <c r="Z150" s="813"/>
      <c r="AA150" s="815"/>
      <c r="AB150" s="816"/>
      <c r="AC150" s="816"/>
      <c r="AD150" s="816"/>
      <c r="AE150" s="815"/>
      <c r="AF150" s="816"/>
      <c r="AG150" s="816"/>
      <c r="AH150" s="818"/>
      <c r="AI150" s="819"/>
    </row>
    <row r="151" spans="1:36" ht="21.95" customHeight="1" thickBot="1">
      <c r="A151" s="576"/>
      <c r="B151" s="847"/>
      <c r="C151" s="555"/>
      <c r="D151" s="555"/>
      <c r="E151" s="555"/>
      <c r="F151" s="555"/>
      <c r="G151" s="555"/>
      <c r="H151" s="555"/>
      <c r="I151" s="555"/>
      <c r="J151" s="555"/>
      <c r="K151" s="555"/>
      <c r="L151" s="555"/>
      <c r="M151" s="555"/>
      <c r="N151" s="555"/>
      <c r="O151" s="555"/>
      <c r="P151" s="555"/>
      <c r="Q151" s="555"/>
      <c r="R151" s="555"/>
      <c r="S151" s="555"/>
      <c r="T151" s="555"/>
      <c r="U151" s="555"/>
      <c r="V151" s="555"/>
      <c r="W151" s="555"/>
      <c r="X151" s="555"/>
      <c r="Y151" s="555"/>
      <c r="Z151" s="555"/>
      <c r="AA151" s="555"/>
      <c r="AB151" s="555"/>
      <c r="AC151" s="555"/>
      <c r="AD151" s="555"/>
      <c r="AE151" s="555"/>
      <c r="AF151" s="555"/>
      <c r="AG151" s="555"/>
      <c r="AH151" s="556"/>
      <c r="AI151" s="556"/>
    </row>
    <row r="152" spans="1:36" ht="21.95" customHeight="1" thickBot="1">
      <c r="A152" s="785"/>
      <c r="B152" s="883" t="s">
        <v>476</v>
      </c>
      <c r="C152" s="880">
        <v>1</v>
      </c>
      <c r="D152" s="863">
        <v>2</v>
      </c>
      <c r="E152" s="880">
        <v>3</v>
      </c>
      <c r="F152" s="880">
        <v>4</v>
      </c>
      <c r="G152" s="863">
        <v>5</v>
      </c>
      <c r="H152" s="863">
        <v>6</v>
      </c>
      <c r="I152" s="863">
        <v>7</v>
      </c>
      <c r="J152" s="863">
        <v>8</v>
      </c>
      <c r="K152" s="863">
        <v>9</v>
      </c>
      <c r="L152" s="880">
        <v>10</v>
      </c>
      <c r="M152" s="880">
        <v>11</v>
      </c>
      <c r="N152" s="863">
        <v>12</v>
      </c>
      <c r="O152" s="863">
        <v>13</v>
      </c>
      <c r="P152" s="863">
        <v>14</v>
      </c>
      <c r="Q152" s="863">
        <v>15</v>
      </c>
      <c r="R152" s="880">
        <v>16</v>
      </c>
      <c r="S152" s="880">
        <v>17</v>
      </c>
      <c r="T152" s="880">
        <v>18</v>
      </c>
      <c r="U152" s="863">
        <v>19</v>
      </c>
      <c r="V152" s="863">
        <v>20</v>
      </c>
      <c r="W152" s="863">
        <v>21</v>
      </c>
      <c r="X152" s="863">
        <v>22</v>
      </c>
      <c r="Y152" s="863">
        <v>23</v>
      </c>
      <c r="Z152" s="880">
        <v>24</v>
      </c>
      <c r="AA152" s="880">
        <v>25</v>
      </c>
      <c r="AB152" s="863">
        <v>26</v>
      </c>
      <c r="AC152" s="863">
        <v>27</v>
      </c>
      <c r="AD152" s="863">
        <v>28</v>
      </c>
      <c r="AE152" s="880">
        <v>29</v>
      </c>
      <c r="AF152" s="863">
        <v>30</v>
      </c>
      <c r="AG152" s="880">
        <v>31</v>
      </c>
      <c r="AH152" s="884" t="s">
        <v>477</v>
      </c>
      <c r="AI152" s="885" t="s">
        <v>478</v>
      </c>
    </row>
    <row r="153" spans="1:36" ht="21.95" customHeight="1">
      <c r="A153" s="576"/>
      <c r="B153" s="890" t="s">
        <v>640</v>
      </c>
      <c r="C153" s="972" t="s">
        <v>28</v>
      </c>
      <c r="D153" s="972" t="s">
        <v>491</v>
      </c>
      <c r="E153" s="972"/>
      <c r="F153" s="972"/>
      <c r="G153" s="972" t="s">
        <v>491</v>
      </c>
      <c r="H153" s="972" t="s">
        <v>491</v>
      </c>
      <c r="I153" s="972" t="s">
        <v>491</v>
      </c>
      <c r="J153" s="972" t="s">
        <v>491</v>
      </c>
      <c r="K153" s="972" t="s">
        <v>491</v>
      </c>
      <c r="L153" s="972"/>
      <c r="M153" s="972"/>
      <c r="N153" s="972" t="s">
        <v>491</v>
      </c>
      <c r="O153" s="972" t="s">
        <v>491</v>
      </c>
      <c r="P153" s="972" t="s">
        <v>491</v>
      </c>
      <c r="Q153" s="972" t="s">
        <v>491</v>
      </c>
      <c r="R153" s="764"/>
      <c r="S153" s="764"/>
      <c r="T153" s="764"/>
      <c r="U153" s="764" t="s">
        <v>491</v>
      </c>
      <c r="V153" s="764" t="s">
        <v>491</v>
      </c>
      <c r="W153" s="764" t="s">
        <v>491</v>
      </c>
      <c r="X153" s="764" t="s">
        <v>491</v>
      </c>
      <c r="Y153" s="764" t="s">
        <v>491</v>
      </c>
      <c r="Z153" s="764"/>
      <c r="AA153" s="764"/>
      <c r="AB153" s="764" t="s">
        <v>491</v>
      </c>
      <c r="AC153" s="764" t="s">
        <v>491</v>
      </c>
      <c r="AD153" s="764" t="s">
        <v>491</v>
      </c>
      <c r="AE153" s="764"/>
      <c r="AF153" s="764" t="s">
        <v>491</v>
      </c>
      <c r="AG153" s="882"/>
      <c r="AH153" s="510">
        <v>148</v>
      </c>
      <c r="AI153" s="511">
        <v>37</v>
      </c>
    </row>
    <row r="154" spans="1:36" ht="21.95" customHeight="1">
      <c r="A154" s="576"/>
      <c r="B154" s="821"/>
      <c r="C154" s="764" t="s">
        <v>28</v>
      </c>
      <c r="D154" s="764" t="s">
        <v>491</v>
      </c>
      <c r="E154" s="764"/>
      <c r="F154" s="764"/>
      <c r="G154" s="764" t="s">
        <v>491</v>
      </c>
      <c r="H154" s="764" t="s">
        <v>491</v>
      </c>
      <c r="I154" s="764" t="s">
        <v>491</v>
      </c>
      <c r="J154" s="764" t="s">
        <v>491</v>
      </c>
      <c r="K154" s="764" t="s">
        <v>491</v>
      </c>
      <c r="L154" s="764"/>
      <c r="M154" s="764"/>
      <c r="N154" s="764" t="s">
        <v>491</v>
      </c>
      <c r="O154" s="764" t="s">
        <v>491</v>
      </c>
      <c r="P154" s="764" t="s">
        <v>491</v>
      </c>
      <c r="Q154" s="764" t="s">
        <v>491</v>
      </c>
      <c r="R154" s="764"/>
      <c r="S154" s="764"/>
      <c r="T154" s="764"/>
      <c r="U154" s="764" t="s">
        <v>491</v>
      </c>
      <c r="V154" s="764" t="s">
        <v>491</v>
      </c>
      <c r="W154" s="764" t="s">
        <v>491</v>
      </c>
      <c r="X154" s="764" t="s">
        <v>491</v>
      </c>
      <c r="Y154" s="764" t="s">
        <v>491</v>
      </c>
      <c r="Z154" s="764"/>
      <c r="AA154" s="764"/>
      <c r="AB154" s="764" t="s">
        <v>491</v>
      </c>
      <c r="AC154" s="764" t="s">
        <v>491</v>
      </c>
      <c r="AD154" s="764" t="s">
        <v>491</v>
      </c>
      <c r="AE154" s="764"/>
      <c r="AF154" s="764" t="s">
        <v>491</v>
      </c>
      <c r="AG154" s="882"/>
      <c r="AH154" s="924">
        <v>185</v>
      </c>
      <c r="AI154" s="925">
        <v>37</v>
      </c>
    </row>
    <row r="155" spans="1:36" ht="21.95" customHeight="1">
      <c r="A155" s="576"/>
      <c r="B155" s="821" t="s">
        <v>641</v>
      </c>
      <c r="C155" s="764" t="s">
        <v>28</v>
      </c>
      <c r="D155" s="764" t="s">
        <v>491</v>
      </c>
      <c r="E155" s="764"/>
      <c r="F155" s="764"/>
      <c r="G155" s="764" t="s">
        <v>491</v>
      </c>
      <c r="H155" s="764" t="s">
        <v>491</v>
      </c>
      <c r="I155" s="764" t="s">
        <v>491</v>
      </c>
      <c r="J155" s="764" t="s">
        <v>491</v>
      </c>
      <c r="K155" s="764" t="s">
        <v>491</v>
      </c>
      <c r="L155" s="764"/>
      <c r="M155" s="764"/>
      <c r="N155" s="764" t="s">
        <v>491</v>
      </c>
      <c r="O155" s="764" t="s">
        <v>491</v>
      </c>
      <c r="P155" s="764" t="s">
        <v>491</v>
      </c>
      <c r="Q155" s="764" t="s">
        <v>491</v>
      </c>
      <c r="R155" s="764"/>
      <c r="S155" s="764"/>
      <c r="T155" s="764"/>
      <c r="U155" s="764" t="s">
        <v>491</v>
      </c>
      <c r="V155" s="764" t="s">
        <v>491</v>
      </c>
      <c r="W155" s="764" t="s">
        <v>491</v>
      </c>
      <c r="X155" s="764" t="s">
        <v>491</v>
      </c>
      <c r="Y155" s="764" t="s">
        <v>491</v>
      </c>
      <c r="Z155" s="764"/>
      <c r="AA155" s="764"/>
      <c r="AB155" s="764" t="s">
        <v>491</v>
      </c>
      <c r="AC155" s="764" t="s">
        <v>491</v>
      </c>
      <c r="AD155" s="972" t="s">
        <v>491</v>
      </c>
      <c r="AE155" s="764"/>
      <c r="AF155" s="972" t="s">
        <v>491</v>
      </c>
      <c r="AG155" s="882"/>
      <c r="AH155" s="924">
        <v>170.5</v>
      </c>
      <c r="AI155" s="925">
        <v>37</v>
      </c>
    </row>
    <row r="156" spans="1:36" ht="21.95" customHeight="1">
      <c r="A156" s="576"/>
      <c r="B156" s="821" t="s">
        <v>642</v>
      </c>
      <c r="C156" s="764" t="s">
        <v>28</v>
      </c>
      <c r="D156" s="764" t="s">
        <v>491</v>
      </c>
      <c r="E156" s="764"/>
      <c r="F156" s="764"/>
      <c r="G156" s="764" t="s">
        <v>491</v>
      </c>
      <c r="H156" s="764" t="s">
        <v>491</v>
      </c>
      <c r="I156" s="764" t="s">
        <v>491</v>
      </c>
      <c r="J156" s="764" t="s">
        <v>491</v>
      </c>
      <c r="K156" s="764" t="s">
        <v>491</v>
      </c>
      <c r="L156" s="764"/>
      <c r="M156" s="764"/>
      <c r="N156" s="764" t="s">
        <v>491</v>
      </c>
      <c r="O156" s="764" t="s">
        <v>491</v>
      </c>
      <c r="P156" s="764" t="s">
        <v>491</v>
      </c>
      <c r="Q156" s="764" t="s">
        <v>491</v>
      </c>
      <c r="R156" s="764"/>
      <c r="S156" s="764"/>
      <c r="T156" s="764"/>
      <c r="U156" s="764" t="s">
        <v>491</v>
      </c>
      <c r="V156" s="764" t="s">
        <v>491</v>
      </c>
      <c r="W156" s="764" t="s">
        <v>491</v>
      </c>
      <c r="X156" s="764" t="s">
        <v>491</v>
      </c>
      <c r="Y156" s="764" t="s">
        <v>491</v>
      </c>
      <c r="Z156" s="764"/>
      <c r="AA156" s="764"/>
      <c r="AB156" s="764" t="s">
        <v>491</v>
      </c>
      <c r="AC156" s="764" t="s">
        <v>491</v>
      </c>
      <c r="AD156" s="764" t="s">
        <v>491</v>
      </c>
      <c r="AE156" s="764"/>
      <c r="AF156" s="764" t="s">
        <v>491</v>
      </c>
      <c r="AG156" s="882"/>
      <c r="AH156" s="924">
        <v>200</v>
      </c>
      <c r="AI156" s="925">
        <v>37</v>
      </c>
    </row>
    <row r="157" spans="1:36" ht="21.95" customHeight="1">
      <c r="A157" s="576"/>
      <c r="B157" s="821" t="s">
        <v>643</v>
      </c>
      <c r="C157" s="764" t="s">
        <v>28</v>
      </c>
      <c r="D157" s="764" t="s">
        <v>491</v>
      </c>
      <c r="E157" s="764"/>
      <c r="F157" s="764"/>
      <c r="G157" s="764" t="s">
        <v>491</v>
      </c>
      <c r="H157" s="764" t="s">
        <v>491</v>
      </c>
      <c r="I157" s="764" t="s">
        <v>491</v>
      </c>
      <c r="J157" s="764" t="s">
        <v>491</v>
      </c>
      <c r="K157" s="764" t="s">
        <v>491</v>
      </c>
      <c r="L157" s="764"/>
      <c r="M157" s="764"/>
      <c r="N157" s="764" t="s">
        <v>491</v>
      </c>
      <c r="O157" s="764" t="s">
        <v>491</v>
      </c>
      <c r="P157" s="764" t="s">
        <v>491</v>
      </c>
      <c r="Q157" s="764" t="s">
        <v>491</v>
      </c>
      <c r="R157" s="764"/>
      <c r="S157" s="764"/>
      <c r="T157" s="764"/>
      <c r="U157" s="764" t="s">
        <v>491</v>
      </c>
      <c r="V157" s="764" t="s">
        <v>491</v>
      </c>
      <c r="W157" s="764" t="s">
        <v>491</v>
      </c>
      <c r="X157" s="764" t="s">
        <v>491</v>
      </c>
      <c r="Y157" s="764" t="s">
        <v>491</v>
      </c>
      <c r="Z157" s="764"/>
      <c r="AA157" s="764"/>
      <c r="AB157" s="764" t="s">
        <v>491</v>
      </c>
      <c r="AC157" s="764" t="s">
        <v>491</v>
      </c>
      <c r="AD157" s="764" t="s">
        <v>491</v>
      </c>
      <c r="AE157" s="764"/>
      <c r="AF157" s="764" t="s">
        <v>491</v>
      </c>
      <c r="AG157" s="882"/>
      <c r="AH157" s="924">
        <v>192.5</v>
      </c>
      <c r="AI157" s="925">
        <v>37</v>
      </c>
    </row>
    <row r="158" spans="1:36" ht="21.95" customHeight="1" thickBot="1">
      <c r="A158" s="576"/>
      <c r="B158" s="891"/>
      <c r="C158" s="764" t="s">
        <v>28</v>
      </c>
      <c r="D158" s="764" t="s">
        <v>491</v>
      </c>
      <c r="E158" s="764"/>
      <c r="F158" s="764"/>
      <c r="G158" s="764" t="s">
        <v>491</v>
      </c>
      <c r="H158" s="764" t="s">
        <v>491</v>
      </c>
      <c r="I158" s="764" t="s">
        <v>491</v>
      </c>
      <c r="J158" s="764" t="s">
        <v>491</v>
      </c>
      <c r="K158" s="764" t="s">
        <v>491</v>
      </c>
      <c r="L158" s="764"/>
      <c r="M158" s="764"/>
      <c r="N158" s="764" t="s">
        <v>491</v>
      </c>
      <c r="O158" s="764" t="s">
        <v>491</v>
      </c>
      <c r="P158" s="764" t="s">
        <v>491</v>
      </c>
      <c r="Q158" s="764" t="s">
        <v>491</v>
      </c>
      <c r="R158" s="764"/>
      <c r="S158" s="764"/>
      <c r="T158" s="764"/>
      <c r="U158" s="764" t="s">
        <v>491</v>
      </c>
      <c r="V158" s="764" t="s">
        <v>491</v>
      </c>
      <c r="W158" s="764" t="s">
        <v>491</v>
      </c>
      <c r="X158" s="764" t="s">
        <v>491</v>
      </c>
      <c r="Y158" s="764" t="s">
        <v>491</v>
      </c>
      <c r="Z158" s="764"/>
      <c r="AA158" s="764"/>
      <c r="AB158" s="764" t="s">
        <v>491</v>
      </c>
      <c r="AC158" s="764" t="s">
        <v>491</v>
      </c>
      <c r="AD158" s="764" t="s">
        <v>491</v>
      </c>
      <c r="AE158" s="764"/>
      <c r="AF158" s="764" t="s">
        <v>491</v>
      </c>
      <c r="AG158" s="882"/>
      <c r="AH158" s="868">
        <v>185</v>
      </c>
      <c r="AI158" s="869">
        <v>37</v>
      </c>
    </row>
    <row r="159" spans="1:36" ht="21.95" customHeight="1">
      <c r="A159" s="576"/>
      <c r="B159" s="847"/>
      <c r="C159" s="555"/>
      <c r="D159" s="555"/>
      <c r="E159" s="555"/>
      <c r="F159" s="555"/>
      <c r="G159" s="555"/>
      <c r="H159" s="555"/>
      <c r="I159" s="555"/>
      <c r="J159" s="555"/>
      <c r="K159" s="555"/>
      <c r="L159" s="555"/>
      <c r="M159" s="555"/>
      <c r="N159" s="555"/>
      <c r="O159" s="555"/>
      <c r="P159" s="555"/>
      <c r="Q159" s="555"/>
      <c r="R159" s="555"/>
      <c r="S159" s="555"/>
      <c r="T159" s="555"/>
      <c r="U159" s="555"/>
      <c r="V159" s="555"/>
      <c r="W159" s="555"/>
      <c r="X159" s="555"/>
      <c r="Y159" s="555"/>
      <c r="Z159" s="555"/>
      <c r="AA159" s="555"/>
      <c r="AB159" s="555"/>
      <c r="AC159" s="555"/>
      <c r="AD159" s="555"/>
      <c r="AE159" s="555"/>
      <c r="AF159" s="555"/>
      <c r="AG159" s="555"/>
      <c r="AH159" s="556"/>
      <c r="AI159" s="556"/>
    </row>
    <row r="160" spans="1:36" ht="21.95" customHeight="1">
      <c r="A160" s="312" t="s">
        <v>644</v>
      </c>
      <c r="C160" s="555"/>
      <c r="D160" s="555"/>
      <c r="E160" s="555"/>
      <c r="F160" s="555"/>
      <c r="G160" s="555"/>
      <c r="H160" s="555"/>
      <c r="I160" s="555"/>
      <c r="J160" s="555"/>
      <c r="K160" s="555"/>
      <c r="L160" s="555"/>
      <c r="M160" s="555"/>
      <c r="N160" s="555"/>
      <c r="O160" s="555"/>
      <c r="P160" s="555"/>
      <c r="Q160" s="555"/>
      <c r="R160" s="555"/>
      <c r="S160" s="555"/>
      <c r="T160" s="555"/>
      <c r="U160" s="555"/>
      <c r="V160" s="555"/>
      <c r="W160" s="555"/>
      <c r="X160" s="555"/>
      <c r="Y160" s="555"/>
      <c r="Z160" s="555"/>
      <c r="AA160" s="555"/>
      <c r="AB160" s="555"/>
      <c r="AC160" s="555"/>
      <c r="AD160" s="555"/>
      <c r="AE160" s="555"/>
      <c r="AF160" s="555"/>
      <c r="AG160" s="555"/>
      <c r="AH160" s="556"/>
      <c r="AI160" s="556"/>
      <c r="AJ160" s="361"/>
    </row>
    <row r="161" spans="1:36" ht="21.95" customHeight="1">
      <c r="A161" s="299" t="s">
        <v>475</v>
      </c>
      <c r="B161" s="299"/>
      <c r="C161" s="153"/>
      <c r="D161" s="299" t="s">
        <v>2</v>
      </c>
      <c r="E161" s="186"/>
      <c r="F161" s="153"/>
      <c r="G161" s="299" t="s">
        <v>3</v>
      </c>
      <c r="H161" s="186"/>
      <c r="I161" s="153"/>
      <c r="J161" s="299" t="s">
        <v>4</v>
      </c>
      <c r="K161" s="186"/>
      <c r="L161" s="153"/>
      <c r="M161" s="299" t="s">
        <v>5</v>
      </c>
      <c r="N161" s="186"/>
      <c r="O161" s="153"/>
      <c r="P161" s="299" t="s">
        <v>6</v>
      </c>
      <c r="Q161" s="186"/>
      <c r="R161" s="134"/>
      <c r="S161" s="199" t="s">
        <v>7</v>
      </c>
      <c r="T161" s="186"/>
      <c r="U161" s="153"/>
      <c r="V161" s="299" t="s">
        <v>8</v>
      </c>
      <c r="W161" s="186"/>
      <c r="X161" s="585" t="s">
        <v>10</v>
      </c>
      <c r="Y161" s="186"/>
      <c r="Z161" s="186"/>
      <c r="AA161" s="561"/>
      <c r="AB161" s="483"/>
      <c r="AC161" s="483"/>
      <c r="AD161" s="483"/>
      <c r="AE161" s="483"/>
      <c r="AF161" s="483"/>
      <c r="AG161" s="484"/>
      <c r="AH161" s="361"/>
      <c r="AI161" s="361"/>
      <c r="AJ161" s="361"/>
    </row>
    <row r="162" spans="1:36" ht="21.95" customHeight="1">
      <c r="A162" s="130">
        <v>8517</v>
      </c>
      <c r="B162" s="500" t="s">
        <v>645</v>
      </c>
      <c r="C162" s="584" t="s">
        <v>124</v>
      </c>
      <c r="D162" s="581"/>
      <c r="E162" s="586"/>
      <c r="F162" s="584" t="s">
        <v>124</v>
      </c>
      <c r="G162" s="587"/>
      <c r="H162" s="586"/>
      <c r="I162" s="121" t="s">
        <v>124</v>
      </c>
      <c r="J162" s="565"/>
      <c r="K162" s="588"/>
      <c r="L162" s="121" t="s">
        <v>124</v>
      </c>
      <c r="M162" s="565"/>
      <c r="N162" s="588"/>
      <c r="O162" s="121" t="s">
        <v>125</v>
      </c>
      <c r="P162" s="565"/>
      <c r="Q162" s="477"/>
      <c r="R162" s="589" t="s">
        <v>28</v>
      </c>
      <c r="S162" s="565"/>
      <c r="T162" s="588"/>
      <c r="U162" s="565" t="s">
        <v>28</v>
      </c>
      <c r="V162" s="565"/>
      <c r="W162" s="477"/>
      <c r="X162" s="145" t="s">
        <v>28</v>
      </c>
      <c r="Y162" s="361"/>
      <c r="Z162" s="361"/>
      <c r="AA162" s="361"/>
      <c r="AB162" s="361"/>
      <c r="AC162" s="361"/>
      <c r="AD162" s="361"/>
      <c r="AE162" s="361"/>
      <c r="AF162" s="361"/>
      <c r="AG162" s="590"/>
      <c r="AH162" s="361"/>
      <c r="AI162" s="361"/>
      <c r="AJ162" s="361"/>
    </row>
    <row r="163" spans="1:36" ht="21.95" customHeight="1">
      <c r="A163" s="591">
        <v>8502</v>
      </c>
      <c r="B163" s="592" t="s">
        <v>646</v>
      </c>
      <c r="C163" s="121" t="s">
        <v>11</v>
      </c>
      <c r="D163" s="565"/>
      <c r="E163" s="477"/>
      <c r="F163" s="121" t="s">
        <v>11</v>
      </c>
      <c r="G163" s="565"/>
      <c r="H163" s="588"/>
      <c r="I163" s="121" t="s">
        <v>11</v>
      </c>
      <c r="J163" s="565"/>
      <c r="K163" s="588"/>
      <c r="L163" s="121" t="s">
        <v>11</v>
      </c>
      <c r="M163" s="565"/>
      <c r="N163" s="588"/>
      <c r="O163" s="121" t="s">
        <v>12</v>
      </c>
      <c r="P163" s="565"/>
      <c r="Q163" s="477"/>
      <c r="R163" s="593"/>
      <c r="S163" s="594"/>
      <c r="T163" s="588"/>
      <c r="U163" s="565"/>
      <c r="V163" s="565"/>
      <c r="W163" s="477"/>
      <c r="X163" s="476"/>
      <c r="Y163" s="483"/>
      <c r="Z163" s="483"/>
      <c r="AA163" s="483"/>
      <c r="AB163" s="483"/>
      <c r="AC163" s="483"/>
      <c r="AD163" s="483"/>
      <c r="AE163" s="483"/>
      <c r="AF163" s="483"/>
      <c r="AG163" s="484"/>
      <c r="AH163" s="361"/>
      <c r="AI163" s="361"/>
      <c r="AJ163" s="361"/>
    </row>
    <row r="164" spans="1:36" ht="21.95" customHeight="1" thickBot="1">
      <c r="A164" s="274"/>
      <c r="B164" s="516"/>
      <c r="C164" s="354"/>
      <c r="D164" s="354"/>
      <c r="E164" s="73"/>
      <c r="F164" s="354"/>
      <c r="G164" s="354"/>
      <c r="H164" s="73"/>
      <c r="I164" s="354"/>
      <c r="J164" s="354"/>
      <c r="K164" s="73"/>
      <c r="L164" s="354"/>
      <c r="M164" s="354"/>
      <c r="N164" s="73"/>
      <c r="O164" s="354"/>
      <c r="P164" s="354"/>
      <c r="Q164" s="73"/>
      <c r="R164" s="168"/>
      <c r="S164" s="354"/>
      <c r="T164" s="73"/>
      <c r="U164" s="354"/>
      <c r="V164" s="354"/>
      <c r="W164" s="73"/>
      <c r="X164" s="73"/>
      <c r="Y164" s="361"/>
      <c r="Z164" s="361"/>
      <c r="AA164" s="361"/>
      <c r="AB164" s="361"/>
      <c r="AC164" s="361"/>
      <c r="AD164" s="361"/>
      <c r="AE164" s="361"/>
      <c r="AF164" s="361"/>
      <c r="AG164" s="361"/>
      <c r="AH164" s="361"/>
      <c r="AI164" s="361"/>
    </row>
    <row r="165" spans="1:36" ht="21.95" customHeight="1" thickBot="1">
      <c r="A165" s="595"/>
      <c r="B165" s="862" t="s">
        <v>476</v>
      </c>
      <c r="C165" s="880">
        <v>1</v>
      </c>
      <c r="D165" s="863">
        <v>2</v>
      </c>
      <c r="E165" s="880">
        <v>3</v>
      </c>
      <c r="F165" s="880">
        <v>4</v>
      </c>
      <c r="G165" s="863">
        <v>5</v>
      </c>
      <c r="H165" s="863">
        <v>6</v>
      </c>
      <c r="I165" s="863">
        <v>7</v>
      </c>
      <c r="J165" s="863">
        <v>8</v>
      </c>
      <c r="K165" s="863">
        <v>9</v>
      </c>
      <c r="L165" s="880">
        <v>10</v>
      </c>
      <c r="M165" s="880">
        <v>11</v>
      </c>
      <c r="N165" s="863">
        <v>12</v>
      </c>
      <c r="O165" s="863">
        <v>13</v>
      </c>
      <c r="P165" s="863">
        <v>14</v>
      </c>
      <c r="Q165" s="863">
        <v>15</v>
      </c>
      <c r="R165" s="880">
        <v>16</v>
      </c>
      <c r="S165" s="880">
        <v>17</v>
      </c>
      <c r="T165" s="880">
        <v>18</v>
      </c>
      <c r="U165" s="863">
        <v>19</v>
      </c>
      <c r="V165" s="863">
        <v>20</v>
      </c>
      <c r="W165" s="863">
        <v>21</v>
      </c>
      <c r="X165" s="863">
        <v>22</v>
      </c>
      <c r="Y165" s="863">
        <v>23</v>
      </c>
      <c r="Z165" s="880">
        <v>24</v>
      </c>
      <c r="AA165" s="880">
        <v>25</v>
      </c>
      <c r="AB165" s="863">
        <v>26</v>
      </c>
      <c r="AC165" s="863">
        <v>27</v>
      </c>
      <c r="AD165" s="863">
        <v>28</v>
      </c>
      <c r="AE165" s="880">
        <v>29</v>
      </c>
      <c r="AF165" s="863">
        <v>30</v>
      </c>
      <c r="AG165" s="880">
        <v>31</v>
      </c>
      <c r="AH165" s="864" t="s">
        <v>477</v>
      </c>
      <c r="AI165" s="865" t="s">
        <v>478</v>
      </c>
    </row>
    <row r="166" spans="1:36" ht="21.95" customHeight="1">
      <c r="A166" s="596">
        <v>1</v>
      </c>
      <c r="B166" s="54" t="s">
        <v>647</v>
      </c>
      <c r="C166" s="1000" t="s">
        <v>28</v>
      </c>
      <c r="D166" s="1000" t="s">
        <v>491</v>
      </c>
      <c r="E166" s="1000"/>
      <c r="F166" s="1000"/>
      <c r="G166" s="1000" t="s">
        <v>491</v>
      </c>
      <c r="H166" s="1000" t="s">
        <v>491</v>
      </c>
      <c r="I166" s="1000" t="s">
        <v>491</v>
      </c>
      <c r="J166" s="1000" t="s">
        <v>491</v>
      </c>
      <c r="K166" s="1000" t="s">
        <v>491</v>
      </c>
      <c r="L166" s="1000"/>
      <c r="M166" s="1000"/>
      <c r="N166" s="1000" t="s">
        <v>491</v>
      </c>
      <c r="O166" s="1000" t="s">
        <v>491</v>
      </c>
      <c r="P166" s="1000" t="s">
        <v>491</v>
      </c>
      <c r="Q166" s="1000" t="s">
        <v>491</v>
      </c>
      <c r="R166" s="1000"/>
      <c r="S166" s="1000"/>
      <c r="T166" s="1000"/>
      <c r="U166" s="1000" t="s">
        <v>491</v>
      </c>
      <c r="V166" s="1000" t="s">
        <v>491</v>
      </c>
      <c r="W166" s="1000" t="s">
        <v>491</v>
      </c>
      <c r="X166" s="1000" t="s">
        <v>491</v>
      </c>
      <c r="Y166" s="1000" t="s">
        <v>491</v>
      </c>
      <c r="Z166" s="1000"/>
      <c r="AA166" s="1000"/>
      <c r="AB166" s="1000" t="s">
        <v>491</v>
      </c>
      <c r="AC166" s="1000" t="s">
        <v>491</v>
      </c>
      <c r="AD166" s="1000" t="s">
        <v>491</v>
      </c>
      <c r="AE166" s="1000"/>
      <c r="AF166" s="1000" t="s">
        <v>491</v>
      </c>
      <c r="AG166" s="1001"/>
      <c r="AH166" s="892">
        <v>185</v>
      </c>
      <c r="AI166" s="893">
        <v>37</v>
      </c>
    </row>
    <row r="167" spans="1:36" ht="21.95" customHeight="1" thickBot="1">
      <c r="A167" s="596">
        <v>2</v>
      </c>
      <c r="B167" s="153" t="s">
        <v>648</v>
      </c>
      <c r="C167" s="764" t="s">
        <v>28</v>
      </c>
      <c r="D167" s="764" t="s">
        <v>540</v>
      </c>
      <c r="E167" s="764"/>
      <c r="F167" s="764"/>
      <c r="G167" s="768" t="s">
        <v>583</v>
      </c>
      <c r="H167" s="768" t="s">
        <v>583</v>
      </c>
      <c r="I167" s="768" t="s">
        <v>583</v>
      </c>
      <c r="J167" s="768" t="s">
        <v>583</v>
      </c>
      <c r="K167" s="768" t="s">
        <v>583</v>
      </c>
      <c r="L167" s="764"/>
      <c r="M167" s="764"/>
      <c r="N167" s="764" t="s">
        <v>539</v>
      </c>
      <c r="O167" s="764" t="s">
        <v>583</v>
      </c>
      <c r="P167" s="764" t="s">
        <v>585</v>
      </c>
      <c r="Q167" s="764" t="s">
        <v>585</v>
      </c>
      <c r="R167" s="764"/>
      <c r="S167" s="764"/>
      <c r="T167" s="764"/>
      <c r="U167" s="764" t="s">
        <v>583</v>
      </c>
      <c r="V167" s="1017" t="s">
        <v>485</v>
      </c>
      <c r="W167" s="1000" t="s">
        <v>583</v>
      </c>
      <c r="X167" s="1000" t="s">
        <v>583</v>
      </c>
      <c r="Y167" s="1000" t="s">
        <v>583</v>
      </c>
      <c r="Z167" s="1000" t="s">
        <v>512</v>
      </c>
      <c r="AA167" s="1000" t="s">
        <v>649</v>
      </c>
      <c r="AB167" s="764" t="s">
        <v>481</v>
      </c>
      <c r="AC167" s="764" t="s">
        <v>481</v>
      </c>
      <c r="AD167" s="764" t="s">
        <v>481</v>
      </c>
      <c r="AE167" s="764"/>
      <c r="AF167" s="764" t="s">
        <v>481</v>
      </c>
      <c r="AG167" s="882"/>
      <c r="AH167" s="822">
        <v>185</v>
      </c>
      <c r="AI167" s="823">
        <v>37</v>
      </c>
    </row>
    <row r="168" spans="1:36" ht="21.95" customHeight="1" thickBot="1">
      <c r="A168" s="596">
        <v>3</v>
      </c>
      <c r="B168" s="153" t="s">
        <v>650</v>
      </c>
      <c r="C168" s="1015">
        <v>7</v>
      </c>
      <c r="D168" s="1015">
        <v>7</v>
      </c>
      <c r="E168" s="1015"/>
      <c r="F168" s="1015"/>
      <c r="G168" s="1015">
        <v>4</v>
      </c>
      <c r="H168" s="1015">
        <v>4</v>
      </c>
      <c r="I168" s="1015">
        <v>4</v>
      </c>
      <c r="J168" s="1016">
        <v>4</v>
      </c>
      <c r="K168" s="1015">
        <v>4</v>
      </c>
      <c r="L168" s="762"/>
      <c r="M168" s="762"/>
      <c r="N168" s="1003">
        <v>3</v>
      </c>
      <c r="O168" s="762">
        <v>3</v>
      </c>
      <c r="P168" s="762">
        <v>3</v>
      </c>
      <c r="Q168" s="762">
        <v>3</v>
      </c>
      <c r="R168" s="762">
        <v>3</v>
      </c>
      <c r="S168" s="762"/>
      <c r="T168" s="762"/>
      <c r="U168" s="762">
        <v>11</v>
      </c>
      <c r="V168" s="762">
        <v>11</v>
      </c>
      <c r="W168" s="762">
        <v>11</v>
      </c>
      <c r="X168" s="762">
        <v>11</v>
      </c>
      <c r="Y168" s="762">
        <v>11</v>
      </c>
      <c r="Z168" s="762" t="s">
        <v>517</v>
      </c>
      <c r="AA168" s="875"/>
      <c r="AB168" s="768" t="s">
        <v>481</v>
      </c>
      <c r="AC168" s="764" t="s">
        <v>481</v>
      </c>
      <c r="AD168" s="764" t="s">
        <v>481</v>
      </c>
      <c r="AE168" s="764"/>
      <c r="AF168" s="764" t="s">
        <v>481</v>
      </c>
      <c r="AG168" s="882"/>
      <c r="AH168" s="822">
        <v>185</v>
      </c>
      <c r="AI168" s="823">
        <v>37</v>
      </c>
    </row>
    <row r="169" spans="1:36" ht="21.95" customHeight="1" thickBot="1">
      <c r="A169" s="596">
        <v>4</v>
      </c>
      <c r="B169" s="601" t="s">
        <v>651</v>
      </c>
      <c r="C169" s="764" t="s">
        <v>28</v>
      </c>
      <c r="D169" s="964" t="s">
        <v>652</v>
      </c>
      <c r="E169" s="764"/>
      <c r="F169" s="764"/>
      <c r="G169" s="764" t="s">
        <v>652</v>
      </c>
      <c r="H169" s="764" t="s">
        <v>652</v>
      </c>
      <c r="I169" s="764" t="s">
        <v>652</v>
      </c>
      <c r="J169" s="763" t="s">
        <v>540</v>
      </c>
      <c r="K169" s="764" t="s">
        <v>652</v>
      </c>
      <c r="L169" s="764"/>
      <c r="M169" s="764"/>
      <c r="N169" s="764" t="s">
        <v>652</v>
      </c>
      <c r="O169" s="764" t="s">
        <v>652</v>
      </c>
      <c r="P169" s="764" t="s">
        <v>652</v>
      </c>
      <c r="Q169" s="764" t="s">
        <v>652</v>
      </c>
      <c r="R169" s="764"/>
      <c r="S169" s="764"/>
      <c r="T169" s="764"/>
      <c r="U169" s="764" t="s">
        <v>652</v>
      </c>
      <c r="V169" s="1003" t="s">
        <v>540</v>
      </c>
      <c r="W169" s="1000" t="s">
        <v>652</v>
      </c>
      <c r="X169" s="1000" t="s">
        <v>653</v>
      </c>
      <c r="Y169" s="764" t="s">
        <v>652</v>
      </c>
      <c r="Z169" s="764"/>
      <c r="AA169" s="764"/>
      <c r="AB169" s="764" t="s">
        <v>652</v>
      </c>
      <c r="AC169" s="764" t="s">
        <v>652</v>
      </c>
      <c r="AD169" s="764" t="s">
        <v>652</v>
      </c>
      <c r="AE169" s="764"/>
      <c r="AF169" s="764" t="s">
        <v>652</v>
      </c>
      <c r="AG169" s="882"/>
      <c r="AH169" s="822">
        <v>185.5</v>
      </c>
      <c r="AI169" s="823">
        <v>37</v>
      </c>
    </row>
    <row r="170" spans="1:36" ht="21.95" customHeight="1" thickBot="1">
      <c r="A170" s="596">
        <v>5</v>
      </c>
      <c r="B170" s="319" t="s">
        <v>654</v>
      </c>
      <c r="C170" s="764" t="s">
        <v>28</v>
      </c>
      <c r="D170" s="764" t="s">
        <v>481</v>
      </c>
      <c r="E170" s="764"/>
      <c r="F170" s="764"/>
      <c r="G170" s="764" t="s">
        <v>553</v>
      </c>
      <c r="H170" s="764" t="s">
        <v>553</v>
      </c>
      <c r="I170" s="764" t="s">
        <v>584</v>
      </c>
      <c r="J170" s="763" t="s">
        <v>485</v>
      </c>
      <c r="K170" s="764" t="s">
        <v>554</v>
      </c>
      <c r="L170" s="764" t="s">
        <v>555</v>
      </c>
      <c r="M170" s="764" t="s">
        <v>555</v>
      </c>
      <c r="N170" s="764" t="s">
        <v>481</v>
      </c>
      <c r="O170" s="1003" t="s">
        <v>584</v>
      </c>
      <c r="P170" s="764" t="s">
        <v>481</v>
      </c>
      <c r="Q170" s="764" t="s">
        <v>481</v>
      </c>
      <c r="R170" s="764"/>
      <c r="S170" s="764"/>
      <c r="T170" s="764"/>
      <c r="U170" s="764">
        <v>4</v>
      </c>
      <c r="V170" s="764">
        <v>4</v>
      </c>
      <c r="W170" s="764">
        <v>7</v>
      </c>
      <c r="X170" s="764">
        <v>7</v>
      </c>
      <c r="Y170" s="764">
        <v>7</v>
      </c>
      <c r="Z170" s="764"/>
      <c r="AA170" s="764"/>
      <c r="AB170" s="768" t="s">
        <v>485</v>
      </c>
      <c r="AC170" s="764" t="s">
        <v>554</v>
      </c>
      <c r="AD170" s="764" t="s">
        <v>554</v>
      </c>
      <c r="AE170" s="764"/>
      <c r="AF170" s="1000" t="s">
        <v>553</v>
      </c>
      <c r="AG170" s="1001"/>
      <c r="AH170" s="824">
        <v>185</v>
      </c>
      <c r="AI170" s="825">
        <v>37</v>
      </c>
    </row>
    <row r="171" spans="1:36" ht="21.95" customHeight="1">
      <c r="A171" s="596">
        <v>6</v>
      </c>
      <c r="B171" s="153" t="s">
        <v>655</v>
      </c>
      <c r="C171" s="764" t="s">
        <v>28</v>
      </c>
      <c r="D171" s="964" t="s">
        <v>491</v>
      </c>
      <c r="E171" s="764"/>
      <c r="F171" s="764"/>
      <c r="G171" s="1024" t="s">
        <v>481</v>
      </c>
      <c r="H171" s="764" t="s">
        <v>481</v>
      </c>
      <c r="I171" s="764" t="s">
        <v>481</v>
      </c>
      <c r="J171" s="764" t="s">
        <v>553</v>
      </c>
      <c r="K171" s="764" t="s">
        <v>481</v>
      </c>
      <c r="L171" s="764"/>
      <c r="M171" s="764"/>
      <c r="N171" s="964" t="s">
        <v>491</v>
      </c>
      <c r="O171" s="1003" t="s">
        <v>485</v>
      </c>
      <c r="P171" s="964" t="s">
        <v>491</v>
      </c>
      <c r="Q171" s="764" t="s">
        <v>591</v>
      </c>
      <c r="R171" s="764"/>
      <c r="S171" s="764" t="s">
        <v>555</v>
      </c>
      <c r="T171" s="764" t="s">
        <v>555</v>
      </c>
      <c r="U171" s="764">
        <v>8</v>
      </c>
      <c r="V171" s="1003">
        <v>8</v>
      </c>
      <c r="W171" s="764">
        <v>8</v>
      </c>
      <c r="X171" s="764">
        <v>8</v>
      </c>
      <c r="Y171" s="764">
        <v>8</v>
      </c>
      <c r="Z171" s="764"/>
      <c r="AA171" s="923" t="s">
        <v>485</v>
      </c>
      <c r="AB171" s="768" t="s">
        <v>553</v>
      </c>
      <c r="AC171" s="764" t="s">
        <v>553</v>
      </c>
      <c r="AD171" s="764" t="s">
        <v>553</v>
      </c>
      <c r="AE171" s="764"/>
      <c r="AF171" s="764" t="s">
        <v>591</v>
      </c>
      <c r="AG171" s="882"/>
      <c r="AH171" s="826">
        <v>185</v>
      </c>
      <c r="AI171" s="827">
        <v>37</v>
      </c>
    </row>
    <row r="172" spans="1:36" ht="21.95" customHeight="1">
      <c r="A172" s="596">
        <v>7</v>
      </c>
      <c r="B172" s="793" t="s">
        <v>656</v>
      </c>
      <c r="C172" s="764" t="s">
        <v>28</v>
      </c>
      <c r="D172" s="1000" t="s">
        <v>493</v>
      </c>
      <c r="E172" s="764"/>
      <c r="F172" s="764"/>
      <c r="G172" s="764" t="s">
        <v>491</v>
      </c>
      <c r="H172" s="764" t="s">
        <v>491</v>
      </c>
      <c r="I172" s="764" t="s">
        <v>491</v>
      </c>
      <c r="J172" s="764" t="s">
        <v>491</v>
      </c>
      <c r="K172" s="1000" t="s">
        <v>491</v>
      </c>
      <c r="L172" s="1000"/>
      <c r="M172" s="1000"/>
      <c r="N172" s="1000" t="s">
        <v>491</v>
      </c>
      <c r="O172" s="1000" t="s">
        <v>491</v>
      </c>
      <c r="P172" s="1000" t="s">
        <v>491</v>
      </c>
      <c r="Q172" s="1000" t="s">
        <v>493</v>
      </c>
      <c r="R172" s="764"/>
      <c r="S172" s="764"/>
      <c r="T172" s="764"/>
      <c r="U172" s="764" t="s">
        <v>491</v>
      </c>
      <c r="V172" s="764" t="s">
        <v>491</v>
      </c>
      <c r="W172" s="764" t="s">
        <v>491</v>
      </c>
      <c r="X172" s="764" t="s">
        <v>491</v>
      </c>
      <c r="Y172" s="764" t="s">
        <v>491</v>
      </c>
      <c r="Z172" s="764" t="s">
        <v>514</v>
      </c>
      <c r="AA172" s="764" t="s">
        <v>514</v>
      </c>
      <c r="AB172" s="764" t="s">
        <v>481</v>
      </c>
      <c r="AC172" s="764" t="s">
        <v>481</v>
      </c>
      <c r="AD172" s="764" t="s">
        <v>481</v>
      </c>
      <c r="AE172" s="764"/>
      <c r="AF172" s="764" t="s">
        <v>481</v>
      </c>
      <c r="AG172" s="882"/>
      <c r="AH172" s="826">
        <v>148</v>
      </c>
      <c r="AI172" s="827">
        <v>37</v>
      </c>
    </row>
    <row r="173" spans="1:36" ht="21.95" customHeight="1">
      <c r="A173" s="596">
        <v>8</v>
      </c>
      <c r="B173" s="601" t="s">
        <v>657</v>
      </c>
      <c r="C173" s="11"/>
      <c r="D173" s="11" t="s">
        <v>598</v>
      </c>
      <c r="E173" s="11" t="s">
        <v>514</v>
      </c>
      <c r="F173" s="11" t="s">
        <v>514</v>
      </c>
      <c r="G173" s="11" t="s">
        <v>481</v>
      </c>
      <c r="H173" s="11" t="s">
        <v>481</v>
      </c>
      <c r="I173" s="11" t="s">
        <v>481</v>
      </c>
      <c r="J173" s="11" t="s">
        <v>481</v>
      </c>
      <c r="K173" s="11" t="s">
        <v>553</v>
      </c>
      <c r="L173" s="11"/>
      <c r="M173" s="11"/>
      <c r="N173" s="11">
        <v>3</v>
      </c>
      <c r="O173" s="11" t="s">
        <v>596</v>
      </c>
      <c r="P173" s="11" t="s">
        <v>553</v>
      </c>
      <c r="Q173" s="11" t="s">
        <v>554</v>
      </c>
      <c r="R173" s="11"/>
      <c r="S173" s="11"/>
      <c r="T173" s="11"/>
      <c r="U173" s="898" t="s">
        <v>481</v>
      </c>
      <c r="V173" s="1003" t="s">
        <v>485</v>
      </c>
      <c r="W173" s="1010" t="s">
        <v>607</v>
      </c>
      <c r="X173" s="1053" t="s">
        <v>658</v>
      </c>
      <c r="Y173" s="1010" t="s">
        <v>611</v>
      </c>
      <c r="Z173" s="11" t="s">
        <v>490</v>
      </c>
      <c r="AA173" s="11" t="s">
        <v>490</v>
      </c>
      <c r="AB173" s="1044" t="s">
        <v>554</v>
      </c>
      <c r="AC173" s="1010" t="s">
        <v>607</v>
      </c>
      <c r="AD173" s="1010" t="s">
        <v>607</v>
      </c>
      <c r="AE173" s="11"/>
      <c r="AF173" s="1063" t="s">
        <v>602</v>
      </c>
      <c r="AG173" s="769"/>
      <c r="AH173" s="826">
        <v>185</v>
      </c>
      <c r="AI173" s="827">
        <v>37</v>
      </c>
    </row>
    <row r="174" spans="1:36" ht="21.95" customHeight="1">
      <c r="A174" s="596">
        <v>9</v>
      </c>
      <c r="B174" s="153"/>
      <c r="C174" s="768"/>
      <c r="D174" s="768"/>
      <c r="E174" s="768"/>
      <c r="F174" s="768"/>
      <c r="G174" s="768"/>
      <c r="H174" s="768"/>
      <c r="I174" s="768"/>
      <c r="J174" s="768"/>
      <c r="K174" s="768"/>
      <c r="L174" s="768"/>
      <c r="M174" s="768"/>
      <c r="N174" s="768"/>
      <c r="O174" s="768"/>
      <c r="P174" s="768"/>
      <c r="Q174" s="768"/>
      <c r="R174" s="768"/>
      <c r="S174" s="768"/>
      <c r="T174" s="768"/>
      <c r="U174" s="768"/>
      <c r="V174" s="768"/>
      <c r="W174" s="768"/>
      <c r="X174" s="768"/>
      <c r="Y174" s="768"/>
      <c r="Z174" s="768"/>
      <c r="AA174" s="768"/>
      <c r="AB174" s="768"/>
      <c r="AC174" s="768"/>
      <c r="AD174" s="768"/>
      <c r="AE174" s="768"/>
      <c r="AF174" s="768"/>
      <c r="AG174" s="769"/>
      <c r="AH174" s="826">
        <v>185</v>
      </c>
      <c r="AI174" s="827">
        <v>37</v>
      </c>
    </row>
    <row r="175" spans="1:36" ht="21.95" customHeight="1">
      <c r="A175" s="596">
        <v>10</v>
      </c>
      <c r="B175" s="153"/>
      <c r="C175" s="766"/>
      <c r="D175" s="766"/>
      <c r="E175" s="766"/>
      <c r="F175" s="766"/>
      <c r="G175" s="766"/>
      <c r="H175" s="766"/>
      <c r="I175" s="766"/>
      <c r="J175" s="766"/>
      <c r="K175" s="766"/>
      <c r="L175" s="766"/>
      <c r="M175" s="766"/>
      <c r="N175" s="766"/>
      <c r="O175" s="766"/>
      <c r="P175" s="766"/>
      <c r="Q175" s="766"/>
      <c r="R175" s="766"/>
      <c r="S175" s="766"/>
      <c r="T175" s="766"/>
      <c r="U175" s="766"/>
      <c r="V175" s="766"/>
      <c r="W175" s="768"/>
      <c r="X175" s="766"/>
      <c r="Y175" s="766"/>
      <c r="Z175" s="766"/>
      <c r="AA175" s="766"/>
      <c r="AB175" s="766"/>
      <c r="AC175" s="766"/>
      <c r="AD175" s="766"/>
      <c r="AE175" s="766"/>
      <c r="AF175" s="766"/>
      <c r="AG175" s="783"/>
      <c r="AH175" s="826">
        <v>185</v>
      </c>
      <c r="AI175" s="827">
        <v>37</v>
      </c>
    </row>
    <row r="176" spans="1:36" ht="21.95" customHeight="1">
      <c r="A176" s="596">
        <v>11</v>
      </c>
      <c r="B176" s="153"/>
      <c r="C176" s="766"/>
      <c r="D176" s="766"/>
      <c r="E176" s="766"/>
      <c r="F176" s="766"/>
      <c r="G176" s="766"/>
      <c r="H176" s="766"/>
      <c r="I176" s="766"/>
      <c r="J176" s="766"/>
      <c r="K176" s="766"/>
      <c r="L176" s="766"/>
      <c r="M176" s="766"/>
      <c r="N176" s="766"/>
      <c r="O176" s="766"/>
      <c r="P176" s="766"/>
      <c r="Q176" s="766"/>
      <c r="R176" s="766"/>
      <c r="S176" s="766"/>
      <c r="T176" s="766"/>
      <c r="U176" s="766"/>
      <c r="V176" s="766"/>
      <c r="W176" s="768"/>
      <c r="X176" s="766"/>
      <c r="Y176" s="766"/>
      <c r="Z176" s="766"/>
      <c r="AA176" s="766"/>
      <c r="AB176" s="766"/>
      <c r="AC176" s="766"/>
      <c r="AD176" s="766"/>
      <c r="AE176" s="766"/>
      <c r="AF176" s="766"/>
      <c r="AG176" s="783"/>
      <c r="AH176" s="826">
        <v>185</v>
      </c>
      <c r="AI176" s="827">
        <v>37</v>
      </c>
    </row>
    <row r="177" spans="1:35" ht="21.95" customHeight="1" thickBot="1">
      <c r="A177" s="894">
        <v>12</v>
      </c>
      <c r="B177" s="895"/>
      <c r="C177" s="863"/>
      <c r="D177" s="863"/>
      <c r="E177" s="863"/>
      <c r="F177" s="863"/>
      <c r="G177" s="863"/>
      <c r="H177" s="863"/>
      <c r="I177" s="863"/>
      <c r="J177" s="863"/>
      <c r="K177" s="863"/>
      <c r="L177" s="863"/>
      <c r="M177" s="863"/>
      <c r="N177" s="863"/>
      <c r="O177" s="863"/>
      <c r="P177" s="863"/>
      <c r="Q177" s="863"/>
      <c r="R177" s="863"/>
      <c r="S177" s="863"/>
      <c r="T177" s="863"/>
      <c r="U177" s="863"/>
      <c r="V177" s="863"/>
      <c r="W177" s="867"/>
      <c r="X177" s="863"/>
      <c r="Y177" s="863"/>
      <c r="Z177" s="863"/>
      <c r="AA177" s="863"/>
      <c r="AB177" s="863"/>
      <c r="AC177" s="863"/>
      <c r="AD177" s="863"/>
      <c r="AE177" s="863"/>
      <c r="AF177" s="863"/>
      <c r="AG177" s="896"/>
      <c r="AH177" s="828">
        <v>185</v>
      </c>
      <c r="AI177" s="829">
        <v>37</v>
      </c>
    </row>
    <row r="178" spans="1:35" ht="21" customHeight="1">
      <c r="A178" s="312" t="s">
        <v>659</v>
      </c>
    </row>
    <row r="179" spans="1:35" ht="21" customHeight="1" thickBot="1">
      <c r="A179" s="861"/>
      <c r="B179" s="862" t="s">
        <v>476</v>
      </c>
      <c r="C179" s="880">
        <v>1</v>
      </c>
      <c r="D179" s="863">
        <v>2</v>
      </c>
      <c r="E179" s="880">
        <v>3</v>
      </c>
      <c r="F179" s="880">
        <v>4</v>
      </c>
      <c r="G179" s="863">
        <v>5</v>
      </c>
      <c r="H179" s="863">
        <v>6</v>
      </c>
      <c r="I179" s="863">
        <v>7</v>
      </c>
      <c r="J179" s="863">
        <v>8</v>
      </c>
      <c r="K179" s="863">
        <v>9</v>
      </c>
      <c r="L179" s="880">
        <v>10</v>
      </c>
      <c r="M179" s="880">
        <v>11</v>
      </c>
      <c r="N179" s="863">
        <v>12</v>
      </c>
      <c r="O179" s="863">
        <v>13</v>
      </c>
      <c r="P179" s="863">
        <v>14</v>
      </c>
      <c r="Q179" s="863">
        <v>15</v>
      </c>
      <c r="R179" s="880">
        <v>16</v>
      </c>
      <c r="S179" s="880">
        <v>17</v>
      </c>
      <c r="T179" s="880">
        <v>18</v>
      </c>
      <c r="U179" s="863">
        <v>19</v>
      </c>
      <c r="V179" s="863">
        <v>20</v>
      </c>
      <c r="W179" s="863">
        <v>21</v>
      </c>
      <c r="X179" s="863">
        <v>22</v>
      </c>
      <c r="Y179" s="863">
        <v>23</v>
      </c>
      <c r="Z179" s="880">
        <v>24</v>
      </c>
      <c r="AA179" s="880">
        <v>25</v>
      </c>
      <c r="AB179" s="863">
        <v>26</v>
      </c>
      <c r="AC179" s="863">
        <v>27</v>
      </c>
      <c r="AD179" s="863">
        <v>28</v>
      </c>
      <c r="AE179" s="880">
        <v>29</v>
      </c>
      <c r="AF179" s="863">
        <v>30</v>
      </c>
      <c r="AG179" s="880">
        <v>31</v>
      </c>
      <c r="AH179" s="600"/>
    </row>
    <row r="180" spans="1:35" ht="21" customHeight="1">
      <c r="A180" s="897">
        <v>1</v>
      </c>
      <c r="B180" s="60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898"/>
      <c r="V180" s="1004"/>
      <c r="W180" s="11"/>
      <c r="X180" s="11"/>
      <c r="Y180" s="11"/>
      <c r="Z180" s="11"/>
      <c r="AA180" s="11"/>
      <c r="AB180" s="987"/>
      <c r="AC180" s="11"/>
      <c r="AD180" s="11"/>
      <c r="AE180" s="11"/>
      <c r="AF180" s="11"/>
      <c r="AG180" s="11"/>
      <c r="AH180" s="600"/>
    </row>
    <row r="181" spans="1:35" ht="21" customHeight="1">
      <c r="A181" s="552">
        <v>2</v>
      </c>
      <c r="B181" s="601" t="s">
        <v>660</v>
      </c>
      <c r="C181" s="898"/>
      <c r="D181" s="898"/>
      <c r="E181" s="898"/>
      <c r="F181" s="898"/>
      <c r="G181" s="1033"/>
      <c r="H181" s="1033"/>
      <c r="I181" s="1033"/>
      <c r="J181" s="1033"/>
      <c r="K181" s="1033"/>
      <c r="L181" s="1033"/>
      <c r="M181" s="1033"/>
      <c r="N181" s="1033"/>
      <c r="O181" s="1033"/>
      <c r="P181" s="1033"/>
      <c r="Q181" s="1033"/>
      <c r="R181" s="1033"/>
      <c r="S181" s="1033"/>
      <c r="T181" s="1033"/>
      <c r="U181" s="1033"/>
      <c r="V181" s="1033"/>
      <c r="W181" s="1033"/>
      <c r="X181" s="1033"/>
      <c r="Y181" s="1033"/>
      <c r="Z181" s="1033"/>
      <c r="AA181" s="1033" t="s">
        <v>517</v>
      </c>
      <c r="AB181" s="898" t="s">
        <v>481</v>
      </c>
      <c r="AC181" s="898" t="s">
        <v>481</v>
      </c>
      <c r="AD181" s="898" t="s">
        <v>481</v>
      </c>
      <c r="AE181" s="898"/>
      <c r="AF181" s="898" t="s">
        <v>481</v>
      </c>
      <c r="AG181" s="898" t="s">
        <v>513</v>
      </c>
      <c r="AH181" s="600"/>
    </row>
    <row r="182" spans="1:35" ht="21" customHeight="1">
      <c r="A182" s="552">
        <v>3</v>
      </c>
      <c r="B182" s="601" t="s">
        <v>661</v>
      </c>
      <c r="C182" s="766">
        <v>7</v>
      </c>
      <c r="D182" s="766">
        <v>7</v>
      </c>
      <c r="E182" s="766"/>
      <c r="F182" s="766"/>
      <c r="G182" s="172" t="s">
        <v>481</v>
      </c>
      <c r="H182" s="172" t="s">
        <v>481</v>
      </c>
      <c r="I182" s="172" t="s">
        <v>481</v>
      </c>
      <c r="J182" s="172" t="s">
        <v>481</v>
      </c>
      <c r="K182" s="172" t="s">
        <v>481</v>
      </c>
      <c r="L182" s="766"/>
      <c r="M182" s="766"/>
      <c r="N182" s="766" t="s">
        <v>481</v>
      </c>
      <c r="O182" s="1009" t="s">
        <v>539</v>
      </c>
      <c r="P182" s="766" t="s">
        <v>481</v>
      </c>
      <c r="Q182" s="766" t="s">
        <v>481</v>
      </c>
      <c r="R182" s="766"/>
      <c r="S182" s="766"/>
      <c r="T182" s="766"/>
      <c r="U182" s="766"/>
      <c r="V182" s="1003" t="s">
        <v>485</v>
      </c>
      <c r="W182" s="766" t="s">
        <v>481</v>
      </c>
      <c r="X182" s="766" t="s">
        <v>481</v>
      </c>
      <c r="Y182" s="766" t="s">
        <v>481</v>
      </c>
      <c r="Z182" s="766" t="s">
        <v>513</v>
      </c>
      <c r="AA182" s="766" t="s">
        <v>513</v>
      </c>
      <c r="AB182" s="1034"/>
      <c r="AC182" s="1034"/>
      <c r="AD182" s="1034"/>
      <c r="AE182" s="1034"/>
      <c r="AF182" s="1034"/>
      <c r="AG182" s="1034"/>
      <c r="AH182" s="600"/>
    </row>
    <row r="183" spans="1:35" ht="21" customHeight="1">
      <c r="A183" s="552">
        <v>4</v>
      </c>
      <c r="B183" s="601" t="s">
        <v>662</v>
      </c>
      <c r="C183" s="764" t="s">
        <v>28</v>
      </c>
      <c r="D183" s="764" t="s">
        <v>491</v>
      </c>
      <c r="E183" s="764"/>
      <c r="F183" s="764"/>
      <c r="G183" s="764" t="s">
        <v>491</v>
      </c>
      <c r="H183" s="764" t="s">
        <v>491</v>
      </c>
      <c r="I183" s="764" t="s">
        <v>491</v>
      </c>
      <c r="J183" s="764" t="s">
        <v>491</v>
      </c>
      <c r="K183" s="764" t="s">
        <v>491</v>
      </c>
      <c r="L183" s="764"/>
      <c r="M183" s="764"/>
      <c r="N183" s="764" t="s">
        <v>491</v>
      </c>
      <c r="O183" s="764" t="s">
        <v>491</v>
      </c>
      <c r="P183" s="764" t="s">
        <v>491</v>
      </c>
      <c r="Q183" s="764" t="s">
        <v>491</v>
      </c>
      <c r="R183" s="764"/>
      <c r="S183" s="764"/>
      <c r="T183" s="764"/>
      <c r="U183" s="764" t="s">
        <v>491</v>
      </c>
      <c r="V183" s="764" t="s">
        <v>491</v>
      </c>
      <c r="W183" s="764" t="s">
        <v>491</v>
      </c>
      <c r="X183" s="764" t="s">
        <v>491</v>
      </c>
      <c r="Y183" s="764" t="s">
        <v>491</v>
      </c>
      <c r="Z183" s="764"/>
      <c r="AA183" s="764"/>
      <c r="AB183" s="764" t="s">
        <v>491</v>
      </c>
      <c r="AC183" s="764" t="s">
        <v>491</v>
      </c>
      <c r="AD183" s="764" t="s">
        <v>491</v>
      </c>
      <c r="AE183" s="764"/>
      <c r="AF183" s="764" t="s">
        <v>491</v>
      </c>
      <c r="AG183" s="172"/>
      <c r="AH183" s="600"/>
    </row>
    <row r="184" spans="1:35" ht="21" customHeight="1" thickBot="1">
      <c r="A184" s="861">
        <v>5</v>
      </c>
      <c r="B184" s="874"/>
      <c r="C184" s="863"/>
      <c r="D184" s="863"/>
      <c r="E184" s="863"/>
      <c r="F184" s="863"/>
      <c r="G184" s="863"/>
      <c r="H184" s="863"/>
      <c r="I184" s="899"/>
      <c r="J184" s="863"/>
      <c r="K184" s="863"/>
      <c r="L184" s="863"/>
      <c r="M184" s="863"/>
      <c r="N184" s="863"/>
      <c r="O184" s="863"/>
      <c r="P184" s="863"/>
      <c r="Q184" s="863"/>
      <c r="R184" s="863"/>
      <c r="S184" s="863"/>
      <c r="T184" s="863"/>
      <c r="U184" s="863"/>
      <c r="V184" s="863"/>
      <c r="W184" s="863"/>
      <c r="X184" s="863"/>
      <c r="Y184" s="863"/>
      <c r="Z184" s="863"/>
      <c r="AA184" s="863"/>
      <c r="AB184" s="863"/>
      <c r="AC184" s="863"/>
      <c r="AD184" s="863"/>
      <c r="AE184" s="863"/>
      <c r="AF184" s="863"/>
      <c r="AG184" s="899"/>
      <c r="AH184" s="600"/>
    </row>
    <row r="185" spans="1:35" ht="21" customHeight="1">
      <c r="A185" s="785"/>
      <c r="B185" s="354"/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  <c r="M185" s="139"/>
      <c r="N185" s="786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600"/>
    </row>
    <row r="186" spans="1:35" ht="21.95" customHeight="1" thickBot="1">
      <c r="A186" s="1" t="s">
        <v>663</v>
      </c>
      <c r="B186" s="274"/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</row>
    <row r="187" spans="1:35" ht="21.95" customHeight="1">
      <c r="A187" s="1"/>
      <c r="B187" s="796" t="s">
        <v>664</v>
      </c>
      <c r="C187" s="51" t="s">
        <v>2</v>
      </c>
      <c r="D187" s="51"/>
      <c r="E187" s="51"/>
      <c r="F187" s="51"/>
      <c r="G187" s="798" t="s">
        <v>3</v>
      </c>
      <c r="H187" s="51"/>
      <c r="I187" s="51"/>
      <c r="J187" s="51"/>
      <c r="K187" s="798" t="s">
        <v>4</v>
      </c>
      <c r="L187" s="51"/>
      <c r="M187" s="51"/>
      <c r="N187" s="51"/>
      <c r="O187" s="798" t="s">
        <v>5</v>
      </c>
      <c r="P187" s="51"/>
      <c r="Q187" s="51"/>
      <c r="R187" s="51"/>
      <c r="S187" s="798" t="s">
        <v>6</v>
      </c>
      <c r="T187" s="51"/>
      <c r="U187" s="51"/>
      <c r="V187" s="51"/>
      <c r="W187" s="51"/>
      <c r="X187" s="802" t="s">
        <v>7</v>
      </c>
      <c r="Y187" s="51"/>
      <c r="Z187" s="548"/>
      <c r="AA187" s="7"/>
      <c r="AB187" s="522" t="s">
        <v>8</v>
      </c>
      <c r="AC187" s="51"/>
      <c r="AD187" s="51"/>
      <c r="AE187" s="425" t="s">
        <v>10</v>
      </c>
      <c r="AF187" s="51"/>
      <c r="AG187" s="51"/>
      <c r="AH187" s="51"/>
      <c r="AI187" s="523"/>
    </row>
    <row r="188" spans="1:35" ht="21.95" customHeight="1">
      <c r="A188" s="1"/>
      <c r="B188" s="796">
        <v>3701</v>
      </c>
      <c r="C188" s="55" t="s">
        <v>665</v>
      </c>
      <c r="D188" s="55"/>
      <c r="E188" s="55"/>
      <c r="F188" s="55"/>
      <c r="G188" s="799" t="s">
        <v>124</v>
      </c>
      <c r="H188" s="55"/>
      <c r="I188" s="55"/>
      <c r="J188" s="55"/>
      <c r="K188" s="799" t="s">
        <v>124</v>
      </c>
      <c r="L188" s="55"/>
      <c r="M188" s="55"/>
      <c r="N188" s="55"/>
      <c r="O188" s="799" t="s">
        <v>124</v>
      </c>
      <c r="P188" s="55"/>
      <c r="Q188" s="55"/>
      <c r="R188" s="55"/>
      <c r="S188" s="799" t="s">
        <v>125</v>
      </c>
      <c r="T188" s="55"/>
      <c r="U188" s="55"/>
      <c r="V188" s="55"/>
      <c r="W188" s="55"/>
      <c r="X188" s="803"/>
      <c r="Y188" s="55"/>
      <c r="Z188" s="602"/>
      <c r="AA188" s="14"/>
      <c r="AB188" s="603"/>
      <c r="AC188" s="55"/>
      <c r="AD188" s="55"/>
      <c r="AE188" s="604"/>
      <c r="AF188" s="55"/>
      <c r="AG188" s="55"/>
      <c r="AH188" s="55"/>
      <c r="AI188" s="605"/>
    </row>
    <row r="189" spans="1:35" ht="21.95" customHeight="1">
      <c r="B189" s="796">
        <v>3700</v>
      </c>
      <c r="C189" s="157" t="s">
        <v>535</v>
      </c>
      <c r="D189" s="157"/>
      <c r="E189" s="157"/>
      <c r="F189" s="157"/>
      <c r="G189" s="712" t="s">
        <v>535</v>
      </c>
      <c r="H189" s="157"/>
      <c r="I189" s="157"/>
      <c r="J189" s="157"/>
      <c r="K189" s="712" t="s">
        <v>535</v>
      </c>
      <c r="L189" s="157"/>
      <c r="M189" s="157"/>
      <c r="N189" s="157"/>
      <c r="O189" s="712" t="s">
        <v>535</v>
      </c>
      <c r="P189" s="157"/>
      <c r="Q189" s="157"/>
      <c r="R189" s="157"/>
      <c r="S189" s="712" t="s">
        <v>116</v>
      </c>
      <c r="T189" s="157"/>
      <c r="U189" s="157"/>
      <c r="V189" s="157"/>
      <c r="W189" s="157"/>
      <c r="X189" s="712"/>
      <c r="Y189" s="157"/>
      <c r="Z189" s="564"/>
      <c r="AA189" s="563"/>
      <c r="AB189" s="157"/>
      <c r="AC189" s="157"/>
      <c r="AD189" s="565"/>
      <c r="AE189" s="607"/>
      <c r="AF189" s="157"/>
      <c r="AG189" s="157" t="s">
        <v>28</v>
      </c>
      <c r="AH189" s="565"/>
      <c r="AI189" s="490"/>
    </row>
    <row r="190" spans="1:35" ht="21.95" customHeight="1">
      <c r="A190" s="1"/>
      <c r="B190" s="796">
        <v>8514</v>
      </c>
      <c r="C190" s="157" t="s">
        <v>124</v>
      </c>
      <c r="D190" s="157"/>
      <c r="E190" s="157"/>
      <c r="F190" s="157"/>
      <c r="G190" s="712" t="s">
        <v>124</v>
      </c>
      <c r="H190" s="157"/>
      <c r="I190" s="157"/>
      <c r="J190" s="157"/>
      <c r="K190" s="712" t="s">
        <v>124</v>
      </c>
      <c r="L190" s="157"/>
      <c r="M190" s="157"/>
      <c r="N190" s="157"/>
      <c r="O190" s="712" t="s">
        <v>124</v>
      </c>
      <c r="P190" s="157"/>
      <c r="Q190" s="157"/>
      <c r="R190" s="157"/>
      <c r="S190" s="712" t="s">
        <v>666</v>
      </c>
      <c r="T190" s="157"/>
      <c r="U190" s="157"/>
      <c r="V190" s="157"/>
      <c r="W190" s="157"/>
      <c r="X190" s="712"/>
      <c r="Y190" s="157"/>
      <c r="Z190" s="564"/>
      <c r="AA190" s="121"/>
      <c r="AB190" s="157"/>
      <c r="AC190" s="157"/>
      <c r="AD190" s="565"/>
      <c r="AE190" s="121"/>
      <c r="AF190" s="157"/>
      <c r="AG190" s="157"/>
      <c r="AH190" s="565"/>
      <c r="AI190" s="490"/>
    </row>
    <row r="191" spans="1:35" ht="21.95" customHeight="1">
      <c r="A191" s="1"/>
      <c r="B191" s="796">
        <v>8500</v>
      </c>
      <c r="C191" s="55" t="s">
        <v>11</v>
      </c>
      <c r="D191" s="55"/>
      <c r="E191" s="55"/>
      <c r="F191" s="55"/>
      <c r="G191" s="799" t="s">
        <v>11</v>
      </c>
      <c r="H191" s="55"/>
      <c r="I191" s="55"/>
      <c r="J191" s="55"/>
      <c r="K191" s="799" t="s">
        <v>11</v>
      </c>
      <c r="L191" s="55"/>
      <c r="M191" s="55"/>
      <c r="N191" s="55"/>
      <c r="O191" s="799" t="s">
        <v>11</v>
      </c>
      <c r="P191" s="55"/>
      <c r="Q191" s="55"/>
      <c r="R191" s="55"/>
      <c r="S191" s="799" t="s">
        <v>12</v>
      </c>
      <c r="T191" s="55"/>
      <c r="U191" s="55"/>
      <c r="V191" s="55"/>
      <c r="W191" s="55"/>
      <c r="X191" s="799"/>
      <c r="Y191" s="55"/>
      <c r="Z191" s="609"/>
      <c r="AA191" s="608"/>
      <c r="AB191" s="55"/>
      <c r="AC191" s="55"/>
      <c r="AD191" s="609"/>
      <c r="AE191" s="608"/>
      <c r="AF191" s="55"/>
      <c r="AG191" s="55"/>
      <c r="AH191" s="594"/>
      <c r="AI191" s="605"/>
    </row>
    <row r="192" spans="1:35" ht="21.95" customHeight="1">
      <c r="A192" s="1"/>
      <c r="B192" s="796">
        <v>8514</v>
      </c>
      <c r="C192" s="610" t="s">
        <v>124</v>
      </c>
      <c r="D192" s="610"/>
      <c r="E192" s="610"/>
      <c r="F192" s="610"/>
      <c r="G192" s="800" t="s">
        <v>124</v>
      </c>
      <c r="H192" s="610"/>
      <c r="I192" s="610"/>
      <c r="J192" s="610"/>
      <c r="K192" s="800" t="s">
        <v>124</v>
      </c>
      <c r="L192" s="610"/>
      <c r="M192" s="610"/>
      <c r="N192" s="610"/>
      <c r="O192" s="800" t="s">
        <v>124</v>
      </c>
      <c r="P192" s="610"/>
      <c r="Q192" s="610"/>
      <c r="R192" s="610"/>
      <c r="S192" s="800" t="s">
        <v>666</v>
      </c>
      <c r="T192" s="610"/>
      <c r="U192" s="610"/>
      <c r="V192" s="610"/>
      <c r="W192" s="610"/>
      <c r="X192" s="803"/>
      <c r="Y192" s="55"/>
      <c r="Z192" s="602"/>
      <c r="AA192" s="14"/>
      <c r="AB192" s="603"/>
      <c r="AC192" s="55"/>
      <c r="AD192" s="55"/>
      <c r="AE192" s="604"/>
      <c r="AF192" s="55"/>
      <c r="AG192" s="55"/>
      <c r="AH192" s="55"/>
      <c r="AI192" s="605"/>
    </row>
    <row r="193" spans="1:35" ht="21.95" customHeight="1" thickBot="1">
      <c r="A193" s="1"/>
      <c r="B193" s="797" t="s">
        <v>667</v>
      </c>
      <c r="C193" s="53" t="s">
        <v>668</v>
      </c>
      <c r="D193" s="53"/>
      <c r="E193" s="53"/>
      <c r="F193" s="53"/>
      <c r="G193" s="801" t="s">
        <v>668</v>
      </c>
      <c r="H193" s="53"/>
      <c r="I193" s="53"/>
      <c r="J193" s="53"/>
      <c r="K193" s="53" t="s">
        <v>668</v>
      </c>
      <c r="L193" s="53"/>
      <c r="M193" s="53"/>
      <c r="N193" s="53"/>
      <c r="O193" s="801" t="s">
        <v>668</v>
      </c>
      <c r="P193" s="53"/>
      <c r="Q193" s="53"/>
      <c r="R193" s="53"/>
      <c r="S193" s="801" t="s">
        <v>669</v>
      </c>
      <c r="T193" s="53"/>
      <c r="U193" s="53"/>
      <c r="V193" s="53"/>
      <c r="W193" s="53"/>
      <c r="X193" s="801"/>
      <c r="Y193" s="53"/>
      <c r="Z193" s="571"/>
      <c r="AA193" s="570"/>
      <c r="AB193" s="53"/>
      <c r="AC193" s="53"/>
      <c r="AD193" s="573"/>
      <c r="AE193" s="612"/>
      <c r="AF193" s="53"/>
      <c r="AG193" s="53" t="s">
        <v>28</v>
      </c>
      <c r="AH193" s="573"/>
      <c r="AI193" s="536"/>
    </row>
    <row r="194" spans="1:35" ht="21.95" customHeight="1">
      <c r="A194" s="1"/>
      <c r="B194" s="72"/>
      <c r="C194" s="312"/>
      <c r="F194" s="354"/>
      <c r="G194" s="312"/>
      <c r="J194" s="354"/>
      <c r="K194" s="312"/>
      <c r="N194" s="354"/>
      <c r="O194" s="312"/>
      <c r="R194" s="354"/>
      <c r="S194" s="312"/>
      <c r="V194" s="354"/>
      <c r="W194" s="354"/>
      <c r="Z194" s="354"/>
      <c r="AA194" s="354"/>
      <c r="AD194" s="354"/>
      <c r="AE194" s="354"/>
      <c r="AH194" s="354"/>
    </row>
    <row r="195" spans="1:35" ht="21.95" customHeight="1" thickBot="1">
      <c r="A195" s="1" t="s">
        <v>670</v>
      </c>
      <c r="B195" s="72"/>
      <c r="C195" s="312"/>
      <c r="F195" s="354"/>
      <c r="G195" s="312"/>
      <c r="J195" s="354"/>
      <c r="K195" s="312"/>
      <c r="N195" s="354"/>
      <c r="O195" s="312"/>
      <c r="R195" s="354"/>
      <c r="S195" s="312"/>
      <c r="V195" s="354"/>
      <c r="W195" s="354"/>
      <c r="Z195" s="354"/>
      <c r="AA195" s="354"/>
      <c r="AD195" s="354"/>
      <c r="AE195" s="354"/>
      <c r="AH195" s="354"/>
    </row>
    <row r="196" spans="1:35" ht="21.95" customHeight="1" thickBot="1">
      <c r="A196" s="861"/>
      <c r="B196" s="862" t="s">
        <v>476</v>
      </c>
      <c r="C196" s="880">
        <v>1</v>
      </c>
      <c r="D196" s="863">
        <v>2</v>
      </c>
      <c r="E196" s="880">
        <v>3</v>
      </c>
      <c r="F196" s="880">
        <v>4</v>
      </c>
      <c r="G196" s="863">
        <v>5</v>
      </c>
      <c r="H196" s="863">
        <v>6</v>
      </c>
      <c r="I196" s="863">
        <v>7</v>
      </c>
      <c r="J196" s="863">
        <v>8</v>
      </c>
      <c r="K196" s="863">
        <v>9</v>
      </c>
      <c r="L196" s="880">
        <v>10</v>
      </c>
      <c r="M196" s="880">
        <v>11</v>
      </c>
      <c r="N196" s="863">
        <v>12</v>
      </c>
      <c r="O196" s="863">
        <v>13</v>
      </c>
      <c r="P196" s="863">
        <v>14</v>
      </c>
      <c r="Q196" s="863">
        <v>15</v>
      </c>
      <c r="R196" s="880">
        <v>16</v>
      </c>
      <c r="S196" s="880">
        <v>17</v>
      </c>
      <c r="T196" s="880">
        <v>18</v>
      </c>
      <c r="U196" s="863">
        <v>19</v>
      </c>
      <c r="V196" s="863">
        <v>20</v>
      </c>
      <c r="W196" s="863">
        <v>21</v>
      </c>
      <c r="X196" s="863">
        <v>22</v>
      </c>
      <c r="Y196" s="863">
        <v>23</v>
      </c>
      <c r="Z196" s="880">
        <v>24</v>
      </c>
      <c r="AA196" s="880">
        <v>25</v>
      </c>
      <c r="AB196" s="863">
        <v>26</v>
      </c>
      <c r="AC196" s="863">
        <v>27</v>
      </c>
      <c r="AD196" s="863">
        <v>28</v>
      </c>
      <c r="AE196" s="880">
        <v>29</v>
      </c>
      <c r="AF196" s="863">
        <v>30</v>
      </c>
      <c r="AG196" s="880">
        <v>31</v>
      </c>
      <c r="AH196" s="864" t="s">
        <v>477</v>
      </c>
      <c r="AI196" s="865" t="s">
        <v>478</v>
      </c>
    </row>
    <row r="197" spans="1:35" ht="21.95" customHeight="1">
      <c r="A197" s="897"/>
      <c r="B197" s="900" t="s">
        <v>671</v>
      </c>
      <c r="C197" s="764" t="s">
        <v>28</v>
      </c>
      <c r="D197" s="764" t="s">
        <v>491</v>
      </c>
      <c r="E197" s="764"/>
      <c r="F197" s="764"/>
      <c r="G197" s="764" t="s">
        <v>491</v>
      </c>
      <c r="H197" s="764" t="s">
        <v>491</v>
      </c>
      <c r="I197" s="764" t="s">
        <v>491</v>
      </c>
      <c r="J197" s="764" t="s">
        <v>491</v>
      </c>
      <c r="K197" s="764" t="s">
        <v>491</v>
      </c>
      <c r="L197" s="764"/>
      <c r="M197" s="764"/>
      <c r="N197" s="1003" t="s">
        <v>485</v>
      </c>
      <c r="O197" s="764" t="s">
        <v>491</v>
      </c>
      <c r="P197" s="764" t="s">
        <v>491</v>
      </c>
      <c r="Q197" s="764" t="s">
        <v>491</v>
      </c>
      <c r="R197" s="764"/>
      <c r="S197" s="764"/>
      <c r="T197" s="764"/>
      <c r="U197" s="764" t="s">
        <v>491</v>
      </c>
      <c r="V197" s="764" t="s">
        <v>491</v>
      </c>
      <c r="W197" s="1051" t="s">
        <v>491</v>
      </c>
      <c r="X197" s="764" t="s">
        <v>491</v>
      </c>
      <c r="Y197" s="764" t="s">
        <v>491</v>
      </c>
      <c r="Z197" s="764"/>
      <c r="AA197" s="764"/>
      <c r="AB197" s="764" t="s">
        <v>491</v>
      </c>
      <c r="AC197" s="764" t="s">
        <v>491</v>
      </c>
      <c r="AD197" s="764" t="s">
        <v>491</v>
      </c>
      <c r="AE197" s="764"/>
      <c r="AF197" s="964" t="s">
        <v>491</v>
      </c>
      <c r="AG197" s="882"/>
      <c r="AH197" s="901">
        <v>222</v>
      </c>
      <c r="AI197" s="902">
        <v>37</v>
      </c>
    </row>
    <row r="198" spans="1:35" ht="21.95" customHeight="1" thickBot="1">
      <c r="A198" s="614">
        <v>8500</v>
      </c>
      <c r="B198" s="790" t="s">
        <v>156</v>
      </c>
      <c r="C198" s="764" t="s">
        <v>28</v>
      </c>
      <c r="D198" s="764" t="s">
        <v>491</v>
      </c>
      <c r="E198" s="764"/>
      <c r="F198" s="764"/>
      <c r="G198" s="764" t="s">
        <v>491</v>
      </c>
      <c r="H198" s="764" t="s">
        <v>491</v>
      </c>
      <c r="I198" s="764" t="s">
        <v>491</v>
      </c>
      <c r="J198" s="764" t="s">
        <v>491</v>
      </c>
      <c r="K198" s="764" t="s">
        <v>491</v>
      </c>
      <c r="L198" s="764"/>
      <c r="M198" s="764"/>
      <c r="N198" s="764" t="s">
        <v>491</v>
      </c>
      <c r="O198" s="1003" t="s">
        <v>485</v>
      </c>
      <c r="P198" s="764" t="s">
        <v>491</v>
      </c>
      <c r="Q198" s="764" t="s">
        <v>491</v>
      </c>
      <c r="R198" s="764"/>
      <c r="S198" s="764"/>
      <c r="T198" s="764"/>
      <c r="U198" s="764" t="s">
        <v>491</v>
      </c>
      <c r="V198" s="764" t="s">
        <v>491</v>
      </c>
      <c r="W198" s="764" t="s">
        <v>491</v>
      </c>
      <c r="X198" s="764" t="s">
        <v>491</v>
      </c>
      <c r="Y198" s="764" t="s">
        <v>491</v>
      </c>
      <c r="Z198" s="764"/>
      <c r="AA198" s="875"/>
      <c r="AB198" s="764" t="s">
        <v>491</v>
      </c>
      <c r="AC198" s="764" t="s">
        <v>491</v>
      </c>
      <c r="AD198" s="764" t="s">
        <v>491</v>
      </c>
      <c r="AE198" s="764"/>
      <c r="AF198" s="964" t="s">
        <v>491</v>
      </c>
      <c r="AG198" s="882"/>
      <c r="AH198" s="597">
        <v>185</v>
      </c>
      <c r="AI198" s="598">
        <v>37</v>
      </c>
    </row>
    <row r="199" spans="1:35" ht="21" customHeight="1">
      <c r="A199" s="442"/>
      <c r="B199" s="789" t="s">
        <v>672</v>
      </c>
      <c r="C199" s="764" t="s">
        <v>28</v>
      </c>
      <c r="D199" s="764" t="s">
        <v>491</v>
      </c>
      <c r="E199" s="764"/>
      <c r="F199" s="764"/>
      <c r="G199" s="764" t="s">
        <v>491</v>
      </c>
      <c r="H199" s="764" t="s">
        <v>491</v>
      </c>
      <c r="I199" s="764" t="s">
        <v>491</v>
      </c>
      <c r="J199" s="764" t="s">
        <v>491</v>
      </c>
      <c r="K199" s="764" t="s">
        <v>491</v>
      </c>
      <c r="L199" s="764"/>
      <c r="M199" s="764"/>
      <c r="N199" s="764" t="s">
        <v>491</v>
      </c>
      <c r="O199" s="1003" t="s">
        <v>485</v>
      </c>
      <c r="P199" s="764" t="s">
        <v>491</v>
      </c>
      <c r="Q199" s="764" t="s">
        <v>491</v>
      </c>
      <c r="R199" s="764"/>
      <c r="S199" s="764"/>
      <c r="T199" s="764"/>
      <c r="U199" s="764" t="s">
        <v>491</v>
      </c>
      <c r="V199" s="764" t="s">
        <v>491</v>
      </c>
      <c r="W199" s="764" t="s">
        <v>491</v>
      </c>
      <c r="X199" s="764" t="s">
        <v>491</v>
      </c>
      <c r="Y199" s="764" t="s">
        <v>491</v>
      </c>
      <c r="Z199" s="764"/>
      <c r="AA199" s="764"/>
      <c r="AB199" s="764" t="s">
        <v>491</v>
      </c>
      <c r="AC199" s="764" t="s">
        <v>491</v>
      </c>
      <c r="AD199" s="764" t="s">
        <v>491</v>
      </c>
      <c r="AE199" s="764"/>
      <c r="AF199" s="764" t="s">
        <v>491</v>
      </c>
      <c r="AG199" s="882"/>
      <c r="AH199" s="597">
        <v>185</v>
      </c>
      <c r="AI199" s="598">
        <v>37</v>
      </c>
    </row>
    <row r="200" spans="1:35" ht="21" customHeight="1">
      <c r="A200" s="442">
        <v>8521</v>
      </c>
      <c r="B200" s="789" t="s">
        <v>673</v>
      </c>
      <c r="C200" s="764" t="s">
        <v>28</v>
      </c>
      <c r="D200" s="764" t="s">
        <v>491</v>
      </c>
      <c r="E200" s="764"/>
      <c r="F200" s="764"/>
      <c r="G200" s="764" t="s">
        <v>491</v>
      </c>
      <c r="H200" s="764" t="s">
        <v>491</v>
      </c>
      <c r="I200" s="764" t="s">
        <v>491</v>
      </c>
      <c r="J200" s="764" t="s">
        <v>491</v>
      </c>
      <c r="K200" s="764" t="s">
        <v>491</v>
      </c>
      <c r="L200" s="764"/>
      <c r="M200" s="764"/>
      <c r="N200" s="764" t="s">
        <v>491</v>
      </c>
      <c r="O200" s="764" t="s">
        <v>491</v>
      </c>
      <c r="P200" s="764" t="s">
        <v>491</v>
      </c>
      <c r="Q200" s="764" t="s">
        <v>491</v>
      </c>
      <c r="R200" s="764"/>
      <c r="S200" s="764"/>
      <c r="T200" s="764"/>
      <c r="U200" s="764" t="s">
        <v>491</v>
      </c>
      <c r="V200" s="1003" t="s">
        <v>485</v>
      </c>
      <c r="W200" s="764" t="s">
        <v>491</v>
      </c>
      <c r="X200" s="764" t="s">
        <v>491</v>
      </c>
      <c r="Y200" s="764" t="s">
        <v>491</v>
      </c>
      <c r="Z200" s="764"/>
      <c r="AA200" s="764"/>
      <c r="AB200" s="764" t="s">
        <v>491</v>
      </c>
      <c r="AC200" s="764" t="s">
        <v>491</v>
      </c>
      <c r="AD200" s="764" t="s">
        <v>491</v>
      </c>
      <c r="AE200" s="764"/>
      <c r="AF200" s="1057" t="s">
        <v>491</v>
      </c>
      <c r="AG200" s="882"/>
      <c r="AH200" s="597">
        <v>222</v>
      </c>
      <c r="AI200" s="598">
        <v>37</v>
      </c>
    </row>
    <row r="201" spans="1:35" ht="21" customHeight="1" thickBot="1">
      <c r="A201" s="442"/>
      <c r="B201" s="791" t="s">
        <v>674</v>
      </c>
      <c r="C201" s="764" t="s">
        <v>28</v>
      </c>
      <c r="D201" s="764" t="s">
        <v>491</v>
      </c>
      <c r="E201" s="764"/>
      <c r="F201" s="764"/>
      <c r="G201" s="764" t="s">
        <v>491</v>
      </c>
      <c r="H201" s="764" t="s">
        <v>491</v>
      </c>
      <c r="I201" s="764" t="s">
        <v>491</v>
      </c>
      <c r="J201" s="764" t="s">
        <v>491</v>
      </c>
      <c r="K201" s="764" t="s">
        <v>491</v>
      </c>
      <c r="L201" s="764"/>
      <c r="M201" s="764"/>
      <c r="N201" s="764" t="s">
        <v>491</v>
      </c>
      <c r="O201" s="764" t="s">
        <v>491</v>
      </c>
      <c r="P201" s="764" t="s">
        <v>491</v>
      </c>
      <c r="Q201" s="764" t="s">
        <v>491</v>
      </c>
      <c r="R201" s="764"/>
      <c r="S201" s="764"/>
      <c r="T201" s="764"/>
      <c r="U201" s="764" t="s">
        <v>491</v>
      </c>
      <c r="V201" s="1003" t="s">
        <v>485</v>
      </c>
      <c r="W201" s="764" t="s">
        <v>491</v>
      </c>
      <c r="X201" s="764" t="s">
        <v>491</v>
      </c>
      <c r="Y201" s="764" t="s">
        <v>491</v>
      </c>
      <c r="Z201" s="764"/>
      <c r="AA201" s="875"/>
      <c r="AB201" s="768" t="s">
        <v>485</v>
      </c>
      <c r="AC201" s="764" t="s">
        <v>491</v>
      </c>
      <c r="AD201" s="764" t="s">
        <v>491</v>
      </c>
      <c r="AE201" s="764"/>
      <c r="AF201" s="964" t="s">
        <v>491</v>
      </c>
      <c r="AG201" s="882"/>
      <c r="AH201" s="597">
        <v>185</v>
      </c>
      <c r="AI201" s="598">
        <v>37</v>
      </c>
    </row>
    <row r="202" spans="1:35" ht="21" customHeight="1">
      <c r="A202" s="442">
        <v>8514</v>
      </c>
      <c r="B202" s="542" t="s">
        <v>675</v>
      </c>
      <c r="C202" s="764" t="s">
        <v>28</v>
      </c>
      <c r="D202" s="764" t="s">
        <v>491</v>
      </c>
      <c r="E202" s="764"/>
      <c r="F202" s="764"/>
      <c r="G202" s="764" t="s">
        <v>491</v>
      </c>
      <c r="H202" s="764" t="s">
        <v>491</v>
      </c>
      <c r="I202" s="764" t="s">
        <v>491</v>
      </c>
      <c r="J202" s="764" t="s">
        <v>491</v>
      </c>
      <c r="K202" s="764" t="s">
        <v>491</v>
      </c>
      <c r="L202" s="764"/>
      <c r="M202" s="764"/>
      <c r="N202" s="764" t="s">
        <v>491</v>
      </c>
      <c r="O202" s="764" t="s">
        <v>491</v>
      </c>
      <c r="P202" s="764" t="s">
        <v>491</v>
      </c>
      <c r="Q202" s="764" t="s">
        <v>491</v>
      </c>
      <c r="R202" s="764" t="s">
        <v>485</v>
      </c>
      <c r="S202" s="764"/>
      <c r="T202" s="764"/>
      <c r="U202" s="764" t="s">
        <v>491</v>
      </c>
      <c r="V202" s="764" t="s">
        <v>491</v>
      </c>
      <c r="W202" s="764" t="s">
        <v>491</v>
      </c>
      <c r="X202" s="764" t="s">
        <v>491</v>
      </c>
      <c r="Y202" s="764" t="s">
        <v>491</v>
      </c>
      <c r="Z202" s="764"/>
      <c r="AA202" s="764"/>
      <c r="AB202" s="964" t="s">
        <v>491</v>
      </c>
      <c r="AC202" s="964" t="s">
        <v>491</v>
      </c>
      <c r="AD202" s="964" t="s">
        <v>491</v>
      </c>
      <c r="AE202" s="764"/>
      <c r="AF202" s="964" t="s">
        <v>491</v>
      </c>
      <c r="AG202" s="882"/>
      <c r="AH202" s="597">
        <v>186</v>
      </c>
      <c r="AI202" s="598">
        <v>37</v>
      </c>
    </row>
    <row r="203" spans="1:35" ht="21.95" customHeight="1">
      <c r="A203" s="442">
        <v>3701</v>
      </c>
      <c r="B203" s="789" t="s">
        <v>433</v>
      </c>
      <c r="C203" s="764" t="s">
        <v>28</v>
      </c>
      <c r="D203" s="764" t="s">
        <v>491</v>
      </c>
      <c r="E203" s="764"/>
      <c r="F203" s="764"/>
      <c r="G203" s="764" t="s">
        <v>491</v>
      </c>
      <c r="H203" s="764" t="s">
        <v>491</v>
      </c>
      <c r="I203" s="764" t="s">
        <v>491</v>
      </c>
      <c r="J203" s="764" t="s">
        <v>491</v>
      </c>
      <c r="K203" s="764" t="s">
        <v>491</v>
      </c>
      <c r="L203" s="764"/>
      <c r="M203" s="764"/>
      <c r="N203" s="764" t="s">
        <v>491</v>
      </c>
      <c r="O203" s="764" t="s">
        <v>491</v>
      </c>
      <c r="P203" s="764" t="s">
        <v>491</v>
      </c>
      <c r="Q203" s="764" t="s">
        <v>491</v>
      </c>
      <c r="R203" s="764"/>
      <c r="S203" s="764"/>
      <c r="T203" s="764"/>
      <c r="U203" s="764" t="s">
        <v>491</v>
      </c>
      <c r="V203" s="764" t="s">
        <v>491</v>
      </c>
      <c r="W203" s="764" t="s">
        <v>491</v>
      </c>
      <c r="X203" s="764" t="s">
        <v>491</v>
      </c>
      <c r="Y203" s="764" t="s">
        <v>491</v>
      </c>
      <c r="Z203" s="764"/>
      <c r="AA203" s="764"/>
      <c r="AB203" s="768" t="s">
        <v>485</v>
      </c>
      <c r="AC203" s="764" t="s">
        <v>491</v>
      </c>
      <c r="AD203" s="764" t="s">
        <v>491</v>
      </c>
      <c r="AE203" s="764"/>
      <c r="AF203" s="764" t="s">
        <v>491</v>
      </c>
      <c r="AG203" s="882"/>
      <c r="AH203" s="597">
        <v>185</v>
      </c>
      <c r="AI203" s="598">
        <v>37</v>
      </c>
    </row>
    <row r="204" spans="1:35" ht="21.95" customHeight="1">
      <c r="A204" s="442">
        <v>3701</v>
      </c>
      <c r="B204" s="789" t="s">
        <v>676</v>
      </c>
      <c r="C204" s="764" t="s">
        <v>28</v>
      </c>
      <c r="D204" s="764" t="s">
        <v>491</v>
      </c>
      <c r="E204" s="764"/>
      <c r="F204" s="764"/>
      <c r="G204" s="764" t="s">
        <v>491</v>
      </c>
      <c r="H204" s="764" t="s">
        <v>491</v>
      </c>
      <c r="I204" s="764" t="s">
        <v>491</v>
      </c>
      <c r="J204" s="764" t="s">
        <v>491</v>
      </c>
      <c r="K204" s="764" t="s">
        <v>491</v>
      </c>
      <c r="L204" s="764"/>
      <c r="M204" s="764"/>
      <c r="N204" s="764" t="s">
        <v>491</v>
      </c>
      <c r="O204" s="985" t="s">
        <v>491</v>
      </c>
      <c r="P204" s="985" t="s">
        <v>491</v>
      </c>
      <c r="Q204" s="985"/>
      <c r="R204" s="764"/>
      <c r="S204" s="764"/>
      <c r="T204" s="764"/>
      <c r="U204" s="764" t="s">
        <v>491</v>
      </c>
      <c r="V204" s="764" t="s">
        <v>491</v>
      </c>
      <c r="W204" s="764" t="s">
        <v>491</v>
      </c>
      <c r="X204" s="764" t="s">
        <v>491</v>
      </c>
      <c r="Y204" s="764" t="s">
        <v>491</v>
      </c>
      <c r="Z204" s="764"/>
      <c r="AA204" s="764"/>
      <c r="AB204" s="764">
        <v>19</v>
      </c>
      <c r="AC204" s="764">
        <v>19</v>
      </c>
      <c r="AD204" s="764">
        <v>19</v>
      </c>
      <c r="AE204" s="764"/>
      <c r="AF204" s="764">
        <v>19</v>
      </c>
      <c r="AG204" s="882"/>
      <c r="AH204" s="597">
        <v>185</v>
      </c>
      <c r="AI204" s="598">
        <v>37</v>
      </c>
    </row>
    <row r="205" spans="1:35" ht="21.95" customHeight="1">
      <c r="A205" s="442">
        <v>3701</v>
      </c>
      <c r="B205" s="789" t="s">
        <v>438</v>
      </c>
      <c r="C205" s="764" t="s">
        <v>28</v>
      </c>
      <c r="D205" s="764" t="s">
        <v>491</v>
      </c>
      <c r="E205" s="764"/>
      <c r="F205" s="764"/>
      <c r="G205" s="764">
        <v>19</v>
      </c>
      <c r="H205" s="764">
        <v>19</v>
      </c>
      <c r="I205" s="764">
        <v>19</v>
      </c>
      <c r="J205" s="764">
        <v>19</v>
      </c>
      <c r="K205" s="764">
        <v>19</v>
      </c>
      <c r="L205" s="764"/>
      <c r="M205" s="764"/>
      <c r="N205" s="764" t="s">
        <v>491</v>
      </c>
      <c r="O205" s="764" t="s">
        <v>491</v>
      </c>
      <c r="P205" s="764" t="s">
        <v>491</v>
      </c>
      <c r="Q205" s="764" t="s">
        <v>491</v>
      </c>
      <c r="R205" s="764"/>
      <c r="S205" s="764"/>
      <c r="T205" s="764"/>
      <c r="U205" s="764" t="s">
        <v>491</v>
      </c>
      <c r="V205" s="764" t="s">
        <v>491</v>
      </c>
      <c r="W205" s="764" t="s">
        <v>491</v>
      </c>
      <c r="X205" s="764" t="s">
        <v>491</v>
      </c>
      <c r="Y205" s="764" t="s">
        <v>491</v>
      </c>
      <c r="Z205" s="764"/>
      <c r="AA205" s="764"/>
      <c r="AB205" s="768" t="s">
        <v>485</v>
      </c>
      <c r="AC205" s="764" t="s">
        <v>485</v>
      </c>
      <c r="AD205" s="764" t="s">
        <v>485</v>
      </c>
      <c r="AE205" s="764"/>
      <c r="AF205" s="964" t="s">
        <v>485</v>
      </c>
      <c r="AG205" s="882"/>
      <c r="AH205" s="597">
        <v>186.75</v>
      </c>
      <c r="AI205" s="598">
        <v>37</v>
      </c>
    </row>
    <row r="206" spans="1:35" ht="21.95" customHeight="1">
      <c r="A206" s="442">
        <v>3701</v>
      </c>
      <c r="B206" s="789" t="s">
        <v>439</v>
      </c>
      <c r="C206" s="764" t="s">
        <v>28</v>
      </c>
      <c r="D206" s="764" t="s">
        <v>491</v>
      </c>
      <c r="E206" s="764"/>
      <c r="F206" s="764"/>
      <c r="G206" s="764" t="s">
        <v>485</v>
      </c>
      <c r="H206" s="764" t="s">
        <v>485</v>
      </c>
      <c r="I206" s="764" t="s">
        <v>485</v>
      </c>
      <c r="J206" s="764" t="s">
        <v>485</v>
      </c>
      <c r="K206" s="764" t="s">
        <v>485</v>
      </c>
      <c r="L206" s="764"/>
      <c r="M206" s="764"/>
      <c r="N206" s="764" t="s">
        <v>491</v>
      </c>
      <c r="O206" s="764" t="s">
        <v>491</v>
      </c>
      <c r="P206" s="764" t="s">
        <v>491</v>
      </c>
      <c r="Q206" s="764" t="s">
        <v>491</v>
      </c>
      <c r="R206" s="764"/>
      <c r="S206" s="764"/>
      <c r="T206" s="764"/>
      <c r="U206" s="764">
        <v>19</v>
      </c>
      <c r="V206" s="764">
        <v>19</v>
      </c>
      <c r="W206" s="764">
        <v>19</v>
      </c>
      <c r="X206" s="764">
        <v>19</v>
      </c>
      <c r="Y206" s="764">
        <v>19</v>
      </c>
      <c r="Z206" s="764"/>
      <c r="AA206" s="764"/>
      <c r="AB206" s="764" t="s">
        <v>491</v>
      </c>
      <c r="AC206" s="764" t="s">
        <v>491</v>
      </c>
      <c r="AD206" s="764" t="s">
        <v>491</v>
      </c>
      <c r="AE206" s="764"/>
      <c r="AF206" s="964" t="s">
        <v>491</v>
      </c>
      <c r="AG206" s="882"/>
      <c r="AH206" s="597">
        <v>187.5</v>
      </c>
      <c r="AI206" s="598">
        <v>37</v>
      </c>
    </row>
    <row r="207" spans="1:35" ht="21.95" customHeight="1">
      <c r="A207" s="442">
        <v>3701</v>
      </c>
      <c r="B207" s="789" t="s">
        <v>677</v>
      </c>
      <c r="C207" s="764" t="s">
        <v>28</v>
      </c>
      <c r="D207" s="764" t="s">
        <v>491</v>
      </c>
      <c r="E207" s="764"/>
      <c r="F207" s="764"/>
      <c r="G207" s="764" t="s">
        <v>491</v>
      </c>
      <c r="H207" s="764" t="s">
        <v>491</v>
      </c>
      <c r="I207" s="764" t="s">
        <v>491</v>
      </c>
      <c r="J207" s="764" t="s">
        <v>491</v>
      </c>
      <c r="K207" s="764" t="s">
        <v>491</v>
      </c>
      <c r="L207" s="764"/>
      <c r="M207" s="764"/>
      <c r="N207" s="764">
        <v>19</v>
      </c>
      <c r="O207" s="764">
        <v>19</v>
      </c>
      <c r="P207" s="764">
        <v>19</v>
      </c>
      <c r="Q207" s="764">
        <v>19</v>
      </c>
      <c r="R207" s="764"/>
      <c r="S207" s="764"/>
      <c r="T207" s="764"/>
      <c r="U207" s="764" t="s">
        <v>491</v>
      </c>
      <c r="V207" s="764" t="s">
        <v>491</v>
      </c>
      <c r="W207" s="764" t="s">
        <v>491</v>
      </c>
      <c r="X207" s="764" t="s">
        <v>491</v>
      </c>
      <c r="Y207" s="764" t="s">
        <v>491</v>
      </c>
      <c r="Z207" s="764"/>
      <c r="AA207" s="764"/>
      <c r="AB207" s="764" t="s">
        <v>491</v>
      </c>
      <c r="AC207" s="764" t="s">
        <v>491</v>
      </c>
      <c r="AD207" s="764" t="s">
        <v>491</v>
      </c>
      <c r="AE207" s="764"/>
      <c r="AF207" s="764" t="s">
        <v>491</v>
      </c>
      <c r="AG207" s="882"/>
      <c r="AH207" s="597">
        <v>224.5</v>
      </c>
      <c r="AI207" s="598">
        <v>37</v>
      </c>
    </row>
    <row r="208" spans="1:35" ht="21.95" customHeight="1">
      <c r="A208" s="442">
        <v>3701</v>
      </c>
      <c r="B208" s="542" t="s">
        <v>678</v>
      </c>
      <c r="C208" s="764" t="s">
        <v>28</v>
      </c>
      <c r="D208" s="764" t="s">
        <v>491</v>
      </c>
      <c r="E208" s="764"/>
      <c r="F208" s="764"/>
      <c r="G208" s="764" t="s">
        <v>491</v>
      </c>
      <c r="H208" s="764" t="s">
        <v>491</v>
      </c>
      <c r="I208" s="764" t="s">
        <v>491</v>
      </c>
      <c r="J208" s="764" t="s">
        <v>491</v>
      </c>
      <c r="K208" s="764" t="s">
        <v>491</v>
      </c>
      <c r="L208" s="764"/>
      <c r="M208" s="764"/>
      <c r="N208" s="764" t="s">
        <v>491</v>
      </c>
      <c r="O208" s="764" t="s">
        <v>491</v>
      </c>
      <c r="P208" s="764" t="s">
        <v>491</v>
      </c>
      <c r="Q208" s="764" t="s">
        <v>491</v>
      </c>
      <c r="R208" s="764"/>
      <c r="S208" s="764"/>
      <c r="T208" s="764"/>
      <c r="U208" s="764" t="s">
        <v>491</v>
      </c>
      <c r="V208" s="764" t="s">
        <v>491</v>
      </c>
      <c r="W208" s="764" t="s">
        <v>491</v>
      </c>
      <c r="X208" s="764" t="s">
        <v>491</v>
      </c>
      <c r="Y208" s="764" t="s">
        <v>491</v>
      </c>
      <c r="Z208" s="764"/>
      <c r="AA208" s="764"/>
      <c r="AB208" s="764" t="s">
        <v>491</v>
      </c>
      <c r="AC208" s="764" t="s">
        <v>491</v>
      </c>
      <c r="AD208" s="764" t="s">
        <v>491</v>
      </c>
      <c r="AE208" s="764"/>
      <c r="AF208" s="964" t="s">
        <v>491</v>
      </c>
      <c r="AG208" s="882"/>
      <c r="AH208" s="597">
        <v>185</v>
      </c>
      <c r="AI208" s="598">
        <v>37</v>
      </c>
    </row>
    <row r="209" spans="1:35" ht="21.95" customHeight="1">
      <c r="A209" s="442">
        <v>3701</v>
      </c>
      <c r="B209" s="821" t="s">
        <v>679</v>
      </c>
      <c r="C209" s="1000" t="s">
        <v>28</v>
      </c>
      <c r="D209" s="1000">
        <v>19</v>
      </c>
      <c r="E209" s="1000"/>
      <c r="F209" s="1000"/>
      <c r="G209" s="1000" t="s">
        <v>491</v>
      </c>
      <c r="H209" s="1000" t="s">
        <v>491</v>
      </c>
      <c r="I209" s="1000" t="s">
        <v>491</v>
      </c>
      <c r="J209" s="1000" t="s">
        <v>491</v>
      </c>
      <c r="K209" s="1000" t="s">
        <v>491</v>
      </c>
      <c r="L209" s="1000"/>
      <c r="M209" s="1000"/>
      <c r="N209" s="1000" t="s">
        <v>491</v>
      </c>
      <c r="O209" s="1000" t="s">
        <v>491</v>
      </c>
      <c r="P209" s="1000" t="s">
        <v>491</v>
      </c>
      <c r="Q209" s="1000" t="s">
        <v>491</v>
      </c>
      <c r="R209" s="1000"/>
      <c r="S209" s="1000"/>
      <c r="T209" s="1000"/>
      <c r="U209" s="1000" t="s">
        <v>491</v>
      </c>
      <c r="V209" s="1000" t="s">
        <v>491</v>
      </c>
      <c r="W209" s="1000" t="s">
        <v>491</v>
      </c>
      <c r="X209" s="1000" t="s">
        <v>491</v>
      </c>
      <c r="Y209" s="1000" t="s">
        <v>493</v>
      </c>
      <c r="Z209" s="985"/>
      <c r="AA209" s="985"/>
      <c r="AB209" s="985" t="s">
        <v>491</v>
      </c>
      <c r="AC209" s="985" t="s">
        <v>491</v>
      </c>
      <c r="AD209" s="985" t="s">
        <v>491</v>
      </c>
      <c r="AE209" s="985"/>
      <c r="AF209" s="985" t="s">
        <v>491</v>
      </c>
      <c r="AG209" s="882"/>
      <c r="AH209" s="597">
        <v>189.25</v>
      </c>
      <c r="AI209" s="598">
        <v>37</v>
      </c>
    </row>
    <row r="210" spans="1:35" ht="21.95" customHeight="1">
      <c r="A210" s="820">
        <v>3701</v>
      </c>
      <c r="B210" s="792" t="s">
        <v>680</v>
      </c>
      <c r="C210" s="764" t="s">
        <v>28</v>
      </c>
      <c r="D210" s="764" t="s">
        <v>491</v>
      </c>
      <c r="E210" s="764"/>
      <c r="F210" s="764"/>
      <c r="G210" s="764" t="s">
        <v>491</v>
      </c>
      <c r="H210" s="764" t="s">
        <v>491</v>
      </c>
      <c r="I210" s="764" t="s">
        <v>491</v>
      </c>
      <c r="J210" s="764" t="s">
        <v>491</v>
      </c>
      <c r="K210" s="764" t="s">
        <v>491</v>
      </c>
      <c r="L210" s="764"/>
      <c r="M210" s="764"/>
      <c r="N210" s="764" t="s">
        <v>491</v>
      </c>
      <c r="O210" s="764" t="s">
        <v>491</v>
      </c>
      <c r="P210" s="764" t="s">
        <v>491</v>
      </c>
      <c r="Q210" s="764" t="s">
        <v>491</v>
      </c>
      <c r="R210" s="764"/>
      <c r="S210" s="764"/>
      <c r="T210" s="764"/>
      <c r="U210" s="764" t="s">
        <v>491</v>
      </c>
      <c r="V210" s="764" t="s">
        <v>491</v>
      </c>
      <c r="W210" s="764" t="s">
        <v>491</v>
      </c>
      <c r="X210" s="764" t="s">
        <v>491</v>
      </c>
      <c r="Y210" s="764" t="s">
        <v>491</v>
      </c>
      <c r="Z210" s="764"/>
      <c r="AA210" s="764"/>
      <c r="AB210" s="764" t="s">
        <v>491</v>
      </c>
      <c r="AC210" s="764" t="s">
        <v>491</v>
      </c>
      <c r="AD210" s="764" t="s">
        <v>491</v>
      </c>
      <c r="AE210" s="764"/>
      <c r="AF210" s="764" t="s">
        <v>491</v>
      </c>
      <c r="AG210" s="882"/>
      <c r="AH210" s="597">
        <v>222</v>
      </c>
      <c r="AI210" s="598">
        <v>37</v>
      </c>
    </row>
    <row r="211" spans="1:35" ht="21.95" customHeight="1" thickBot="1">
      <c r="A211" s="442">
        <v>3701</v>
      </c>
      <c r="B211" s="904" t="s">
        <v>681</v>
      </c>
      <c r="C211" s="764" t="s">
        <v>28</v>
      </c>
      <c r="D211" s="764" t="s">
        <v>491</v>
      </c>
      <c r="E211" s="764"/>
      <c r="F211" s="764"/>
      <c r="G211" s="764" t="s">
        <v>491</v>
      </c>
      <c r="H211" s="764" t="s">
        <v>491</v>
      </c>
      <c r="I211" s="764" t="s">
        <v>491</v>
      </c>
      <c r="J211" s="764" t="s">
        <v>491</v>
      </c>
      <c r="K211" s="764" t="s">
        <v>491</v>
      </c>
      <c r="L211" s="764"/>
      <c r="M211" s="764"/>
      <c r="N211" s="764" t="s">
        <v>491</v>
      </c>
      <c r="O211" s="764" t="s">
        <v>491</v>
      </c>
      <c r="P211" s="764" t="s">
        <v>491</v>
      </c>
      <c r="Q211" s="764" t="s">
        <v>491</v>
      </c>
      <c r="R211" s="764"/>
      <c r="S211" s="764"/>
      <c r="T211" s="764"/>
      <c r="U211" s="764" t="s">
        <v>491</v>
      </c>
      <c r="V211" s="764" t="s">
        <v>491</v>
      </c>
      <c r="W211" s="764" t="s">
        <v>491</v>
      </c>
      <c r="X211" s="764" t="s">
        <v>491</v>
      </c>
      <c r="Y211" s="764" t="s">
        <v>491</v>
      </c>
      <c r="Z211" s="764"/>
      <c r="AA211" s="764"/>
      <c r="AB211" s="764" t="s">
        <v>491</v>
      </c>
      <c r="AC211" s="764" t="s">
        <v>491</v>
      </c>
      <c r="AD211" s="764" t="s">
        <v>491</v>
      </c>
      <c r="AE211" s="764"/>
      <c r="AF211" s="764" t="s">
        <v>491</v>
      </c>
      <c r="AG211" s="882"/>
      <c r="AH211" s="597">
        <v>185</v>
      </c>
      <c r="AI211" s="598">
        <v>37</v>
      </c>
    </row>
    <row r="212" spans="1:35" ht="21.95" customHeight="1">
      <c r="A212" s="442">
        <v>3701</v>
      </c>
      <c r="B212" s="789" t="s">
        <v>436</v>
      </c>
      <c r="C212" s="764" t="s">
        <v>28</v>
      </c>
      <c r="D212" s="764" t="s">
        <v>491</v>
      </c>
      <c r="E212" s="764"/>
      <c r="F212" s="764"/>
      <c r="G212" s="764" t="s">
        <v>491</v>
      </c>
      <c r="H212" s="764" t="s">
        <v>491</v>
      </c>
      <c r="I212" s="764" t="s">
        <v>491</v>
      </c>
      <c r="J212" s="764" t="s">
        <v>491</v>
      </c>
      <c r="K212" s="764" t="s">
        <v>491</v>
      </c>
      <c r="L212" s="764"/>
      <c r="M212" s="764"/>
      <c r="N212" s="764" t="s">
        <v>491</v>
      </c>
      <c r="O212" s="1000" t="s">
        <v>491</v>
      </c>
      <c r="P212" s="1000" t="s">
        <v>491</v>
      </c>
      <c r="Q212" s="1000" t="s">
        <v>493</v>
      </c>
      <c r="R212" s="764"/>
      <c r="S212" s="764"/>
      <c r="T212" s="764"/>
      <c r="U212" s="764" t="s">
        <v>491</v>
      </c>
      <c r="V212" s="764" t="s">
        <v>491</v>
      </c>
      <c r="W212" s="764" t="s">
        <v>491</v>
      </c>
      <c r="X212" s="764" t="s">
        <v>491</v>
      </c>
      <c r="Y212" s="764" t="s">
        <v>491</v>
      </c>
      <c r="Z212" s="764"/>
      <c r="AA212" s="764"/>
      <c r="AB212" s="764" t="s">
        <v>491</v>
      </c>
      <c r="AC212" s="764" t="s">
        <v>491</v>
      </c>
      <c r="AD212" s="764" t="s">
        <v>491</v>
      </c>
      <c r="AE212" s="764"/>
      <c r="AF212" s="964" t="s">
        <v>491</v>
      </c>
      <c r="AG212" s="882"/>
      <c r="AH212" s="597">
        <v>185</v>
      </c>
      <c r="AI212" s="598">
        <v>37</v>
      </c>
    </row>
    <row r="213" spans="1:35" ht="21.95" customHeight="1" thickBot="1">
      <c r="A213" s="442">
        <v>3701</v>
      </c>
      <c r="B213" s="904"/>
      <c r="C213" s="764"/>
      <c r="D213" s="764"/>
      <c r="E213" s="764"/>
      <c r="F213" s="764"/>
      <c r="G213" s="764"/>
      <c r="H213" s="764"/>
      <c r="I213" s="764"/>
      <c r="J213" s="764"/>
      <c r="K213" s="764"/>
      <c r="L213" s="764"/>
      <c r="M213" s="764"/>
      <c r="N213" s="764"/>
      <c r="O213" s="764"/>
      <c r="P213" s="764"/>
      <c r="Q213" s="764"/>
      <c r="R213" s="764"/>
      <c r="S213" s="764"/>
      <c r="T213" s="764"/>
      <c r="U213" s="764"/>
      <c r="V213" s="764"/>
      <c r="W213" s="764"/>
      <c r="X213" s="764"/>
      <c r="Y213" s="764"/>
      <c r="Z213" s="764"/>
      <c r="AA213" s="764"/>
      <c r="AB213" s="764"/>
      <c r="AC213" s="764"/>
      <c r="AD213" s="764"/>
      <c r="AE213" s="764"/>
      <c r="AF213" s="764"/>
      <c r="AG213" s="882"/>
      <c r="AH213" s="597">
        <v>185</v>
      </c>
      <c r="AI213" s="598">
        <v>37</v>
      </c>
    </row>
    <row r="214" spans="1:35" ht="21.95" customHeight="1" thickBot="1">
      <c r="A214" s="903">
        <v>3701</v>
      </c>
      <c r="B214" s="904"/>
      <c r="C214" s="764"/>
      <c r="D214" s="764"/>
      <c r="E214" s="764"/>
      <c r="F214" s="764"/>
      <c r="G214" s="764"/>
      <c r="H214" s="764"/>
      <c r="I214" s="764"/>
      <c r="J214" s="764"/>
      <c r="K214" s="764"/>
      <c r="L214" s="764"/>
      <c r="M214" s="764"/>
      <c r="N214" s="764"/>
      <c r="O214" s="764"/>
      <c r="P214" s="764"/>
      <c r="Q214" s="764"/>
      <c r="R214" s="764"/>
      <c r="S214" s="764"/>
      <c r="T214" s="764"/>
      <c r="U214" s="764"/>
      <c r="V214" s="764"/>
      <c r="W214" s="764"/>
      <c r="X214" s="764"/>
      <c r="Y214" s="764"/>
      <c r="Z214" s="764"/>
      <c r="AA214" s="764"/>
      <c r="AB214" s="764"/>
      <c r="AC214" s="764"/>
      <c r="AD214" s="764"/>
      <c r="AE214" s="764"/>
      <c r="AF214" s="764"/>
      <c r="AG214" s="882"/>
      <c r="AH214" s="868"/>
      <c r="AI214" s="869"/>
    </row>
    <row r="215" spans="1:35" ht="21.95" customHeight="1">
      <c r="A215" s="574"/>
      <c r="B215" s="615"/>
      <c r="C215" s="555"/>
      <c r="D215" s="555"/>
      <c r="E215" s="555"/>
      <c r="F215" s="555"/>
      <c r="G215" s="555"/>
      <c r="H215" s="555"/>
      <c r="I215" s="555"/>
      <c r="J215" s="555"/>
      <c r="K215" s="517"/>
      <c r="L215" s="555"/>
      <c r="M215" s="555"/>
      <c r="N215" s="555"/>
      <c r="O215" s="555"/>
      <c r="P215" s="538"/>
      <c r="Q215" s="538"/>
      <c r="R215" s="538"/>
      <c r="S215" s="555"/>
      <c r="T215" s="555"/>
      <c r="U215" s="555"/>
      <c r="V215" s="555"/>
      <c r="W215" s="555"/>
      <c r="X215" s="555"/>
      <c r="Y215" s="555"/>
      <c r="Z215" s="555"/>
      <c r="AA215" s="555"/>
      <c r="AB215" s="555"/>
      <c r="AC215" s="555"/>
      <c r="AD215" s="555"/>
      <c r="AE215" s="555"/>
      <c r="AF215" s="555"/>
      <c r="AG215" s="555"/>
      <c r="AH215" s="556"/>
      <c r="AI215" s="556"/>
    </row>
    <row r="216" spans="1:35" ht="21" customHeight="1" thickBot="1">
      <c r="A216" s="1" t="s">
        <v>682</v>
      </c>
    </row>
    <row r="217" spans="1:35" ht="21" customHeight="1">
      <c r="B217" s="201" t="s">
        <v>664</v>
      </c>
      <c r="C217" s="7"/>
      <c r="D217" s="522" t="s">
        <v>2</v>
      </c>
      <c r="E217" s="51"/>
      <c r="F217" s="548"/>
      <c r="G217" s="7"/>
      <c r="H217" s="522" t="s">
        <v>3</v>
      </c>
      <c r="I217" s="51"/>
      <c r="J217" s="548"/>
      <c r="K217" s="7"/>
      <c r="L217" s="522" t="s">
        <v>4</v>
      </c>
      <c r="M217" s="51"/>
      <c r="N217" s="548"/>
      <c r="O217" s="7"/>
      <c r="P217" s="522" t="s">
        <v>5</v>
      </c>
      <c r="Q217" s="51"/>
      <c r="R217" s="548"/>
      <c r="S217" s="7"/>
      <c r="T217" s="522" t="s">
        <v>6</v>
      </c>
      <c r="U217" s="51"/>
      <c r="V217" s="548"/>
      <c r="W217" s="7"/>
      <c r="X217" s="522" t="s">
        <v>7</v>
      </c>
      <c r="Y217" s="51"/>
      <c r="Z217" s="548"/>
      <c r="AA217" s="7"/>
      <c r="AB217" s="522" t="s">
        <v>8</v>
      </c>
      <c r="AC217" s="51"/>
      <c r="AD217" s="51"/>
      <c r="AE217" s="425" t="s">
        <v>10</v>
      </c>
      <c r="AF217" s="51"/>
      <c r="AG217" s="51"/>
      <c r="AH217" s="51"/>
      <c r="AI217" s="523"/>
    </row>
    <row r="218" spans="1:35" ht="21" customHeight="1">
      <c r="B218" s="9">
        <v>8502</v>
      </c>
      <c r="C218" s="14" t="s">
        <v>11</v>
      </c>
      <c r="D218" s="603"/>
      <c r="E218" s="55"/>
      <c r="F218" s="602"/>
      <c r="G218" s="14" t="s">
        <v>11</v>
      </c>
      <c r="H218" s="603"/>
      <c r="I218" s="55"/>
      <c r="J218" s="602"/>
      <c r="K218" s="14" t="s">
        <v>11</v>
      </c>
      <c r="L218" s="603"/>
      <c r="M218" s="55"/>
      <c r="N218" s="602"/>
      <c r="O218" s="14" t="s">
        <v>11</v>
      </c>
      <c r="P218" s="603"/>
      <c r="Q218" s="55"/>
      <c r="R218" s="602"/>
      <c r="S218" s="14" t="s">
        <v>12</v>
      </c>
      <c r="T218" s="603"/>
      <c r="U218" s="55"/>
      <c r="V218" s="602"/>
      <c r="W218" s="14"/>
      <c r="X218" s="603"/>
      <c r="Y218" s="55"/>
      <c r="Z218" s="602"/>
      <c r="AA218" s="14"/>
      <c r="AB218" s="603"/>
      <c r="AC218" s="55"/>
      <c r="AD218" s="55"/>
      <c r="AE218" s="604"/>
      <c r="AF218" s="55"/>
      <c r="AG218" s="55"/>
      <c r="AH218" s="55"/>
      <c r="AI218" s="605"/>
    </row>
    <row r="219" spans="1:35" ht="21" customHeight="1">
      <c r="B219" s="606">
        <v>3701</v>
      </c>
      <c r="C219" s="121" t="s">
        <v>11</v>
      </c>
      <c r="D219" s="131"/>
      <c r="E219" s="55"/>
      <c r="F219" s="602"/>
      <c r="G219" s="121" t="s">
        <v>11</v>
      </c>
      <c r="H219" s="603"/>
      <c r="I219" s="55"/>
      <c r="J219" s="602"/>
      <c r="K219" s="121" t="s">
        <v>11</v>
      </c>
      <c r="L219" s="603"/>
      <c r="M219" s="55"/>
      <c r="N219" s="602"/>
      <c r="O219" s="121" t="s">
        <v>11</v>
      </c>
      <c r="P219" s="603"/>
      <c r="Q219" s="55"/>
      <c r="R219" s="602"/>
      <c r="S219" s="14" t="s">
        <v>12</v>
      </c>
      <c r="T219" s="603"/>
      <c r="U219" s="55"/>
      <c r="V219" s="602"/>
      <c r="W219" s="14"/>
      <c r="X219" s="603"/>
      <c r="Y219" s="55"/>
      <c r="Z219" s="602"/>
      <c r="AA219" s="14"/>
      <c r="AB219" s="603"/>
      <c r="AC219" s="55"/>
      <c r="AD219" s="55"/>
      <c r="AE219" s="604"/>
      <c r="AF219" s="55"/>
      <c r="AG219" s="55"/>
      <c r="AH219" s="55"/>
      <c r="AI219" s="605"/>
    </row>
    <row r="220" spans="1:35" ht="21" customHeight="1">
      <c r="B220" s="606">
        <v>3705</v>
      </c>
      <c r="C220" s="121" t="s">
        <v>147</v>
      </c>
      <c r="D220" s="131"/>
      <c r="E220" s="55"/>
      <c r="F220" s="602"/>
      <c r="G220" s="121" t="s">
        <v>147</v>
      </c>
      <c r="H220" s="603"/>
      <c r="I220" s="55"/>
      <c r="J220" s="602"/>
      <c r="K220" s="121" t="s">
        <v>147</v>
      </c>
      <c r="L220" s="603"/>
      <c r="M220" s="55"/>
      <c r="N220" s="602"/>
      <c r="O220" s="121" t="s">
        <v>147</v>
      </c>
      <c r="P220" s="603"/>
      <c r="Q220" s="55"/>
      <c r="R220" s="602"/>
      <c r="S220" s="121" t="s">
        <v>537</v>
      </c>
      <c r="T220" s="603"/>
      <c r="U220" s="55"/>
      <c r="V220" s="602"/>
      <c r="W220" s="14"/>
      <c r="X220" s="603"/>
      <c r="Y220" s="55"/>
      <c r="Z220" s="602"/>
      <c r="AA220" s="14"/>
      <c r="AB220" s="603"/>
      <c r="AC220" s="55"/>
      <c r="AD220" s="55"/>
      <c r="AE220" s="604"/>
      <c r="AF220" s="55"/>
      <c r="AG220" s="55"/>
      <c r="AH220" s="55"/>
      <c r="AI220" s="605"/>
    </row>
    <row r="221" spans="1:35" ht="21" customHeight="1">
      <c r="B221" s="606">
        <v>3702</v>
      </c>
      <c r="C221" s="563" t="s">
        <v>683</v>
      </c>
      <c r="D221" s="131"/>
      <c r="E221" s="55"/>
      <c r="F221" s="602"/>
      <c r="G221" s="563" t="s">
        <v>683</v>
      </c>
      <c r="H221" s="131"/>
      <c r="I221" s="55"/>
      <c r="J221" s="602"/>
      <c r="K221" s="563" t="s">
        <v>683</v>
      </c>
      <c r="L221" s="131"/>
      <c r="M221" s="55"/>
      <c r="N221" s="602"/>
      <c r="O221" s="563" t="s">
        <v>683</v>
      </c>
      <c r="P221" s="131"/>
      <c r="Q221" s="55"/>
      <c r="R221" s="602"/>
      <c r="S221" s="563" t="s">
        <v>270</v>
      </c>
      <c r="T221" s="131"/>
      <c r="U221" s="55"/>
      <c r="V221" s="602"/>
      <c r="W221" s="14"/>
      <c r="X221" s="603"/>
      <c r="Y221" s="55"/>
      <c r="Z221" s="602"/>
      <c r="AA221" s="14"/>
      <c r="AB221" s="603"/>
      <c r="AC221" s="55"/>
      <c r="AD221" s="55"/>
      <c r="AE221" s="604"/>
      <c r="AF221" s="55"/>
      <c r="AG221" s="55"/>
      <c r="AH221" s="55"/>
      <c r="AI221" s="605"/>
    </row>
    <row r="222" spans="1:35" ht="21" customHeight="1">
      <c r="B222" s="606"/>
      <c r="C222" s="563"/>
      <c r="D222" s="131"/>
      <c r="E222" s="55"/>
      <c r="F222" s="602"/>
      <c r="G222" s="603"/>
      <c r="H222" s="603"/>
      <c r="I222" s="55"/>
      <c r="J222" s="602"/>
      <c r="K222" s="603"/>
      <c r="L222" s="603"/>
      <c r="M222" s="55"/>
      <c r="N222" s="602"/>
      <c r="O222" s="603"/>
      <c r="P222" s="603"/>
      <c r="Q222" s="55"/>
      <c r="R222" s="602"/>
      <c r="S222" s="603"/>
      <c r="T222" s="603"/>
      <c r="U222" s="55"/>
      <c r="V222" s="602"/>
      <c r="W222" s="14"/>
      <c r="X222" s="603"/>
      <c r="Y222" s="55"/>
      <c r="Z222" s="602"/>
      <c r="AA222" s="14"/>
      <c r="AB222" s="603"/>
      <c r="AC222" s="55"/>
      <c r="AD222" s="55"/>
      <c r="AE222" s="604"/>
      <c r="AF222" s="55"/>
      <c r="AG222" s="55"/>
      <c r="AH222" s="55"/>
      <c r="AI222" s="605"/>
    </row>
    <row r="223" spans="1:35" ht="21" customHeight="1">
      <c r="B223" s="606" t="s">
        <v>324</v>
      </c>
      <c r="C223" s="563" t="s">
        <v>684</v>
      </c>
      <c r="D223" s="131"/>
      <c r="E223" s="55"/>
      <c r="F223" s="602"/>
      <c r="G223" s="563" t="s">
        <v>684</v>
      </c>
      <c r="H223" s="131"/>
      <c r="I223" s="55"/>
      <c r="J223" s="602"/>
      <c r="K223" s="563" t="s">
        <v>684</v>
      </c>
      <c r="L223" s="131"/>
      <c r="M223" s="55"/>
      <c r="N223" s="602"/>
      <c r="O223" s="563" t="s">
        <v>684</v>
      </c>
      <c r="P223" s="131"/>
      <c r="Q223" s="55"/>
      <c r="R223" s="602"/>
      <c r="S223" s="603" t="s">
        <v>685</v>
      </c>
      <c r="T223" s="603"/>
      <c r="U223" s="55"/>
      <c r="V223" s="602"/>
      <c r="W223" s="14"/>
      <c r="X223" s="603"/>
      <c r="Y223" s="55"/>
      <c r="Z223" s="602"/>
      <c r="AA223" s="14"/>
      <c r="AB223" s="603"/>
      <c r="AC223" s="55"/>
      <c r="AD223" s="55"/>
      <c r="AE223" s="604"/>
      <c r="AF223" s="55"/>
      <c r="AG223" s="55"/>
      <c r="AH223" s="55"/>
      <c r="AI223" s="605"/>
    </row>
    <row r="224" spans="1:35" ht="21" customHeight="1">
      <c r="B224" s="606" t="s">
        <v>325</v>
      </c>
      <c r="C224" s="563" t="s">
        <v>686</v>
      </c>
      <c r="D224" s="131"/>
      <c r="E224" s="55"/>
      <c r="F224" s="602"/>
      <c r="G224" s="563" t="s">
        <v>686</v>
      </c>
      <c r="H224" s="131"/>
      <c r="I224" s="55"/>
      <c r="J224" s="602"/>
      <c r="K224" s="563" t="s">
        <v>686</v>
      </c>
      <c r="L224" s="131"/>
      <c r="M224" s="55"/>
      <c r="N224" s="602"/>
      <c r="O224" s="563" t="s">
        <v>686</v>
      </c>
      <c r="P224" s="131"/>
      <c r="Q224" s="55"/>
      <c r="R224" s="602"/>
      <c r="S224" s="603" t="s">
        <v>687</v>
      </c>
      <c r="T224" s="603"/>
      <c r="U224" s="55"/>
      <c r="V224" s="602"/>
      <c r="W224" s="14"/>
      <c r="X224" s="603"/>
      <c r="Y224" s="55"/>
      <c r="Z224" s="602"/>
      <c r="AA224" s="14"/>
      <c r="AB224" s="603"/>
      <c r="AC224" s="55"/>
      <c r="AD224" s="55"/>
      <c r="AE224" s="604"/>
      <c r="AF224" s="55"/>
      <c r="AG224" s="55"/>
      <c r="AH224" s="55"/>
      <c r="AI224" s="605"/>
    </row>
    <row r="225" spans="1:35" ht="21" customHeight="1" thickBot="1">
      <c r="B225" s="611" t="s">
        <v>326</v>
      </c>
      <c r="C225" s="570" t="s">
        <v>688</v>
      </c>
      <c r="D225" s="48"/>
      <c r="E225" s="616"/>
      <c r="F225" s="240"/>
      <c r="G225" s="570" t="s">
        <v>688</v>
      </c>
      <c r="H225" s="48"/>
      <c r="I225" s="616"/>
      <c r="J225" s="240"/>
      <c r="K225" s="570" t="s">
        <v>688</v>
      </c>
      <c r="L225" s="48"/>
      <c r="M225" s="616"/>
      <c r="N225" s="240"/>
      <c r="O225" s="570" t="s">
        <v>688</v>
      </c>
      <c r="P225" s="48"/>
      <c r="Q225" s="616"/>
      <c r="R225" s="240"/>
      <c r="S225" s="149" t="s">
        <v>689</v>
      </c>
      <c r="T225" s="149"/>
      <c r="U225" s="616"/>
      <c r="V225" s="240"/>
      <c r="W225" s="617"/>
      <c r="X225" s="149"/>
      <c r="Y225" s="616"/>
      <c r="Z225" s="240"/>
      <c r="AA225" s="617"/>
      <c r="AB225" s="149"/>
      <c r="AC225" s="616"/>
      <c r="AD225" s="616"/>
      <c r="AE225" s="618"/>
      <c r="AF225" s="616"/>
      <c r="AG225" s="616"/>
      <c r="AH225" s="616"/>
      <c r="AI225" s="619"/>
    </row>
    <row r="226" spans="1:35" ht="21" customHeight="1">
      <c r="B226" s="274"/>
      <c r="C226" s="312"/>
      <c r="D226" s="72"/>
      <c r="G226" s="312"/>
      <c r="H226" s="72"/>
      <c r="K226" s="312"/>
      <c r="L226" s="72"/>
      <c r="O226" s="312"/>
      <c r="P226" s="72"/>
      <c r="S226" s="312"/>
      <c r="T226" s="312"/>
      <c r="X226" s="312"/>
      <c r="AB226" s="312"/>
      <c r="AE226" s="312"/>
    </row>
    <row r="227" spans="1:35" ht="21" customHeight="1" thickBot="1">
      <c r="A227" s="620" t="s">
        <v>690</v>
      </c>
    </row>
    <row r="228" spans="1:35" ht="21" customHeight="1" thickBot="1">
      <c r="A228" s="861"/>
      <c r="B228" s="862" t="s">
        <v>476</v>
      </c>
      <c r="C228" s="880">
        <v>1</v>
      </c>
      <c r="D228" s="863">
        <v>2</v>
      </c>
      <c r="E228" s="880">
        <v>3</v>
      </c>
      <c r="F228" s="880">
        <v>4</v>
      </c>
      <c r="G228" s="863">
        <v>5</v>
      </c>
      <c r="H228" s="863">
        <v>6</v>
      </c>
      <c r="I228" s="863">
        <v>7</v>
      </c>
      <c r="J228" s="863">
        <v>8</v>
      </c>
      <c r="K228" s="863">
        <v>9</v>
      </c>
      <c r="L228" s="880">
        <v>10</v>
      </c>
      <c r="M228" s="880">
        <v>11</v>
      </c>
      <c r="N228" s="863">
        <v>12</v>
      </c>
      <c r="O228" s="863">
        <v>13</v>
      </c>
      <c r="P228" s="863">
        <v>14</v>
      </c>
      <c r="Q228" s="863">
        <v>15</v>
      </c>
      <c r="R228" s="880">
        <v>16</v>
      </c>
      <c r="S228" s="880">
        <v>17</v>
      </c>
      <c r="T228" s="880">
        <v>18</v>
      </c>
      <c r="U228" s="863">
        <v>19</v>
      </c>
      <c r="V228" s="863">
        <v>20</v>
      </c>
      <c r="W228" s="863">
        <v>21</v>
      </c>
      <c r="X228" s="863">
        <v>22</v>
      </c>
      <c r="Y228" s="863">
        <v>23</v>
      </c>
      <c r="Z228" s="880">
        <v>24</v>
      </c>
      <c r="AA228" s="880">
        <v>25</v>
      </c>
      <c r="AB228" s="863">
        <v>26</v>
      </c>
      <c r="AC228" s="863">
        <v>27</v>
      </c>
      <c r="AD228" s="863">
        <v>28</v>
      </c>
      <c r="AE228" s="880">
        <v>29</v>
      </c>
      <c r="AF228" s="863">
        <v>30</v>
      </c>
      <c r="AG228" s="880">
        <v>31</v>
      </c>
      <c r="AH228" s="864" t="s">
        <v>477</v>
      </c>
      <c r="AI228" s="865" t="s">
        <v>478</v>
      </c>
    </row>
    <row r="229" spans="1:35" ht="21" customHeight="1">
      <c r="A229" s="438">
        <v>3702</v>
      </c>
      <c r="B229" s="54" t="s">
        <v>691</v>
      </c>
      <c r="C229" s="871"/>
      <c r="D229" s="871">
        <v>1</v>
      </c>
      <c r="E229" s="871"/>
      <c r="F229" s="871"/>
      <c r="G229" s="762">
        <v>1</v>
      </c>
      <c r="H229" s="762">
        <v>1</v>
      </c>
      <c r="I229" s="762">
        <v>1</v>
      </c>
      <c r="J229" s="762">
        <v>1</v>
      </c>
      <c r="K229" s="762">
        <v>1</v>
      </c>
      <c r="L229" s="871"/>
      <c r="M229" s="871"/>
      <c r="N229" s="764">
        <v>1</v>
      </c>
      <c r="O229" s="983" t="s">
        <v>586</v>
      </c>
      <c r="P229" s="871">
        <v>1</v>
      </c>
      <c r="Q229" s="1014">
        <v>1</v>
      </c>
      <c r="R229" s="871"/>
      <c r="S229" s="871"/>
      <c r="T229" s="871"/>
      <c r="U229" s="762">
        <v>1</v>
      </c>
      <c r="V229" s="762">
        <v>1</v>
      </c>
      <c r="W229" s="762">
        <v>1</v>
      </c>
      <c r="X229" s="762">
        <v>1</v>
      </c>
      <c r="Y229" s="762">
        <v>1</v>
      </c>
      <c r="Z229" s="871"/>
      <c r="AA229" s="871"/>
      <c r="AB229" s="764">
        <v>1</v>
      </c>
      <c r="AC229" s="764">
        <v>1</v>
      </c>
      <c r="AD229" s="871">
        <v>1</v>
      </c>
      <c r="AE229" s="871"/>
      <c r="AF229" s="976">
        <v>1</v>
      </c>
      <c r="AG229" s="871"/>
      <c r="AH229" s="510">
        <v>178</v>
      </c>
      <c r="AI229" s="511">
        <v>37</v>
      </c>
    </row>
    <row r="230" spans="1:35" ht="21" customHeight="1">
      <c r="A230" s="442">
        <v>3701</v>
      </c>
      <c r="B230" s="153" t="s">
        <v>692</v>
      </c>
      <c r="C230" s="762"/>
      <c r="D230" s="978" t="s">
        <v>491</v>
      </c>
      <c r="E230" s="762"/>
      <c r="F230" s="762"/>
      <c r="G230" s="762" t="s">
        <v>491</v>
      </c>
      <c r="H230" s="762" t="s">
        <v>491</v>
      </c>
      <c r="I230" s="762" t="s">
        <v>491</v>
      </c>
      <c r="J230" s="762" t="s">
        <v>491</v>
      </c>
      <c r="K230" s="762" t="s">
        <v>491</v>
      </c>
      <c r="L230" s="762"/>
      <c r="M230" s="762"/>
      <c r="N230" s="768" t="s">
        <v>491</v>
      </c>
      <c r="O230" s="768" t="s">
        <v>491</v>
      </c>
      <c r="P230" s="762" t="s">
        <v>491</v>
      </c>
      <c r="Q230" s="762" t="s">
        <v>491</v>
      </c>
      <c r="R230" s="762"/>
      <c r="S230" s="762"/>
      <c r="T230" s="762"/>
      <c r="U230" s="762" t="s">
        <v>491</v>
      </c>
      <c r="V230" s="762" t="s">
        <v>491</v>
      </c>
      <c r="W230" s="762" t="s">
        <v>491</v>
      </c>
      <c r="X230" s="762" t="s">
        <v>491</v>
      </c>
      <c r="Y230" s="762" t="s">
        <v>491</v>
      </c>
      <c r="Z230" s="762"/>
      <c r="AA230" s="762"/>
      <c r="AB230" s="768" t="s">
        <v>491</v>
      </c>
      <c r="AC230" s="768" t="s">
        <v>491</v>
      </c>
      <c r="AD230" s="762" t="s">
        <v>491</v>
      </c>
      <c r="AE230" s="762"/>
      <c r="AF230" s="762" t="s">
        <v>491</v>
      </c>
      <c r="AG230" s="762"/>
      <c r="AH230" s="924">
        <v>185</v>
      </c>
      <c r="AI230" s="925">
        <v>37</v>
      </c>
    </row>
    <row r="231" spans="1:35" ht="21" customHeight="1">
      <c r="A231" s="442">
        <v>3702</v>
      </c>
      <c r="B231" s="153" t="s">
        <v>693</v>
      </c>
      <c r="C231" s="762"/>
      <c r="D231" s="762">
        <v>1</v>
      </c>
      <c r="E231" s="762"/>
      <c r="F231" s="762"/>
      <c r="G231" s="979">
        <v>1</v>
      </c>
      <c r="H231" s="979">
        <v>1</v>
      </c>
      <c r="I231" s="979">
        <v>1</v>
      </c>
      <c r="J231" s="762">
        <v>1</v>
      </c>
      <c r="K231" s="762">
        <v>1</v>
      </c>
      <c r="L231" s="762"/>
      <c r="M231" s="762"/>
      <c r="N231" s="762">
        <v>1</v>
      </c>
      <c r="O231" s="762">
        <v>1</v>
      </c>
      <c r="P231" s="762">
        <v>1</v>
      </c>
      <c r="Q231" s="762">
        <v>1</v>
      </c>
      <c r="R231" s="762"/>
      <c r="S231" s="762"/>
      <c r="T231" s="762"/>
      <c r="U231" s="762">
        <v>1</v>
      </c>
      <c r="V231" s="762">
        <v>1</v>
      </c>
      <c r="W231" s="762">
        <v>1</v>
      </c>
      <c r="X231" s="762">
        <v>1</v>
      </c>
      <c r="Y231" s="762">
        <v>1</v>
      </c>
      <c r="Z231" s="762"/>
      <c r="AA231" s="762"/>
      <c r="AB231" s="762">
        <v>1</v>
      </c>
      <c r="AC231" s="762">
        <v>1</v>
      </c>
      <c r="AD231" s="762">
        <v>1</v>
      </c>
      <c r="AE231" s="762"/>
      <c r="AF231" s="762">
        <v>1</v>
      </c>
      <c r="AG231" s="762"/>
      <c r="AH231" s="924">
        <v>258.5</v>
      </c>
      <c r="AI231" s="925">
        <v>7.5</v>
      </c>
    </row>
    <row r="232" spans="1:35" ht="21" customHeight="1">
      <c r="A232" s="621">
        <v>3706</v>
      </c>
      <c r="B232" s="854" t="s">
        <v>694</v>
      </c>
      <c r="C232" s="768"/>
      <c r="D232" s="768"/>
      <c r="E232" s="768"/>
      <c r="F232" s="768"/>
      <c r="G232" s="768"/>
      <c r="H232" s="768"/>
      <c r="I232" s="768"/>
      <c r="J232" s="768"/>
      <c r="K232" s="768"/>
      <c r="L232" s="768"/>
      <c r="M232" s="768"/>
      <c r="N232" s="768"/>
      <c r="O232" s="768"/>
      <c r="P232" s="768"/>
      <c r="Q232" s="768"/>
      <c r="R232" s="768"/>
      <c r="S232" s="768"/>
      <c r="T232" s="768"/>
      <c r="U232" s="768"/>
      <c r="V232" s="768"/>
      <c r="W232" s="768"/>
      <c r="X232" s="768"/>
      <c r="Y232" s="768"/>
      <c r="Z232" s="768"/>
      <c r="AA232" s="768"/>
      <c r="AB232" s="768"/>
      <c r="AC232" s="768"/>
      <c r="AD232" s="768"/>
      <c r="AE232" s="768"/>
      <c r="AF232" s="768"/>
      <c r="AG232" s="768"/>
      <c r="AH232" s="924">
        <v>185</v>
      </c>
      <c r="AI232" s="925">
        <v>37</v>
      </c>
    </row>
    <row r="233" spans="1:35" ht="21" customHeight="1">
      <c r="A233" s="622"/>
      <c r="B233" s="623" t="s">
        <v>695</v>
      </c>
      <c r="C233" s="940"/>
      <c r="D233" s="940"/>
      <c r="E233" s="940"/>
      <c r="F233" s="940"/>
      <c r="G233" s="940"/>
      <c r="H233" s="940"/>
      <c r="I233" s="940"/>
      <c r="J233" s="940"/>
      <c r="K233" s="940"/>
      <c r="L233" s="940"/>
      <c r="M233" s="940"/>
      <c r="N233" s="940"/>
      <c r="O233" s="940"/>
      <c r="P233" s="940"/>
      <c r="Q233" s="940"/>
      <c r="R233" s="940"/>
      <c r="S233" s="940"/>
      <c r="T233" s="940"/>
      <c r="U233" s="940"/>
      <c r="V233" s="940"/>
      <c r="W233" s="940"/>
      <c r="X233" s="940"/>
      <c r="Y233" s="940"/>
      <c r="Z233" s="940"/>
      <c r="AA233" s="940"/>
      <c r="AB233" s="940"/>
      <c r="AC233" s="940"/>
      <c r="AD233" s="940"/>
      <c r="AE233" s="940"/>
      <c r="AF233" s="940"/>
      <c r="AG233" s="922"/>
      <c r="AH233" s="624"/>
      <c r="AI233" s="625"/>
    </row>
    <row r="234" spans="1:35" ht="21" customHeight="1" thickBot="1">
      <c r="A234" s="442">
        <v>3702</v>
      </c>
      <c r="B234" s="793" t="s">
        <v>696</v>
      </c>
      <c r="C234" s="762"/>
      <c r="D234" s="762" t="s">
        <v>697</v>
      </c>
      <c r="E234" s="762"/>
      <c r="F234" s="762"/>
      <c r="G234" s="768" t="s">
        <v>697</v>
      </c>
      <c r="H234" s="768" t="s">
        <v>697</v>
      </c>
      <c r="I234" s="762" t="s">
        <v>697</v>
      </c>
      <c r="J234" s="762" t="s">
        <v>697</v>
      </c>
      <c r="K234" s="762" t="s">
        <v>697</v>
      </c>
      <c r="L234" s="762"/>
      <c r="M234" s="762"/>
      <c r="N234" s="768" t="s">
        <v>697</v>
      </c>
      <c r="O234" s="768" t="s">
        <v>697</v>
      </c>
      <c r="P234" s="762" t="s">
        <v>697</v>
      </c>
      <c r="Q234" s="762" t="s">
        <v>697</v>
      </c>
      <c r="R234" s="762"/>
      <c r="S234" s="762"/>
      <c r="T234" s="762"/>
      <c r="U234" s="768" t="s">
        <v>697</v>
      </c>
      <c r="V234" s="768" t="s">
        <v>697</v>
      </c>
      <c r="W234" s="762" t="s">
        <v>697</v>
      </c>
      <c r="X234" s="762" t="s">
        <v>697</v>
      </c>
      <c r="Y234" s="762" t="s">
        <v>697</v>
      </c>
      <c r="Z234" s="762"/>
      <c r="AA234" s="875"/>
      <c r="AB234" s="768" t="s">
        <v>485</v>
      </c>
      <c r="AC234" s="768" t="s">
        <v>697</v>
      </c>
      <c r="AD234" s="762" t="s">
        <v>697</v>
      </c>
      <c r="AE234" s="762"/>
      <c r="AF234" s="762" t="s">
        <v>697</v>
      </c>
      <c r="AG234" s="762"/>
      <c r="AH234" s="924">
        <v>185</v>
      </c>
      <c r="AI234" s="925">
        <v>37</v>
      </c>
    </row>
    <row r="235" spans="1:35" ht="21" customHeight="1">
      <c r="A235" s="442"/>
      <c r="B235" s="153" t="s">
        <v>698</v>
      </c>
      <c r="C235" s="762"/>
      <c r="D235" s="966" t="s">
        <v>699</v>
      </c>
      <c r="E235" s="762"/>
      <c r="F235" s="762"/>
      <c r="G235" s="768" t="s">
        <v>699</v>
      </c>
      <c r="H235" s="768" t="s">
        <v>699</v>
      </c>
      <c r="I235" s="762" t="s">
        <v>699</v>
      </c>
      <c r="J235" s="762" t="s">
        <v>699</v>
      </c>
      <c r="K235" s="762" t="s">
        <v>699</v>
      </c>
      <c r="L235" s="762"/>
      <c r="M235" s="762"/>
      <c r="N235" s="768" t="s">
        <v>699</v>
      </c>
      <c r="O235" s="768" t="s">
        <v>699</v>
      </c>
      <c r="P235" s="762" t="s">
        <v>699</v>
      </c>
      <c r="Q235" s="762" t="s">
        <v>699</v>
      </c>
      <c r="R235" s="762"/>
      <c r="S235" s="762"/>
      <c r="T235" s="762"/>
      <c r="U235" s="768" t="s">
        <v>699</v>
      </c>
      <c r="V235" s="768" t="s">
        <v>699</v>
      </c>
      <c r="W235" s="762" t="s">
        <v>699</v>
      </c>
      <c r="X235" s="762" t="s">
        <v>699</v>
      </c>
      <c r="Y235" s="762" t="s">
        <v>699</v>
      </c>
      <c r="Z235" s="762"/>
      <c r="AA235" s="762"/>
      <c r="AB235" s="768" t="s">
        <v>699</v>
      </c>
      <c r="AC235" s="768" t="s">
        <v>699</v>
      </c>
      <c r="AD235" s="762" t="s">
        <v>699</v>
      </c>
      <c r="AE235" s="762"/>
      <c r="AF235" s="762" t="s">
        <v>699</v>
      </c>
      <c r="AG235" s="762"/>
      <c r="AH235" s="924">
        <v>237.5</v>
      </c>
      <c r="AI235" s="925">
        <v>37</v>
      </c>
    </row>
    <row r="236" spans="1:35" ht="21" customHeight="1" thickBot="1">
      <c r="A236" s="906"/>
      <c r="B236" s="895" t="s">
        <v>700</v>
      </c>
      <c r="C236" s="875"/>
      <c r="D236" s="875" t="s">
        <v>701</v>
      </c>
      <c r="E236" s="875"/>
      <c r="F236" s="875"/>
      <c r="G236" s="867" t="s">
        <v>701</v>
      </c>
      <c r="H236" s="867" t="s">
        <v>701</v>
      </c>
      <c r="I236" s="875" t="s">
        <v>701</v>
      </c>
      <c r="J236" s="875" t="s">
        <v>701</v>
      </c>
      <c r="K236" s="875" t="s">
        <v>701</v>
      </c>
      <c r="L236" s="875"/>
      <c r="M236" s="875"/>
      <c r="N236" s="867" t="s">
        <v>701</v>
      </c>
      <c r="O236" s="867" t="s">
        <v>701</v>
      </c>
      <c r="P236" s="875" t="s">
        <v>701</v>
      </c>
      <c r="Q236" s="875" t="s">
        <v>701</v>
      </c>
      <c r="R236" s="875"/>
      <c r="S236" s="875"/>
      <c r="T236" s="875"/>
      <c r="U236" s="867" t="s">
        <v>701</v>
      </c>
      <c r="V236" s="867" t="s">
        <v>701</v>
      </c>
      <c r="W236" s="875" t="s">
        <v>701</v>
      </c>
      <c r="X236" s="875" t="s">
        <v>701</v>
      </c>
      <c r="Y236" s="1021" t="s">
        <v>701</v>
      </c>
      <c r="Z236" s="875"/>
      <c r="AA236" s="875"/>
      <c r="AB236" s="768" t="s">
        <v>485</v>
      </c>
      <c r="AC236" s="867" t="s">
        <v>701</v>
      </c>
      <c r="AD236" s="875" t="s">
        <v>701</v>
      </c>
      <c r="AE236" s="875"/>
      <c r="AF236" s="875" t="s">
        <v>701</v>
      </c>
      <c r="AG236" s="875"/>
      <c r="AH236" s="868">
        <v>207.5</v>
      </c>
      <c r="AI236" s="869">
        <v>37</v>
      </c>
    </row>
    <row r="237" spans="1:35" ht="21" customHeight="1"/>
    <row r="238" spans="1:35" ht="21" customHeight="1"/>
    <row r="239" spans="1:35" ht="21" customHeight="1" thickBot="1">
      <c r="A239" s="1" t="s">
        <v>702</v>
      </c>
    </row>
    <row r="240" spans="1:35" ht="21" customHeight="1">
      <c r="B240" s="201" t="s">
        <v>664</v>
      </c>
      <c r="C240" s="7"/>
      <c r="D240" s="522" t="s">
        <v>2</v>
      </c>
      <c r="E240" s="51"/>
      <c r="F240" s="548"/>
      <c r="G240" s="7"/>
      <c r="H240" s="522" t="s">
        <v>3</v>
      </c>
      <c r="I240" s="51"/>
      <c r="J240" s="548"/>
      <c r="K240" s="7"/>
      <c r="L240" s="522" t="s">
        <v>4</v>
      </c>
      <c r="M240" s="51"/>
      <c r="N240" s="548"/>
      <c r="O240" s="7"/>
      <c r="P240" s="522" t="s">
        <v>5</v>
      </c>
      <c r="Q240" s="51"/>
      <c r="R240" s="548"/>
      <c r="S240" s="7"/>
      <c r="T240" s="522" t="s">
        <v>6</v>
      </c>
      <c r="U240" s="51"/>
      <c r="V240" s="548"/>
      <c r="W240" s="7"/>
      <c r="X240" s="522" t="s">
        <v>7</v>
      </c>
      <c r="Y240" s="51"/>
      <c r="Z240" s="548"/>
      <c r="AA240" s="7"/>
      <c r="AB240" s="522" t="s">
        <v>8</v>
      </c>
      <c r="AC240" s="51"/>
      <c r="AD240" s="51"/>
      <c r="AE240" s="425" t="s">
        <v>10</v>
      </c>
      <c r="AF240" s="51"/>
      <c r="AG240" s="51"/>
      <c r="AH240" s="51"/>
      <c r="AI240" s="523"/>
    </row>
    <row r="241" spans="1:35" ht="21" customHeight="1">
      <c r="B241" s="9">
        <v>8500</v>
      </c>
      <c r="C241" s="121" t="s">
        <v>33</v>
      </c>
      <c r="D241" s="603"/>
      <c r="E241" s="55"/>
      <c r="F241" s="602"/>
      <c r="G241" s="121" t="s">
        <v>33</v>
      </c>
      <c r="H241" s="603"/>
      <c r="I241" s="55"/>
      <c r="J241" s="602"/>
      <c r="K241" s="121" t="s">
        <v>33</v>
      </c>
      <c r="L241" s="603"/>
      <c r="M241" s="55"/>
      <c r="N241" s="602"/>
      <c r="O241" s="121" t="s">
        <v>33</v>
      </c>
      <c r="P241" s="603"/>
      <c r="Q241" s="55"/>
      <c r="R241" s="602"/>
      <c r="S241" s="121" t="s">
        <v>34</v>
      </c>
      <c r="T241" s="603"/>
      <c r="U241" s="55"/>
      <c r="V241" s="602"/>
      <c r="W241" s="14"/>
      <c r="X241" s="603"/>
      <c r="Y241" s="55"/>
      <c r="Z241" s="602"/>
      <c r="AA241" s="14"/>
      <c r="AB241" s="603"/>
      <c r="AC241" s="55"/>
      <c r="AD241" s="55"/>
      <c r="AE241" s="604"/>
      <c r="AF241" s="55"/>
      <c r="AG241" s="55"/>
      <c r="AH241" s="55"/>
      <c r="AI241" s="605"/>
    </row>
    <row r="242" spans="1:35" ht="21" customHeight="1" thickBot="1">
      <c r="B242" s="163" t="s">
        <v>703</v>
      </c>
      <c r="C242" s="626" t="s">
        <v>704</v>
      </c>
      <c r="D242" s="627"/>
      <c r="E242" s="616"/>
      <c r="F242" s="240"/>
      <c r="G242" s="626" t="s">
        <v>704</v>
      </c>
      <c r="H242" s="149"/>
      <c r="I242" s="616"/>
      <c r="J242" s="240"/>
      <c r="K242" s="626" t="s">
        <v>704</v>
      </c>
      <c r="L242" s="149"/>
      <c r="M242" s="616"/>
      <c r="N242" s="240"/>
      <c r="O242" s="626" t="s">
        <v>705</v>
      </c>
      <c r="P242" s="149"/>
      <c r="Q242" s="616"/>
      <c r="R242" s="240"/>
      <c r="S242" s="626" t="s">
        <v>16</v>
      </c>
      <c r="T242" s="149"/>
      <c r="U242" s="616"/>
      <c r="V242" s="240"/>
      <c r="W242" s="617"/>
      <c r="X242" s="149"/>
      <c r="Y242" s="616"/>
      <c r="Z242" s="240"/>
      <c r="AA242" s="617"/>
      <c r="AB242" s="149"/>
      <c r="AC242" s="616"/>
      <c r="AD242" s="616"/>
      <c r="AE242" s="618"/>
      <c r="AF242" s="616"/>
      <c r="AG242" s="616"/>
      <c r="AH242" s="616"/>
      <c r="AI242" s="619"/>
    </row>
    <row r="243" spans="1:35" ht="21" customHeight="1" thickBot="1">
      <c r="A243" s="60" t="s">
        <v>706</v>
      </c>
    </row>
    <row r="244" spans="1:35" ht="21" customHeight="1" thickBot="1">
      <c r="A244" s="911"/>
      <c r="B244" s="862" t="s">
        <v>476</v>
      </c>
      <c r="C244" s="880">
        <v>1</v>
      </c>
      <c r="D244" s="863">
        <v>2</v>
      </c>
      <c r="E244" s="880">
        <v>3</v>
      </c>
      <c r="F244" s="880">
        <v>4</v>
      </c>
      <c r="G244" s="863">
        <v>5</v>
      </c>
      <c r="H244" s="863">
        <v>6</v>
      </c>
      <c r="I244" s="863">
        <v>7</v>
      </c>
      <c r="J244" s="863">
        <v>8</v>
      </c>
      <c r="K244" s="863">
        <v>9</v>
      </c>
      <c r="L244" s="880">
        <v>10</v>
      </c>
      <c r="M244" s="880">
        <v>11</v>
      </c>
      <c r="N244" s="863">
        <v>12</v>
      </c>
      <c r="O244" s="863">
        <v>13</v>
      </c>
      <c r="P244" s="863">
        <v>14</v>
      </c>
      <c r="Q244" s="863">
        <v>15</v>
      </c>
      <c r="R244" s="880">
        <v>16</v>
      </c>
      <c r="S244" s="880">
        <v>17</v>
      </c>
      <c r="T244" s="880">
        <v>18</v>
      </c>
      <c r="U244" s="863">
        <v>19</v>
      </c>
      <c r="V244" s="863">
        <v>20</v>
      </c>
      <c r="W244" s="863">
        <v>21</v>
      </c>
      <c r="X244" s="863">
        <v>22</v>
      </c>
      <c r="Y244" s="863">
        <v>23</v>
      </c>
      <c r="Z244" s="880">
        <v>24</v>
      </c>
      <c r="AA244" s="880">
        <v>25</v>
      </c>
      <c r="AB244" s="863">
        <v>26</v>
      </c>
      <c r="AC244" s="863">
        <v>27</v>
      </c>
      <c r="AD244" s="863">
        <v>28</v>
      </c>
      <c r="AE244" s="880">
        <v>29</v>
      </c>
      <c r="AF244" s="863">
        <v>30</v>
      </c>
      <c r="AG244" s="880">
        <v>31</v>
      </c>
      <c r="AH244" s="864" t="s">
        <v>477</v>
      </c>
      <c r="AI244" s="865" t="s">
        <v>478</v>
      </c>
    </row>
    <row r="245" spans="1:35" ht="21" customHeight="1">
      <c r="A245" s="14">
        <v>8500</v>
      </c>
      <c r="B245" s="908" t="s">
        <v>707</v>
      </c>
      <c r="C245" s="764" t="s">
        <v>28</v>
      </c>
      <c r="D245" s="764" t="s">
        <v>491</v>
      </c>
      <c r="E245" s="764"/>
      <c r="F245" s="764"/>
      <c r="G245" s="764" t="s">
        <v>491</v>
      </c>
      <c r="H245" s="764" t="s">
        <v>491</v>
      </c>
      <c r="I245" s="764" t="s">
        <v>491</v>
      </c>
      <c r="J245" s="764" t="s">
        <v>491</v>
      </c>
      <c r="K245" s="764" t="s">
        <v>491</v>
      </c>
      <c r="L245" s="764"/>
      <c r="M245" s="764"/>
      <c r="N245" s="764" t="s">
        <v>491</v>
      </c>
      <c r="O245" s="764" t="s">
        <v>491</v>
      </c>
      <c r="P245" s="764" t="s">
        <v>491</v>
      </c>
      <c r="Q245" s="764" t="s">
        <v>491</v>
      </c>
      <c r="R245" s="764"/>
      <c r="S245" s="764"/>
      <c r="T245" s="764"/>
      <c r="U245" s="764" t="s">
        <v>491</v>
      </c>
      <c r="V245" s="764" t="s">
        <v>491</v>
      </c>
      <c r="W245" s="764" t="s">
        <v>491</v>
      </c>
      <c r="X245" s="764" t="s">
        <v>491</v>
      </c>
      <c r="Y245" s="764" t="s">
        <v>491</v>
      </c>
      <c r="Z245" s="764"/>
      <c r="AA245" s="764"/>
      <c r="AB245" s="1000" t="s">
        <v>491</v>
      </c>
      <c r="AC245" s="1000" t="s">
        <v>493</v>
      </c>
      <c r="AD245" s="985" t="s">
        <v>491</v>
      </c>
      <c r="AE245" s="764"/>
      <c r="AF245" s="764" t="s">
        <v>491</v>
      </c>
      <c r="AG245" s="882"/>
      <c r="AH245" s="909">
        <v>253</v>
      </c>
      <c r="AI245" s="910">
        <v>37</v>
      </c>
    </row>
    <row r="246" spans="1:35" ht="21" customHeight="1">
      <c r="A246" s="500" t="s">
        <v>708</v>
      </c>
      <c r="B246" s="153" t="s">
        <v>709</v>
      </c>
      <c r="C246" s="764" t="s">
        <v>28</v>
      </c>
      <c r="D246" s="764" t="s">
        <v>491</v>
      </c>
      <c r="E246" s="764"/>
      <c r="F246" s="764"/>
      <c r="G246" s="764" t="s">
        <v>491</v>
      </c>
      <c r="H246" s="764" t="s">
        <v>491</v>
      </c>
      <c r="I246" s="764" t="s">
        <v>491</v>
      </c>
      <c r="J246" s="764" t="s">
        <v>491</v>
      </c>
      <c r="K246" s="764" t="s">
        <v>491</v>
      </c>
      <c r="L246" s="764"/>
      <c r="M246" s="764"/>
      <c r="N246" s="764" t="s">
        <v>491</v>
      </c>
      <c r="O246" s="764" t="s">
        <v>491</v>
      </c>
      <c r="P246" s="764" t="s">
        <v>491</v>
      </c>
      <c r="Q246" s="764" t="s">
        <v>491</v>
      </c>
      <c r="R246" s="764"/>
      <c r="S246" s="764"/>
      <c r="T246" s="764"/>
      <c r="U246" s="1052" t="s">
        <v>491</v>
      </c>
      <c r="V246" s="1052" t="s">
        <v>491</v>
      </c>
      <c r="W246" s="1052" t="s">
        <v>491</v>
      </c>
      <c r="X246" s="1052" t="s">
        <v>491</v>
      </c>
      <c r="Y246" s="1052" t="s">
        <v>491</v>
      </c>
      <c r="Z246" s="764"/>
      <c r="AA246" s="764"/>
      <c r="AB246" s="764" t="s">
        <v>491</v>
      </c>
      <c r="AC246" s="764" t="s">
        <v>491</v>
      </c>
      <c r="AD246" s="764" t="s">
        <v>491</v>
      </c>
      <c r="AE246" s="764"/>
      <c r="AF246" s="764" t="s">
        <v>491</v>
      </c>
      <c r="AG246" s="882"/>
      <c r="AH246" s="628">
        <v>188.5</v>
      </c>
      <c r="AI246" s="629">
        <v>37</v>
      </c>
    </row>
    <row r="247" spans="1:35" ht="21.95" customHeight="1">
      <c r="A247" s="442"/>
      <c r="B247" s="153" t="s">
        <v>710</v>
      </c>
      <c r="C247" s="764" t="s">
        <v>28</v>
      </c>
      <c r="D247" s="764" t="s">
        <v>491</v>
      </c>
      <c r="E247" s="764"/>
      <c r="F247" s="764"/>
      <c r="G247" s="764" t="s">
        <v>491</v>
      </c>
      <c r="H247" s="764" t="s">
        <v>491</v>
      </c>
      <c r="I247" s="764" t="s">
        <v>491</v>
      </c>
      <c r="J247" s="764" t="s">
        <v>491</v>
      </c>
      <c r="K247" s="764" t="s">
        <v>491</v>
      </c>
      <c r="L247" s="764"/>
      <c r="M247" s="764"/>
      <c r="N247" s="764" t="s">
        <v>491</v>
      </c>
      <c r="O247" s="764" t="s">
        <v>491</v>
      </c>
      <c r="P247" s="764" t="s">
        <v>491</v>
      </c>
      <c r="Q247" s="764" t="s">
        <v>491</v>
      </c>
      <c r="R247" s="764"/>
      <c r="S247" s="764"/>
      <c r="T247" s="764"/>
      <c r="U247" s="764" t="s">
        <v>491</v>
      </c>
      <c r="V247" s="764" t="s">
        <v>491</v>
      </c>
      <c r="W247" s="764" t="s">
        <v>491</v>
      </c>
      <c r="X247" s="764" t="s">
        <v>491</v>
      </c>
      <c r="Y247" s="764" t="s">
        <v>491</v>
      </c>
      <c r="Z247" s="764"/>
      <c r="AA247" s="764"/>
      <c r="AB247" s="764" t="s">
        <v>491</v>
      </c>
      <c r="AC247" s="764" t="s">
        <v>491</v>
      </c>
      <c r="AD247" s="764" t="s">
        <v>491</v>
      </c>
      <c r="AE247" s="764"/>
      <c r="AF247" s="764" t="s">
        <v>491</v>
      </c>
      <c r="AG247" s="882"/>
      <c r="AH247" s="628">
        <v>222</v>
      </c>
      <c r="AI247" s="629">
        <v>37</v>
      </c>
    </row>
    <row r="248" spans="1:35" ht="21.95" customHeight="1">
      <c r="A248" s="516">
        <v>3701</v>
      </c>
      <c r="B248" s="134" t="s">
        <v>711</v>
      </c>
      <c r="C248" s="764" t="s">
        <v>28</v>
      </c>
      <c r="D248" s="965" t="s">
        <v>491</v>
      </c>
      <c r="E248" s="764"/>
      <c r="F248" s="764"/>
      <c r="G248" s="965" t="s">
        <v>491</v>
      </c>
      <c r="H248" s="965" t="s">
        <v>491</v>
      </c>
      <c r="I248" s="965" t="s">
        <v>491</v>
      </c>
      <c r="J248" s="965" t="s">
        <v>491</v>
      </c>
      <c r="K248" s="965" t="s">
        <v>491</v>
      </c>
      <c r="L248" s="764"/>
      <c r="M248" s="764"/>
      <c r="N248" s="764" t="s">
        <v>491</v>
      </c>
      <c r="O248" s="983" t="s">
        <v>586</v>
      </c>
      <c r="P248" s="764" t="s">
        <v>491</v>
      </c>
      <c r="Q248" s="764" t="s">
        <v>491</v>
      </c>
      <c r="R248" s="764"/>
      <c r="S248" s="764"/>
      <c r="T248" s="764"/>
      <c r="U248" s="764" t="s">
        <v>491</v>
      </c>
      <c r="V248" s="764" t="s">
        <v>491</v>
      </c>
      <c r="W248" s="764" t="s">
        <v>491</v>
      </c>
      <c r="X248" s="764" t="s">
        <v>491</v>
      </c>
      <c r="Y248" s="764" t="s">
        <v>491</v>
      </c>
      <c r="Z248" s="764"/>
      <c r="AA248" s="764"/>
      <c r="AB248" s="764" t="s">
        <v>491</v>
      </c>
      <c r="AC248" s="764" t="s">
        <v>491</v>
      </c>
      <c r="AD248" s="764" t="s">
        <v>491</v>
      </c>
      <c r="AE248" s="764"/>
      <c r="AF248" s="764" t="s">
        <v>491</v>
      </c>
      <c r="AG248" s="882"/>
      <c r="AH248" s="849">
        <v>214.5</v>
      </c>
      <c r="AI248" s="850">
        <v>37</v>
      </c>
    </row>
    <row r="249" spans="1:35" ht="21" customHeight="1">
      <c r="A249" s="793">
        <v>8500</v>
      </c>
      <c r="B249" s="1020" t="s">
        <v>712</v>
      </c>
      <c r="C249" s="764" t="s">
        <v>28</v>
      </c>
      <c r="D249" s="764" t="s">
        <v>491</v>
      </c>
      <c r="E249" s="764"/>
      <c r="F249" s="764"/>
      <c r="G249" s="764" t="s">
        <v>491</v>
      </c>
      <c r="H249" s="764" t="s">
        <v>491</v>
      </c>
      <c r="I249" s="764" t="s">
        <v>491</v>
      </c>
      <c r="J249" s="764" t="s">
        <v>491</v>
      </c>
      <c r="K249" s="764" t="s">
        <v>491</v>
      </c>
      <c r="L249" s="764"/>
      <c r="M249" s="764"/>
      <c r="N249" s="764" t="s">
        <v>491</v>
      </c>
      <c r="O249" s="764" t="s">
        <v>491</v>
      </c>
      <c r="P249" s="764" t="s">
        <v>491</v>
      </c>
      <c r="Q249" s="764" t="s">
        <v>491</v>
      </c>
      <c r="R249" s="764"/>
      <c r="S249" s="764"/>
      <c r="T249" s="764"/>
      <c r="U249" s="764" t="s">
        <v>491</v>
      </c>
      <c r="V249" s="764" t="s">
        <v>491</v>
      </c>
      <c r="W249" s="764" t="s">
        <v>491</v>
      </c>
      <c r="X249" s="764" t="s">
        <v>491</v>
      </c>
      <c r="Y249" s="764" t="s">
        <v>491</v>
      </c>
      <c r="Z249" s="764"/>
      <c r="AA249" s="764"/>
      <c r="AB249" s="764" t="s">
        <v>491</v>
      </c>
      <c r="AC249" s="764" t="s">
        <v>491</v>
      </c>
      <c r="AD249" s="764" t="s">
        <v>491</v>
      </c>
      <c r="AE249" s="764"/>
      <c r="AF249" s="764" t="s">
        <v>491</v>
      </c>
      <c r="AG249" s="882"/>
      <c r="AH249" s="849">
        <v>185</v>
      </c>
      <c r="AI249" s="850">
        <v>37</v>
      </c>
    </row>
    <row r="250" spans="1:35" ht="21.95" customHeight="1">
      <c r="A250" s="856">
        <v>3350</v>
      </c>
      <c r="B250" s="855" t="s">
        <v>713</v>
      </c>
      <c r="C250" s="1000" t="s">
        <v>28</v>
      </c>
      <c r="D250" s="1000" t="s">
        <v>714</v>
      </c>
      <c r="E250" s="1000"/>
      <c r="F250" s="1000"/>
      <c r="G250" s="764" t="s">
        <v>491</v>
      </c>
      <c r="H250" s="764" t="s">
        <v>491</v>
      </c>
      <c r="I250" s="764" t="s">
        <v>491</v>
      </c>
      <c r="J250" s="764" t="s">
        <v>491</v>
      </c>
      <c r="K250" s="764" t="s">
        <v>491</v>
      </c>
      <c r="L250" s="764"/>
      <c r="M250" s="764"/>
      <c r="N250" s="764" t="s">
        <v>491</v>
      </c>
      <c r="O250" s="764" t="s">
        <v>491</v>
      </c>
      <c r="P250" s="764" t="s">
        <v>491</v>
      </c>
      <c r="Q250" s="764" t="s">
        <v>491</v>
      </c>
      <c r="R250" s="764"/>
      <c r="S250" s="764"/>
      <c r="T250" s="764"/>
      <c r="U250" s="764" t="s">
        <v>491</v>
      </c>
      <c r="V250" s="764" t="s">
        <v>491</v>
      </c>
      <c r="W250" s="764" t="s">
        <v>491</v>
      </c>
      <c r="X250" s="764" t="s">
        <v>491</v>
      </c>
      <c r="Y250" s="1000" t="s">
        <v>714</v>
      </c>
      <c r="Z250" s="764"/>
      <c r="AA250" s="764"/>
      <c r="AB250" s="764" t="s">
        <v>491</v>
      </c>
      <c r="AC250" s="764" t="s">
        <v>491</v>
      </c>
      <c r="AD250" s="764" t="s">
        <v>491</v>
      </c>
      <c r="AE250" s="764"/>
      <c r="AF250" s="764" t="s">
        <v>491</v>
      </c>
      <c r="AG250" s="882"/>
      <c r="AH250" s="849">
        <v>185</v>
      </c>
      <c r="AI250" s="850">
        <v>37</v>
      </c>
    </row>
    <row r="251" spans="1:35" ht="21.95" customHeight="1" thickBot="1">
      <c r="A251" s="912"/>
      <c r="B251" s="913" t="s">
        <v>715</v>
      </c>
      <c r="C251" s="764" t="s">
        <v>28</v>
      </c>
      <c r="D251" s="764" t="s">
        <v>491</v>
      </c>
      <c r="E251" s="764"/>
      <c r="F251" s="764"/>
      <c r="G251" s="764" t="s">
        <v>491</v>
      </c>
      <c r="H251" s="764" t="s">
        <v>491</v>
      </c>
      <c r="I251" s="764" t="s">
        <v>491</v>
      </c>
      <c r="J251" s="764" t="s">
        <v>491</v>
      </c>
      <c r="K251" s="764" t="s">
        <v>491</v>
      </c>
      <c r="L251" s="764"/>
      <c r="M251" s="764"/>
      <c r="N251" s="764" t="s">
        <v>491</v>
      </c>
      <c r="O251" s="764" t="s">
        <v>491</v>
      </c>
      <c r="P251" s="764" t="s">
        <v>491</v>
      </c>
      <c r="Q251" s="764" t="s">
        <v>491</v>
      </c>
      <c r="R251" s="764"/>
      <c r="S251" s="764"/>
      <c r="T251" s="764"/>
      <c r="U251" s="764" t="s">
        <v>491</v>
      </c>
      <c r="V251" s="764" t="s">
        <v>491</v>
      </c>
      <c r="W251" s="764" t="s">
        <v>491</v>
      </c>
      <c r="X251" s="764" t="s">
        <v>491</v>
      </c>
      <c r="Y251" s="764" t="s">
        <v>491</v>
      </c>
      <c r="Z251" s="764"/>
      <c r="AA251" s="764"/>
      <c r="AB251" s="764" t="s">
        <v>491</v>
      </c>
      <c r="AC251" s="764" t="s">
        <v>491</v>
      </c>
      <c r="AD251" s="764" t="s">
        <v>491</v>
      </c>
      <c r="AE251" s="764"/>
      <c r="AF251" s="764" t="s">
        <v>491</v>
      </c>
      <c r="AG251" s="882"/>
      <c r="AH251" s="914"/>
      <c r="AI251" s="915"/>
    </row>
    <row r="253" spans="1:35" ht="25.5" customHeight="1" thickBot="1">
      <c r="A253" s="1" t="s">
        <v>716</v>
      </c>
    </row>
    <row r="254" spans="1:35" ht="21" customHeight="1">
      <c r="A254" s="1"/>
      <c r="B254" s="201" t="s">
        <v>664</v>
      </c>
      <c r="C254" s="7"/>
      <c r="D254" s="522" t="s">
        <v>2</v>
      </c>
      <c r="E254" s="51"/>
      <c r="F254" s="548"/>
      <c r="G254" s="7"/>
      <c r="H254" s="522" t="s">
        <v>3</v>
      </c>
      <c r="I254" s="51"/>
      <c r="J254" s="548"/>
      <c r="K254" s="7"/>
      <c r="L254" s="522" t="s">
        <v>4</v>
      </c>
      <c r="M254" s="51"/>
      <c r="N254" s="548"/>
      <c r="O254" s="7"/>
      <c r="P254" s="522" t="s">
        <v>5</v>
      </c>
      <c r="Q254" s="51"/>
      <c r="R254" s="548"/>
      <c r="S254" s="7"/>
      <c r="T254" s="522" t="s">
        <v>6</v>
      </c>
      <c r="U254" s="51"/>
      <c r="V254" s="548"/>
      <c r="W254" s="7"/>
      <c r="X254" s="522" t="s">
        <v>7</v>
      </c>
      <c r="Y254" s="51"/>
      <c r="Z254" s="548"/>
      <c r="AA254" s="7"/>
      <c r="AB254" s="522" t="s">
        <v>8</v>
      </c>
      <c r="AC254" s="51"/>
      <c r="AD254" s="51"/>
      <c r="AE254" s="425" t="s">
        <v>10</v>
      </c>
      <c r="AF254" s="51"/>
      <c r="AG254" s="51"/>
      <c r="AH254" s="51"/>
      <c r="AI254" s="523"/>
    </row>
    <row r="255" spans="1:35" ht="21" customHeight="1">
      <c r="A255" s="1"/>
      <c r="B255" s="9"/>
      <c r="C255" s="14"/>
      <c r="D255" s="603"/>
      <c r="E255" s="55"/>
      <c r="F255" s="602"/>
      <c r="G255" s="14"/>
      <c r="H255" s="603"/>
      <c r="I255" s="55"/>
      <c r="J255" s="602"/>
      <c r="K255" s="14"/>
      <c r="L255" s="603"/>
      <c r="M255" s="55"/>
      <c r="N255" s="602"/>
      <c r="O255" s="14"/>
      <c r="P255" s="603"/>
      <c r="Q255" s="55"/>
      <c r="R255" s="602"/>
      <c r="S255" s="14"/>
      <c r="T255" s="603"/>
      <c r="U255" s="55"/>
      <c r="V255" s="602"/>
      <c r="W255" s="14"/>
      <c r="X255" s="603"/>
      <c r="Y255" s="55"/>
      <c r="Z255" s="602"/>
      <c r="AA255" s="14"/>
      <c r="AB255" s="603"/>
      <c r="AC255" s="55"/>
      <c r="AD255" s="55"/>
      <c r="AE255" s="604"/>
      <c r="AF255" s="55"/>
      <c r="AG255" s="55"/>
      <c r="AH255" s="55"/>
      <c r="AI255" s="605"/>
    </row>
    <row r="256" spans="1:35" ht="21" customHeight="1">
      <c r="B256" s="606"/>
      <c r="C256" s="121"/>
      <c r="D256" s="157"/>
      <c r="E256" s="157"/>
      <c r="F256" s="564"/>
      <c r="G256" s="121"/>
      <c r="H256" s="157"/>
      <c r="I256" s="157"/>
      <c r="J256" s="564"/>
      <c r="K256" s="121"/>
      <c r="L256" s="157"/>
      <c r="M256" s="157"/>
      <c r="N256" s="564"/>
      <c r="O256" s="121"/>
      <c r="P256" s="157"/>
      <c r="Q256" s="157"/>
      <c r="R256" s="564"/>
      <c r="S256" s="121"/>
      <c r="T256" s="157"/>
      <c r="U256" s="157"/>
      <c r="V256" s="564"/>
      <c r="W256" s="121"/>
      <c r="X256" s="157"/>
      <c r="Y256" s="157"/>
      <c r="Z256" s="564"/>
      <c r="AA256" s="563"/>
      <c r="AB256" s="157"/>
      <c r="AC256" s="157"/>
      <c r="AD256" s="565"/>
      <c r="AE256" s="607"/>
      <c r="AF256" s="157"/>
      <c r="AG256" s="157" t="s">
        <v>28</v>
      </c>
      <c r="AH256" s="565"/>
      <c r="AI256" s="490"/>
    </row>
    <row r="257" spans="1:35" ht="21" customHeight="1" thickBot="1">
      <c r="A257" s="1"/>
      <c r="B257" s="47"/>
      <c r="C257" s="570"/>
      <c r="D257" s="53"/>
      <c r="E257" s="53"/>
      <c r="F257" s="571"/>
      <c r="G257" s="570"/>
      <c r="H257" s="53"/>
      <c r="I257" s="53"/>
      <c r="J257" s="571"/>
      <c r="K257" s="570"/>
      <c r="L257" s="53"/>
      <c r="M257" s="53"/>
      <c r="N257" s="571"/>
      <c r="O257" s="570"/>
      <c r="P257" s="53"/>
      <c r="Q257" s="53"/>
      <c r="R257" s="571"/>
      <c r="S257" s="570"/>
      <c r="T257" s="53"/>
      <c r="U257" s="53"/>
      <c r="V257" s="571"/>
      <c r="W257" s="57"/>
      <c r="X257" s="53"/>
      <c r="Y257" s="53"/>
      <c r="Z257" s="571"/>
      <c r="AA257" s="57"/>
      <c r="AB257" s="53"/>
      <c r="AC257" s="53"/>
      <c r="AD257" s="573"/>
      <c r="AE257" s="57"/>
      <c r="AF257" s="53"/>
      <c r="AG257" s="53"/>
      <c r="AH257" s="573"/>
      <c r="AI257" s="536"/>
    </row>
    <row r="258" spans="1:35" ht="33" customHeight="1" thickBot="1">
      <c r="A258" s="1" t="s">
        <v>717</v>
      </c>
      <c r="B258" s="72"/>
      <c r="C258" s="312"/>
      <c r="F258" s="354"/>
      <c r="G258" s="312"/>
      <c r="J258" s="354"/>
      <c r="K258" s="312"/>
      <c r="N258" s="354"/>
      <c r="O258" s="312"/>
      <c r="R258" s="354"/>
      <c r="S258" s="312"/>
      <c r="V258" s="354"/>
      <c r="W258" s="354"/>
      <c r="Z258" s="354"/>
      <c r="AA258" s="354"/>
      <c r="AD258" s="354"/>
      <c r="AE258" s="354"/>
      <c r="AH258" s="354"/>
    </row>
    <row r="259" spans="1:35" ht="21" customHeight="1" thickBot="1">
      <c r="A259" s="861" t="s">
        <v>475</v>
      </c>
      <c r="B259" s="862" t="s">
        <v>476</v>
      </c>
      <c r="C259" s="880">
        <v>1</v>
      </c>
      <c r="D259" s="863">
        <v>2</v>
      </c>
      <c r="E259" s="880">
        <v>3</v>
      </c>
      <c r="F259" s="880">
        <v>4</v>
      </c>
      <c r="G259" s="863">
        <v>5</v>
      </c>
      <c r="H259" s="863">
        <v>6</v>
      </c>
      <c r="I259" s="863">
        <v>7</v>
      </c>
      <c r="J259" s="863">
        <v>8</v>
      </c>
      <c r="K259" s="863">
        <v>9</v>
      </c>
      <c r="L259" s="880">
        <v>10</v>
      </c>
      <c r="M259" s="880">
        <v>11</v>
      </c>
      <c r="N259" s="863">
        <v>12</v>
      </c>
      <c r="O259" s="863">
        <v>13</v>
      </c>
      <c r="P259" s="863">
        <v>14</v>
      </c>
      <c r="Q259" s="863">
        <v>15</v>
      </c>
      <c r="R259" s="880">
        <v>16</v>
      </c>
      <c r="S259" s="880">
        <v>17</v>
      </c>
      <c r="T259" s="880">
        <v>18</v>
      </c>
      <c r="U259" s="863">
        <v>19</v>
      </c>
      <c r="V259" s="863">
        <v>20</v>
      </c>
      <c r="W259" s="863">
        <v>21</v>
      </c>
      <c r="X259" s="863">
        <v>22</v>
      </c>
      <c r="Y259" s="863">
        <v>23</v>
      </c>
      <c r="Z259" s="880">
        <v>24</v>
      </c>
      <c r="AA259" s="880">
        <v>25</v>
      </c>
      <c r="AB259" s="863">
        <v>26</v>
      </c>
      <c r="AC259" s="863">
        <v>27</v>
      </c>
      <c r="AD259" s="863">
        <v>28</v>
      </c>
      <c r="AE259" s="880">
        <v>29</v>
      </c>
      <c r="AF259" s="863">
        <v>30</v>
      </c>
      <c r="AG259" s="880">
        <v>31</v>
      </c>
      <c r="AH259" s="864" t="s">
        <v>477</v>
      </c>
      <c r="AI259" s="865" t="s">
        <v>478</v>
      </c>
    </row>
    <row r="260" spans="1:35" ht="21" customHeight="1">
      <c r="A260" s="438"/>
      <c r="B260" s="916" t="s">
        <v>718</v>
      </c>
      <c r="C260" s="764" t="s">
        <v>28</v>
      </c>
      <c r="D260" s="764" t="s">
        <v>491</v>
      </c>
      <c r="E260" s="764"/>
      <c r="F260" s="764"/>
      <c r="G260" s="764" t="s">
        <v>491</v>
      </c>
      <c r="H260" s="764" t="s">
        <v>491</v>
      </c>
      <c r="I260" s="764" t="s">
        <v>491</v>
      </c>
      <c r="J260" s="764" t="s">
        <v>491</v>
      </c>
      <c r="K260" s="764" t="s">
        <v>491</v>
      </c>
      <c r="L260" s="764"/>
      <c r="M260" s="764"/>
      <c r="N260" s="764" t="s">
        <v>491</v>
      </c>
      <c r="O260" s="764" t="s">
        <v>491</v>
      </c>
      <c r="P260" s="764" t="s">
        <v>491</v>
      </c>
      <c r="Q260" s="764" t="s">
        <v>491</v>
      </c>
      <c r="R260" s="764"/>
      <c r="S260" s="764"/>
      <c r="T260" s="764"/>
      <c r="U260" s="764" t="s">
        <v>491</v>
      </c>
      <c r="V260" s="764" t="s">
        <v>491</v>
      </c>
      <c r="W260" s="764" t="s">
        <v>491</v>
      </c>
      <c r="X260" s="764" t="s">
        <v>491</v>
      </c>
      <c r="Y260" s="764" t="s">
        <v>491</v>
      </c>
      <c r="Z260" s="764"/>
      <c r="AA260" s="764"/>
      <c r="AB260" s="764" t="s">
        <v>491</v>
      </c>
      <c r="AC260" s="764" t="s">
        <v>491</v>
      </c>
      <c r="AD260" s="764" t="s">
        <v>491</v>
      </c>
      <c r="AE260" s="764"/>
      <c r="AF260" s="764" t="s">
        <v>491</v>
      </c>
      <c r="AG260" s="882"/>
      <c r="AH260" s="909">
        <v>222</v>
      </c>
      <c r="AI260" s="910">
        <v>37</v>
      </c>
    </row>
    <row r="261" spans="1:35" ht="21" customHeight="1">
      <c r="A261" s="442"/>
      <c r="B261" s="613" t="s">
        <v>719</v>
      </c>
      <c r="C261" s="764" t="s">
        <v>28</v>
      </c>
      <c r="D261" s="764" t="s">
        <v>491</v>
      </c>
      <c r="E261" s="764"/>
      <c r="F261" s="764"/>
      <c r="G261" s="764" t="s">
        <v>491</v>
      </c>
      <c r="H261" s="764" t="s">
        <v>491</v>
      </c>
      <c r="I261" s="764" t="s">
        <v>491</v>
      </c>
      <c r="J261" s="764" t="s">
        <v>491</v>
      </c>
      <c r="K261" s="764" t="s">
        <v>491</v>
      </c>
      <c r="L261" s="764"/>
      <c r="M261" s="764"/>
      <c r="N261" s="764" t="s">
        <v>491</v>
      </c>
      <c r="O261" s="764" t="s">
        <v>491</v>
      </c>
      <c r="P261" s="764" t="s">
        <v>491</v>
      </c>
      <c r="Q261" s="764" t="s">
        <v>491</v>
      </c>
      <c r="R261" s="764"/>
      <c r="S261" s="764"/>
      <c r="T261" s="764"/>
      <c r="U261" s="764" t="s">
        <v>491</v>
      </c>
      <c r="V261" s="764" t="s">
        <v>491</v>
      </c>
      <c r="W261" s="764" t="s">
        <v>491</v>
      </c>
      <c r="X261" s="764" t="s">
        <v>491</v>
      </c>
      <c r="Y261" s="764" t="s">
        <v>491</v>
      </c>
      <c r="Z261" s="764"/>
      <c r="AA261" s="764"/>
      <c r="AB261" s="764" t="s">
        <v>491</v>
      </c>
      <c r="AC261" s="764" t="s">
        <v>491</v>
      </c>
      <c r="AD261" s="764" t="s">
        <v>491</v>
      </c>
      <c r="AE261" s="764"/>
      <c r="AF261" s="965" t="s">
        <v>491</v>
      </c>
      <c r="AG261" s="882"/>
      <c r="AH261" s="628">
        <v>186</v>
      </c>
      <c r="AI261" s="629">
        <v>37</v>
      </c>
    </row>
    <row r="262" spans="1:35" ht="21" customHeight="1">
      <c r="A262" s="442"/>
      <c r="B262" s="613" t="s">
        <v>720</v>
      </c>
      <c r="C262" s="764" t="s">
        <v>28</v>
      </c>
      <c r="D262" s="764" t="s">
        <v>491</v>
      </c>
      <c r="E262" s="764"/>
      <c r="F262" s="764"/>
      <c r="G262" s="764" t="s">
        <v>491</v>
      </c>
      <c r="H262" s="764" t="s">
        <v>491</v>
      </c>
      <c r="I262" s="764" t="s">
        <v>491</v>
      </c>
      <c r="J262" s="764" t="s">
        <v>491</v>
      </c>
      <c r="K262" s="764" t="s">
        <v>491</v>
      </c>
      <c r="L262" s="764"/>
      <c r="M262" s="764"/>
      <c r="N262" s="764" t="s">
        <v>491</v>
      </c>
      <c r="O262" s="764" t="s">
        <v>491</v>
      </c>
      <c r="P262" s="764" t="s">
        <v>491</v>
      </c>
      <c r="Q262" s="764" t="s">
        <v>491</v>
      </c>
      <c r="R262" s="764"/>
      <c r="S262" s="764"/>
      <c r="T262" s="764"/>
      <c r="U262" s="764" t="s">
        <v>491</v>
      </c>
      <c r="V262" s="965" t="s">
        <v>491</v>
      </c>
      <c r="W262" s="764" t="s">
        <v>491</v>
      </c>
      <c r="X262" s="764" t="s">
        <v>491</v>
      </c>
      <c r="Y262" s="764" t="s">
        <v>491</v>
      </c>
      <c r="Z262" s="764"/>
      <c r="AA262" s="764"/>
      <c r="AB262" s="1000" t="s">
        <v>491</v>
      </c>
      <c r="AC262" s="1000" t="s">
        <v>493</v>
      </c>
      <c r="AD262" s="985" t="s">
        <v>491</v>
      </c>
      <c r="AE262" s="764"/>
      <c r="AF262" s="764" t="s">
        <v>491</v>
      </c>
      <c r="AG262" s="882"/>
      <c r="AH262" s="628">
        <v>185</v>
      </c>
      <c r="AI262" s="629">
        <v>37</v>
      </c>
    </row>
    <row r="263" spans="1:35" ht="21" customHeight="1">
      <c r="A263" s="442"/>
      <c r="B263" s="613" t="s">
        <v>721</v>
      </c>
      <c r="C263" s="764" t="s">
        <v>28</v>
      </c>
      <c r="D263" s="764" t="s">
        <v>491</v>
      </c>
      <c r="E263" s="764"/>
      <c r="F263" s="764"/>
      <c r="G263" s="764" t="s">
        <v>491</v>
      </c>
      <c r="H263" s="764" t="s">
        <v>491</v>
      </c>
      <c r="I263" s="764" t="s">
        <v>491</v>
      </c>
      <c r="J263" s="764" t="s">
        <v>491</v>
      </c>
      <c r="K263" s="764" t="s">
        <v>491</v>
      </c>
      <c r="L263" s="764"/>
      <c r="M263" s="764"/>
      <c r="N263" s="764" t="s">
        <v>491</v>
      </c>
      <c r="O263" s="764" t="s">
        <v>491</v>
      </c>
      <c r="P263" s="764" t="s">
        <v>491</v>
      </c>
      <c r="Q263" s="764" t="s">
        <v>491</v>
      </c>
      <c r="R263" s="764"/>
      <c r="S263" s="764"/>
      <c r="T263" s="764"/>
      <c r="U263" s="764" t="s">
        <v>491</v>
      </c>
      <c r="V263" s="764" t="s">
        <v>491</v>
      </c>
      <c r="W263" s="764" t="s">
        <v>491</v>
      </c>
      <c r="X263" s="764" t="s">
        <v>491</v>
      </c>
      <c r="Y263" s="764" t="s">
        <v>491</v>
      </c>
      <c r="Z263" s="764"/>
      <c r="AA263" s="764"/>
      <c r="AB263" s="764" t="s">
        <v>491</v>
      </c>
      <c r="AC263" s="764" t="s">
        <v>491</v>
      </c>
      <c r="AD263" s="764" t="s">
        <v>491</v>
      </c>
      <c r="AE263" s="764"/>
      <c r="AF263" s="972" t="s">
        <v>491</v>
      </c>
      <c r="AG263" s="882"/>
      <c r="AH263" s="628">
        <v>179</v>
      </c>
      <c r="AI263" s="629">
        <v>37</v>
      </c>
    </row>
    <row r="264" spans="1:35" ht="21" customHeight="1">
      <c r="A264" s="442"/>
      <c r="B264" s="613" t="s">
        <v>722</v>
      </c>
      <c r="C264" s="764" t="s">
        <v>28</v>
      </c>
      <c r="D264" s="764" t="s">
        <v>491</v>
      </c>
      <c r="E264" s="764"/>
      <c r="F264" s="764"/>
      <c r="G264" s="764" t="s">
        <v>491</v>
      </c>
      <c r="H264" s="764" t="s">
        <v>491</v>
      </c>
      <c r="I264" s="764" t="s">
        <v>491</v>
      </c>
      <c r="J264" s="764" t="s">
        <v>491</v>
      </c>
      <c r="K264" s="764" t="s">
        <v>491</v>
      </c>
      <c r="L264" s="764"/>
      <c r="M264" s="764"/>
      <c r="N264" s="764" t="s">
        <v>491</v>
      </c>
      <c r="O264" s="764" t="s">
        <v>491</v>
      </c>
      <c r="P264" s="764" t="s">
        <v>491</v>
      </c>
      <c r="Q264" s="764" t="s">
        <v>491</v>
      </c>
      <c r="R264" s="764"/>
      <c r="S264" s="764"/>
      <c r="T264" s="764"/>
      <c r="U264" s="764" t="s">
        <v>491</v>
      </c>
      <c r="V264" s="764" t="s">
        <v>491</v>
      </c>
      <c r="W264" s="764" t="s">
        <v>491</v>
      </c>
      <c r="X264" s="764" t="s">
        <v>491</v>
      </c>
      <c r="Y264" s="764" t="s">
        <v>491</v>
      </c>
      <c r="Z264" s="764"/>
      <c r="AA264" s="764"/>
      <c r="AB264" s="764" t="s">
        <v>491</v>
      </c>
      <c r="AC264" s="764" t="s">
        <v>491</v>
      </c>
      <c r="AD264" s="764" t="s">
        <v>491</v>
      </c>
      <c r="AE264" s="764"/>
      <c r="AF264" s="1032" t="s">
        <v>491</v>
      </c>
      <c r="AG264" s="882"/>
      <c r="AH264" s="628">
        <v>203</v>
      </c>
      <c r="AI264" s="629">
        <v>30.5</v>
      </c>
    </row>
    <row r="265" spans="1:35" ht="21" customHeight="1">
      <c r="A265" s="442"/>
      <c r="B265" s="613" t="s">
        <v>723</v>
      </c>
      <c r="C265" s="764" t="s">
        <v>28</v>
      </c>
      <c r="D265" s="764" t="s">
        <v>491</v>
      </c>
      <c r="E265" s="764"/>
      <c r="F265" s="764"/>
      <c r="G265" s="764" t="s">
        <v>491</v>
      </c>
      <c r="H265" s="764" t="s">
        <v>491</v>
      </c>
      <c r="I265" s="764" t="s">
        <v>491</v>
      </c>
      <c r="J265" s="764" t="s">
        <v>491</v>
      </c>
      <c r="K265" s="764" t="s">
        <v>491</v>
      </c>
      <c r="L265" s="764"/>
      <c r="M265" s="764"/>
      <c r="N265" s="764" t="s">
        <v>491</v>
      </c>
      <c r="O265" s="764" t="s">
        <v>491</v>
      </c>
      <c r="P265" s="764" t="s">
        <v>491</v>
      </c>
      <c r="Q265" s="764" t="s">
        <v>491</v>
      </c>
      <c r="R265" s="764"/>
      <c r="S265" s="764"/>
      <c r="T265" s="764"/>
      <c r="U265" s="764" t="s">
        <v>491</v>
      </c>
      <c r="V265" s="764" t="s">
        <v>491</v>
      </c>
      <c r="W265" s="764" t="s">
        <v>491</v>
      </c>
      <c r="X265" s="965" t="s">
        <v>491</v>
      </c>
      <c r="Y265" s="965" t="s">
        <v>491</v>
      </c>
      <c r="Z265" s="764"/>
      <c r="AA265" s="764"/>
      <c r="AB265" s="764" t="s">
        <v>491</v>
      </c>
      <c r="AC265" s="764" t="s">
        <v>491</v>
      </c>
      <c r="AD265" s="764" t="s">
        <v>491</v>
      </c>
      <c r="AE265" s="764"/>
      <c r="AF265" s="965" t="s">
        <v>491</v>
      </c>
      <c r="AG265" s="882"/>
      <c r="AH265" s="628">
        <v>190</v>
      </c>
      <c r="AI265" s="629">
        <v>37</v>
      </c>
    </row>
    <row r="266" spans="1:35" ht="21" customHeight="1">
      <c r="A266" s="442"/>
      <c r="B266" s="613" t="s">
        <v>724</v>
      </c>
      <c r="C266" s="764" t="s">
        <v>28</v>
      </c>
      <c r="D266" s="764" t="s">
        <v>491</v>
      </c>
      <c r="E266" s="764"/>
      <c r="F266" s="764"/>
      <c r="G266" s="764" t="s">
        <v>491</v>
      </c>
      <c r="H266" s="1000" t="s">
        <v>491</v>
      </c>
      <c r="I266" s="1000" t="s">
        <v>493</v>
      </c>
      <c r="J266" s="764" t="s">
        <v>491</v>
      </c>
      <c r="K266" s="764" t="s">
        <v>491</v>
      </c>
      <c r="L266" s="764"/>
      <c r="M266" s="764"/>
      <c r="N266" s="764" t="s">
        <v>491</v>
      </c>
      <c r="O266" s="764" t="s">
        <v>491</v>
      </c>
      <c r="P266" s="764" t="s">
        <v>491</v>
      </c>
      <c r="Q266" s="764" t="s">
        <v>491</v>
      </c>
      <c r="R266" s="764"/>
      <c r="S266" s="764"/>
      <c r="T266" s="764"/>
      <c r="U266" s="764" t="s">
        <v>491</v>
      </c>
      <c r="V266" s="764" t="s">
        <v>491</v>
      </c>
      <c r="W266" s="764" t="s">
        <v>491</v>
      </c>
      <c r="X266" s="764" t="s">
        <v>491</v>
      </c>
      <c r="Y266" s="764" t="s">
        <v>491</v>
      </c>
      <c r="Z266" s="764"/>
      <c r="AA266" s="764"/>
      <c r="AB266" s="764" t="s">
        <v>491</v>
      </c>
      <c r="AC266" s="764" t="s">
        <v>491</v>
      </c>
      <c r="AD266" s="764" t="s">
        <v>491</v>
      </c>
      <c r="AE266" s="764"/>
      <c r="AF266" s="1032" t="s">
        <v>491</v>
      </c>
      <c r="AG266" s="882"/>
      <c r="AH266" s="628">
        <v>186</v>
      </c>
      <c r="AI266" s="629">
        <v>30.5</v>
      </c>
    </row>
    <row r="267" spans="1:35" ht="21" customHeight="1">
      <c r="A267" s="442"/>
      <c r="B267" s="613" t="s">
        <v>725</v>
      </c>
      <c r="C267" s="764" t="s">
        <v>28</v>
      </c>
      <c r="D267" s="764" t="s">
        <v>491</v>
      </c>
      <c r="E267" s="764"/>
      <c r="F267" s="764"/>
      <c r="G267" s="764" t="s">
        <v>491</v>
      </c>
      <c r="H267" s="764" t="s">
        <v>491</v>
      </c>
      <c r="I267" s="764" t="s">
        <v>491</v>
      </c>
      <c r="J267" s="764" t="s">
        <v>491</v>
      </c>
      <c r="K267" s="764" t="s">
        <v>491</v>
      </c>
      <c r="L267" s="764"/>
      <c r="M267" s="764"/>
      <c r="N267" s="764" t="s">
        <v>491</v>
      </c>
      <c r="O267" s="764" t="s">
        <v>491</v>
      </c>
      <c r="P267" s="764" t="s">
        <v>491</v>
      </c>
      <c r="Q267" s="764" t="s">
        <v>491</v>
      </c>
      <c r="R267" s="764"/>
      <c r="S267" s="764"/>
      <c r="T267" s="764"/>
      <c r="U267" s="764" t="s">
        <v>491</v>
      </c>
      <c r="V267" s="764" t="s">
        <v>491</v>
      </c>
      <c r="W267" s="764" t="s">
        <v>491</v>
      </c>
      <c r="X267" s="764" t="s">
        <v>491</v>
      </c>
      <c r="Y267" s="764" t="s">
        <v>491</v>
      </c>
      <c r="Z267" s="764"/>
      <c r="AA267" s="764"/>
      <c r="AB267" s="764" t="s">
        <v>491</v>
      </c>
      <c r="AC267" s="764" t="s">
        <v>491</v>
      </c>
      <c r="AD267" s="764" t="s">
        <v>491</v>
      </c>
      <c r="AE267" s="764"/>
      <c r="AF267" s="965" t="s">
        <v>491</v>
      </c>
      <c r="AG267" s="882"/>
      <c r="AH267" s="628">
        <v>194</v>
      </c>
      <c r="AI267" s="629">
        <v>37</v>
      </c>
    </row>
    <row r="268" spans="1:35" ht="21" customHeight="1">
      <c r="A268" s="442"/>
      <c r="B268" s="613" t="s">
        <v>726</v>
      </c>
      <c r="C268" s="764" t="s">
        <v>28</v>
      </c>
      <c r="D268" s="764" t="s">
        <v>491</v>
      </c>
      <c r="E268" s="764"/>
      <c r="F268" s="764"/>
      <c r="G268" s="764" t="s">
        <v>491</v>
      </c>
      <c r="H268" s="764" t="s">
        <v>491</v>
      </c>
      <c r="I268" s="764" t="s">
        <v>491</v>
      </c>
      <c r="J268" s="764" t="s">
        <v>491</v>
      </c>
      <c r="K268" s="764" t="s">
        <v>491</v>
      </c>
      <c r="L268" s="764"/>
      <c r="M268" s="764"/>
      <c r="N268" s="764" t="s">
        <v>491</v>
      </c>
      <c r="O268" s="764" t="s">
        <v>491</v>
      </c>
      <c r="P268" s="764" t="s">
        <v>491</v>
      </c>
      <c r="Q268" s="764" t="s">
        <v>491</v>
      </c>
      <c r="R268" s="764"/>
      <c r="S268" s="764"/>
      <c r="T268" s="764"/>
      <c r="U268" s="764" t="s">
        <v>491</v>
      </c>
      <c r="V268" s="764" t="s">
        <v>491</v>
      </c>
      <c r="W268" s="764" t="s">
        <v>491</v>
      </c>
      <c r="X268" s="764" t="s">
        <v>491</v>
      </c>
      <c r="Y268" s="764" t="s">
        <v>491</v>
      </c>
      <c r="Z268" s="764"/>
      <c r="AA268" s="764"/>
      <c r="AB268" s="764" t="s">
        <v>491</v>
      </c>
      <c r="AC268" s="764" t="s">
        <v>491</v>
      </c>
      <c r="AD268" s="764" t="s">
        <v>491</v>
      </c>
      <c r="AE268" s="764"/>
      <c r="AF268" s="764" t="s">
        <v>491</v>
      </c>
      <c r="AG268" s="882"/>
      <c r="AH268" s="628">
        <v>209</v>
      </c>
      <c r="AI268" s="629">
        <v>37</v>
      </c>
    </row>
    <row r="269" spans="1:35" ht="21" customHeight="1">
      <c r="A269" s="442"/>
      <c r="B269" s="613" t="s">
        <v>727</v>
      </c>
      <c r="C269" s="1000" t="s">
        <v>28</v>
      </c>
      <c r="D269" s="1000" t="s">
        <v>491</v>
      </c>
      <c r="E269" s="1000"/>
      <c r="F269" s="1000"/>
      <c r="G269" s="1000" t="s">
        <v>491</v>
      </c>
      <c r="H269" s="1000" t="s">
        <v>491</v>
      </c>
      <c r="I269" s="1000" t="s">
        <v>491</v>
      </c>
      <c r="J269" s="1000" t="s">
        <v>491</v>
      </c>
      <c r="K269" s="1000" t="s">
        <v>714</v>
      </c>
      <c r="L269" s="1000"/>
      <c r="M269" s="1000"/>
      <c r="N269" s="764" t="s">
        <v>491</v>
      </c>
      <c r="O269" s="764" t="s">
        <v>491</v>
      </c>
      <c r="P269" s="764" t="s">
        <v>491</v>
      </c>
      <c r="Q269" s="764" t="s">
        <v>491</v>
      </c>
      <c r="R269" s="764"/>
      <c r="S269" s="764"/>
      <c r="T269" s="764"/>
      <c r="U269" s="764" t="s">
        <v>491</v>
      </c>
      <c r="V269" s="764" t="s">
        <v>491</v>
      </c>
      <c r="W269" s="764" t="s">
        <v>491</v>
      </c>
      <c r="X269" s="764" t="s">
        <v>491</v>
      </c>
      <c r="Y269" s="764" t="s">
        <v>491</v>
      </c>
      <c r="Z269" s="764"/>
      <c r="AA269" s="764"/>
      <c r="AB269" s="1031" t="s">
        <v>491</v>
      </c>
      <c r="AC269" s="1031" t="s">
        <v>491</v>
      </c>
      <c r="AD269" s="764" t="s">
        <v>491</v>
      </c>
      <c r="AE269" s="764"/>
      <c r="AF269" s="764" t="s">
        <v>491</v>
      </c>
      <c r="AG269" s="882"/>
      <c r="AH269" s="628">
        <v>186.5</v>
      </c>
      <c r="AI269" s="629">
        <v>37</v>
      </c>
    </row>
    <row r="270" spans="1:35" ht="21" customHeight="1">
      <c r="A270" s="442"/>
      <c r="B270" s="153" t="s">
        <v>728</v>
      </c>
      <c r="C270" s="764" t="s">
        <v>28</v>
      </c>
      <c r="D270" s="764" t="s">
        <v>491</v>
      </c>
      <c r="E270" s="764"/>
      <c r="F270" s="764"/>
      <c r="G270" s="764" t="s">
        <v>491</v>
      </c>
      <c r="H270" s="764" t="s">
        <v>491</v>
      </c>
      <c r="I270" s="764" t="s">
        <v>491</v>
      </c>
      <c r="J270" s="764" t="s">
        <v>491</v>
      </c>
      <c r="K270" s="764" t="s">
        <v>491</v>
      </c>
      <c r="L270" s="764"/>
      <c r="M270" s="764"/>
      <c r="N270" s="764" t="s">
        <v>491</v>
      </c>
      <c r="O270" s="764" t="s">
        <v>491</v>
      </c>
      <c r="P270" s="764" t="s">
        <v>491</v>
      </c>
      <c r="Q270" s="764" t="s">
        <v>491</v>
      </c>
      <c r="R270" s="764"/>
      <c r="S270" s="764"/>
      <c r="T270" s="764"/>
      <c r="U270" s="764" t="s">
        <v>491</v>
      </c>
      <c r="V270" s="764" t="s">
        <v>491</v>
      </c>
      <c r="W270" s="764" t="s">
        <v>491</v>
      </c>
      <c r="X270" s="764" t="s">
        <v>491</v>
      </c>
      <c r="Y270" s="764" t="s">
        <v>491</v>
      </c>
      <c r="Z270" s="764"/>
      <c r="AA270" s="764"/>
      <c r="AB270" s="764" t="s">
        <v>491</v>
      </c>
      <c r="AC270" s="764" t="s">
        <v>491</v>
      </c>
      <c r="AD270" s="764" t="s">
        <v>491</v>
      </c>
      <c r="AE270" s="764"/>
      <c r="AF270" s="1031" t="s">
        <v>491</v>
      </c>
      <c r="AG270" s="882"/>
      <c r="AH270" s="628">
        <v>186</v>
      </c>
      <c r="AI270" s="629">
        <v>37</v>
      </c>
    </row>
    <row r="271" spans="1:35" ht="21" customHeight="1">
      <c r="A271" s="442"/>
      <c r="B271" s="153" t="s">
        <v>729</v>
      </c>
      <c r="C271" s="764" t="s">
        <v>28</v>
      </c>
      <c r="D271" s="764" t="s">
        <v>491</v>
      </c>
      <c r="E271" s="764"/>
      <c r="F271" s="764"/>
      <c r="G271" s="764" t="s">
        <v>491</v>
      </c>
      <c r="H271" s="764" t="s">
        <v>491</v>
      </c>
      <c r="I271" s="764" t="s">
        <v>491</v>
      </c>
      <c r="J271" s="764" t="s">
        <v>491</v>
      </c>
      <c r="K271" s="764" t="s">
        <v>491</v>
      </c>
      <c r="L271" s="764"/>
      <c r="M271" s="764"/>
      <c r="N271" s="764" t="s">
        <v>491</v>
      </c>
      <c r="O271" s="764" t="s">
        <v>491</v>
      </c>
      <c r="P271" s="764" t="s">
        <v>491</v>
      </c>
      <c r="Q271" s="764" t="s">
        <v>491</v>
      </c>
      <c r="R271" s="764"/>
      <c r="S271" s="764"/>
      <c r="T271" s="764"/>
      <c r="U271" s="1032" t="s">
        <v>491</v>
      </c>
      <c r="V271" s="1032" t="s">
        <v>491</v>
      </c>
      <c r="W271" s="1032" t="s">
        <v>491</v>
      </c>
      <c r="X271" s="1032" t="s">
        <v>491</v>
      </c>
      <c r="Y271" s="1032" t="s">
        <v>491</v>
      </c>
      <c r="Z271" s="764"/>
      <c r="AA271" s="764"/>
      <c r="AB271" s="1031" t="s">
        <v>491</v>
      </c>
      <c r="AC271" s="1031" t="s">
        <v>491</v>
      </c>
      <c r="AD271" s="764" t="s">
        <v>491</v>
      </c>
      <c r="AE271" s="764"/>
      <c r="AF271" s="965" t="s">
        <v>491</v>
      </c>
      <c r="AG271" s="882"/>
      <c r="AH271" s="628">
        <v>185</v>
      </c>
      <c r="AI271" s="629">
        <v>0</v>
      </c>
    </row>
    <row r="272" spans="1:35" ht="21" customHeight="1">
      <c r="A272" s="134"/>
      <c r="B272" s="134" t="s">
        <v>730</v>
      </c>
      <c r="C272" s="764" t="s">
        <v>28</v>
      </c>
      <c r="D272" s="1032" t="s">
        <v>491</v>
      </c>
      <c r="E272" s="764"/>
      <c r="F272" s="764"/>
      <c r="G272" s="764" t="s">
        <v>491</v>
      </c>
      <c r="H272" s="764" t="s">
        <v>491</v>
      </c>
      <c r="I272" s="764" t="s">
        <v>491</v>
      </c>
      <c r="J272" s="764" t="s">
        <v>491</v>
      </c>
      <c r="K272" s="1031" t="s">
        <v>491</v>
      </c>
      <c r="L272" s="764"/>
      <c r="M272" s="764"/>
      <c r="N272" s="1031" t="s">
        <v>491</v>
      </c>
      <c r="O272" s="1031" t="s">
        <v>491</v>
      </c>
      <c r="P272" s="1031" t="s">
        <v>491</v>
      </c>
      <c r="Q272" s="1031" t="s">
        <v>491</v>
      </c>
      <c r="R272" s="764"/>
      <c r="S272" s="764"/>
      <c r="T272" s="764"/>
      <c r="U272" s="764" t="s">
        <v>491</v>
      </c>
      <c r="V272" s="764" t="s">
        <v>491</v>
      </c>
      <c r="W272" s="764" t="s">
        <v>491</v>
      </c>
      <c r="X272" s="764" t="s">
        <v>491</v>
      </c>
      <c r="Y272" s="764" t="s">
        <v>491</v>
      </c>
      <c r="Z272" s="764"/>
      <c r="AA272" s="764"/>
      <c r="AB272" s="764" t="s">
        <v>491</v>
      </c>
      <c r="AC272" s="764" t="s">
        <v>491</v>
      </c>
      <c r="AD272" s="764" t="s">
        <v>491</v>
      </c>
      <c r="AE272" s="764"/>
      <c r="AF272" s="1032" t="s">
        <v>491</v>
      </c>
      <c r="AG272" s="882"/>
      <c r="AH272" s="849">
        <v>193</v>
      </c>
      <c r="AI272" s="850">
        <v>24</v>
      </c>
    </row>
    <row r="273" spans="1:35" ht="21" customHeight="1" thickBot="1">
      <c r="A273" s="917"/>
      <c r="B273" s="917" t="s">
        <v>731</v>
      </c>
      <c r="C273" s="941" t="s">
        <v>28</v>
      </c>
      <c r="D273" s="1066" t="s">
        <v>491</v>
      </c>
      <c r="E273" s="1066"/>
      <c r="F273" s="1066"/>
      <c r="G273" s="1066" t="s">
        <v>491</v>
      </c>
      <c r="H273" s="1066" t="s">
        <v>491</v>
      </c>
      <c r="I273" s="1066" t="s">
        <v>491</v>
      </c>
      <c r="J273" s="1066" t="s">
        <v>491</v>
      </c>
      <c r="K273" s="1066" t="s">
        <v>491</v>
      </c>
      <c r="L273" s="1066"/>
      <c r="M273" s="1066"/>
      <c r="N273" s="1066" t="s">
        <v>491</v>
      </c>
      <c r="O273" s="1066" t="s">
        <v>491</v>
      </c>
      <c r="P273" s="1066" t="s">
        <v>491</v>
      </c>
      <c r="Q273" s="1066" t="s">
        <v>491</v>
      </c>
      <c r="R273" s="1066"/>
      <c r="S273" s="1066"/>
      <c r="T273" s="1066"/>
      <c r="U273" s="1066" t="s">
        <v>491</v>
      </c>
      <c r="V273" s="1066" t="s">
        <v>491</v>
      </c>
      <c r="W273" s="1066" t="s">
        <v>491</v>
      </c>
      <c r="X273" s="1066" t="s">
        <v>491</v>
      </c>
      <c r="Y273" s="1066" t="s">
        <v>491</v>
      </c>
      <c r="Z273" s="1066"/>
      <c r="AA273" s="1066"/>
      <c r="AB273" s="1066" t="s">
        <v>491</v>
      </c>
      <c r="AC273" s="1066" t="s">
        <v>491</v>
      </c>
      <c r="AD273" s="1066" t="s">
        <v>491</v>
      </c>
      <c r="AE273" s="1066"/>
      <c r="AF273" s="1066" t="s">
        <v>491</v>
      </c>
      <c r="AG273" s="942"/>
      <c r="AH273" s="914">
        <v>185</v>
      </c>
      <c r="AI273" s="915">
        <v>37</v>
      </c>
    </row>
  </sheetData>
  <sheetProtection password="CC44" sheet="1" objects="1" scenarios="1" selectLockedCells="1" selectUnlockedCells="1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59" max="16383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35"/>
  <dimension ref="A1:AL273"/>
  <sheetViews>
    <sheetView topLeftCell="A136" zoomScale="70" zoomScaleNormal="70" workbookViewId="0">
      <selection activeCell="AL159" sqref="AL159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449</v>
      </c>
    </row>
    <row r="2" spans="1:35" ht="13.35" customHeight="1">
      <c r="B2" s="443" t="s">
        <v>450</v>
      </c>
      <c r="C2" s="444" t="s">
        <v>451</v>
      </c>
      <c r="D2" s="445"/>
      <c r="E2" s="446" t="s">
        <v>452</v>
      </c>
      <c r="F2" s="447"/>
      <c r="G2" s="448"/>
      <c r="H2" s="448"/>
      <c r="I2" s="448"/>
      <c r="J2" s="448"/>
      <c r="K2" s="449"/>
      <c r="L2" s="450" t="s">
        <v>453</v>
      </c>
      <c r="M2" s="451"/>
      <c r="N2" s="380"/>
      <c r="O2" s="452" t="s">
        <v>454</v>
      </c>
      <c r="P2" s="453"/>
      <c r="Q2" s="454"/>
      <c r="R2" s="455"/>
      <c r="S2" s="456" t="s">
        <v>455</v>
      </c>
      <c r="T2" s="457"/>
      <c r="U2" s="458"/>
      <c r="V2" s="457"/>
      <c r="W2" s="459" t="s">
        <v>456</v>
      </c>
      <c r="X2" s="368"/>
      <c r="Y2" s="460"/>
      <c r="Z2" s="461" t="s">
        <v>457</v>
      </c>
      <c r="AA2" s="462"/>
      <c r="AB2" s="463"/>
      <c r="AC2" s="464"/>
      <c r="AD2" s="465" t="s">
        <v>458</v>
      </c>
      <c r="AE2" s="466"/>
      <c r="AF2" s="466"/>
      <c r="AG2" s="467"/>
    </row>
    <row r="3" spans="1:35" ht="13.35" customHeight="1">
      <c r="A3" s="1"/>
      <c r="B3" s="468" t="s">
        <v>459</v>
      </c>
      <c r="C3" s="469" t="s">
        <v>460</v>
      </c>
      <c r="D3" s="470"/>
      <c r="E3" s="471"/>
      <c r="F3" s="472"/>
      <c r="G3" s="472"/>
      <c r="H3" s="473" t="s">
        <v>461</v>
      </c>
      <c r="I3" s="474"/>
      <c r="J3" s="474"/>
      <c r="K3" s="475"/>
      <c r="L3" s="476" t="s">
        <v>462</v>
      </c>
      <c r="M3" s="157"/>
      <c r="N3" s="477"/>
      <c r="O3" s="474"/>
      <c r="P3" s="474"/>
      <c r="Q3" s="474"/>
      <c r="R3" s="474"/>
      <c r="S3" s="55"/>
      <c r="T3" s="478" t="s">
        <v>463</v>
      </c>
      <c r="U3" s="479"/>
      <c r="V3" s="480"/>
      <c r="W3" s="481"/>
      <c r="X3" s="482"/>
      <c r="Y3" s="473" t="s">
        <v>464</v>
      </c>
      <c r="Z3" s="157"/>
      <c r="AA3" s="157"/>
      <c r="AB3" s="483"/>
      <c r="AC3" s="484"/>
      <c r="AD3" s="485" t="s">
        <v>465</v>
      </c>
      <c r="AE3" s="486"/>
      <c r="AF3" s="486"/>
      <c r="AG3" s="487"/>
    </row>
    <row r="4" spans="1:35" ht="13.35" customHeight="1">
      <c r="A4" s="1" t="s">
        <v>466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 t="s">
        <v>14</v>
      </c>
      <c r="B5" s="1"/>
    </row>
    <row r="6" spans="1:35" ht="21.95" customHeight="1">
      <c r="A6" s="488" t="s">
        <v>467</v>
      </c>
      <c r="B6" s="157"/>
      <c r="C6" s="489"/>
      <c r="D6" s="488" t="s">
        <v>468</v>
      </c>
      <c r="E6" s="157"/>
      <c r="F6" s="157"/>
      <c r="G6" s="157"/>
      <c r="H6" s="490"/>
      <c r="I6" s="157"/>
      <c r="J6" s="157"/>
      <c r="K6" s="157"/>
      <c r="L6" s="488" t="s">
        <v>469</v>
      </c>
      <c r="M6" s="157"/>
      <c r="N6" s="157"/>
      <c r="O6" s="157"/>
      <c r="P6" s="157"/>
      <c r="Q6" s="157"/>
      <c r="R6" s="157"/>
      <c r="S6" s="489"/>
      <c r="T6" s="491" t="s">
        <v>470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35" ht="21.95" customHeight="1">
      <c r="A7" s="488" t="s">
        <v>471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472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35" ht="21.95" customHeight="1">
      <c r="A8" s="496" t="s">
        <v>473</v>
      </c>
      <c r="L8" s="496"/>
      <c r="AB8" s="1"/>
    </row>
    <row r="9" spans="1:35" ht="21.95" customHeight="1" thickBot="1">
      <c r="B9" s="497" t="s">
        <v>474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35" ht="21.95" customHeight="1">
      <c r="A10" s="442" t="s">
        <v>475</v>
      </c>
      <c r="B10" s="297" t="s">
        <v>476</v>
      </c>
      <c r="C10" s="788">
        <v>1</v>
      </c>
      <c r="D10" s="787">
        <v>2</v>
      </c>
      <c r="E10" s="787">
        <v>3</v>
      </c>
      <c r="F10" s="787">
        <v>4</v>
      </c>
      <c r="G10" s="788">
        <v>5</v>
      </c>
      <c r="H10" s="787">
        <v>6</v>
      </c>
      <c r="I10" s="830">
        <v>7</v>
      </c>
      <c r="J10" s="830">
        <v>8</v>
      </c>
      <c r="K10" s="788">
        <v>9</v>
      </c>
      <c r="L10" s="787">
        <v>10</v>
      </c>
      <c r="M10" s="787">
        <v>11</v>
      </c>
      <c r="N10" s="787">
        <v>12</v>
      </c>
      <c r="O10" s="787">
        <v>13</v>
      </c>
      <c r="P10" s="830">
        <v>14</v>
      </c>
      <c r="Q10" s="830">
        <v>15</v>
      </c>
      <c r="R10" s="787">
        <v>16</v>
      </c>
      <c r="S10" s="787">
        <v>17</v>
      </c>
      <c r="T10" s="787">
        <v>18</v>
      </c>
      <c r="U10" s="787">
        <v>19</v>
      </c>
      <c r="V10" s="766">
        <v>20</v>
      </c>
      <c r="W10" s="830">
        <v>21</v>
      </c>
      <c r="X10" s="830">
        <v>22</v>
      </c>
      <c r="Y10" s="787">
        <v>23</v>
      </c>
      <c r="Z10" s="787">
        <v>24</v>
      </c>
      <c r="AA10" s="787">
        <v>25</v>
      </c>
      <c r="AB10" s="787">
        <v>26</v>
      </c>
      <c r="AC10" s="787">
        <v>27</v>
      </c>
      <c r="AD10" s="830">
        <v>28</v>
      </c>
      <c r="AE10" s="830">
        <v>29</v>
      </c>
      <c r="AF10" s="787">
        <v>30</v>
      </c>
      <c r="AG10" s="787"/>
      <c r="AH10" s="498" t="s">
        <v>477</v>
      </c>
      <c r="AI10" s="499" t="s">
        <v>478</v>
      </c>
    </row>
    <row r="11" spans="1:35" ht="21.95" customHeight="1">
      <c r="A11" s="500"/>
      <c r="B11" s="501"/>
      <c r="C11" s="768"/>
      <c r="D11" s="768"/>
      <c r="E11" s="768"/>
      <c r="F11" s="768"/>
      <c r="G11" s="768"/>
      <c r="H11" s="768"/>
      <c r="I11" s="768"/>
      <c r="J11" s="768"/>
      <c r="K11" s="768"/>
      <c r="L11" s="768"/>
      <c r="M11" s="768"/>
      <c r="N11" s="768"/>
      <c r="O11" s="768"/>
      <c r="P11" s="768"/>
      <c r="Q11" s="768"/>
      <c r="R11" s="768"/>
      <c r="S11" s="768"/>
      <c r="T11" s="768"/>
      <c r="U11" s="768"/>
      <c r="V11" s="768"/>
      <c r="W11" s="768"/>
      <c r="X11" s="768"/>
      <c r="Y11" s="768"/>
      <c r="Z11" s="768"/>
      <c r="AA11" s="768"/>
      <c r="AB11" s="768"/>
      <c r="AC11" s="768"/>
      <c r="AD11" s="768"/>
      <c r="AE11" s="768"/>
      <c r="AF11" s="768"/>
      <c r="AG11" s="502"/>
      <c r="AH11" s="924"/>
      <c r="AI11" s="925"/>
    </row>
    <row r="12" spans="1:35" ht="21.95" customHeight="1">
      <c r="A12" s="503" t="s">
        <v>479</v>
      </c>
      <c r="B12" s="457"/>
      <c r="C12" s="504"/>
      <c r="D12" s="504"/>
      <c r="E12" s="504"/>
      <c r="F12" s="504"/>
      <c r="G12" s="504"/>
      <c r="H12" s="504"/>
      <c r="I12" s="504"/>
      <c r="J12" s="504"/>
      <c r="K12" s="504"/>
      <c r="L12" s="504"/>
      <c r="M12" s="504"/>
      <c r="N12" s="504"/>
      <c r="O12" s="504"/>
      <c r="P12" s="504"/>
      <c r="Q12" s="504"/>
      <c r="R12" s="504"/>
      <c r="S12" s="504"/>
      <c r="T12" s="504"/>
      <c r="U12" s="504"/>
      <c r="V12" s="504"/>
      <c r="W12" s="504"/>
      <c r="X12" s="504"/>
      <c r="Y12" s="504"/>
      <c r="Z12" s="504"/>
      <c r="AA12" s="504"/>
      <c r="AB12" s="504"/>
      <c r="AC12" s="504"/>
      <c r="AD12" s="504"/>
      <c r="AE12" s="504"/>
      <c r="AF12" s="504"/>
      <c r="AG12" s="505"/>
      <c r="AH12" s="506"/>
      <c r="AI12" s="507"/>
    </row>
    <row r="13" spans="1:35" ht="21.95" customHeight="1">
      <c r="A13" s="508">
        <v>8546</v>
      </c>
      <c r="B13" s="509" t="s">
        <v>480</v>
      </c>
      <c r="C13" s="972"/>
      <c r="D13" s="972">
        <v>2</v>
      </c>
      <c r="E13" s="972">
        <v>2</v>
      </c>
      <c r="F13" s="972">
        <v>2</v>
      </c>
      <c r="G13" s="964">
        <v>2</v>
      </c>
      <c r="H13" s="970">
        <v>2</v>
      </c>
      <c r="I13" s="972" t="s">
        <v>484</v>
      </c>
      <c r="J13" s="972" t="s">
        <v>484</v>
      </c>
      <c r="K13" s="985" t="s">
        <v>481</v>
      </c>
      <c r="L13" s="985" t="s">
        <v>481</v>
      </c>
      <c r="M13" s="985" t="s">
        <v>481</v>
      </c>
      <c r="N13" s="985" t="s">
        <v>481</v>
      </c>
      <c r="O13" s="985" t="s">
        <v>481</v>
      </c>
      <c r="P13" s="985"/>
      <c r="Q13" s="985"/>
      <c r="R13" s="964">
        <v>3</v>
      </c>
      <c r="S13" s="964">
        <v>3</v>
      </c>
      <c r="T13" s="964">
        <v>3</v>
      </c>
      <c r="U13" s="964">
        <v>3</v>
      </c>
      <c r="V13" s="964">
        <v>3</v>
      </c>
      <c r="W13" s="764"/>
      <c r="X13" s="764"/>
      <c r="Y13" s="764">
        <v>4</v>
      </c>
      <c r="Z13" s="764">
        <v>4</v>
      </c>
      <c r="AA13" s="764">
        <v>4</v>
      </c>
      <c r="AB13" s="764">
        <v>4</v>
      </c>
      <c r="AC13" s="764">
        <v>4</v>
      </c>
      <c r="AD13" s="764" t="s">
        <v>482</v>
      </c>
      <c r="AE13" s="764" t="s">
        <v>482</v>
      </c>
      <c r="AF13" s="764" t="s">
        <v>481</v>
      </c>
      <c r="AG13" s="771"/>
      <c r="AH13" s="924">
        <v>95.75</v>
      </c>
      <c r="AI13" s="925">
        <v>37</v>
      </c>
    </row>
    <row r="14" spans="1:35" ht="21.95" customHeight="1">
      <c r="A14" s="500">
        <v>8546</v>
      </c>
      <c r="B14" s="347" t="s">
        <v>483</v>
      </c>
      <c r="C14" s="768" t="s">
        <v>482</v>
      </c>
      <c r="D14" s="768" t="s">
        <v>481</v>
      </c>
      <c r="E14" s="768" t="s">
        <v>481</v>
      </c>
      <c r="F14" s="768" t="s">
        <v>481</v>
      </c>
      <c r="G14" s="768" t="s">
        <v>481</v>
      </c>
      <c r="H14" s="768" t="s">
        <v>481</v>
      </c>
      <c r="I14" s="768"/>
      <c r="J14" s="768"/>
      <c r="K14" s="768">
        <v>1</v>
      </c>
      <c r="L14" s="1038">
        <v>1</v>
      </c>
      <c r="M14" s="1038">
        <v>1</v>
      </c>
      <c r="N14" s="1038">
        <v>1</v>
      </c>
      <c r="O14" s="1038" t="s">
        <v>732</v>
      </c>
      <c r="P14" s="768"/>
      <c r="Q14" s="768"/>
      <c r="R14" s="768">
        <v>2</v>
      </c>
      <c r="S14" s="768" t="s">
        <v>485</v>
      </c>
      <c r="T14" s="768" t="s">
        <v>485</v>
      </c>
      <c r="U14" s="768" t="s">
        <v>485</v>
      </c>
      <c r="V14" s="768">
        <v>2</v>
      </c>
      <c r="W14" s="768" t="s">
        <v>484</v>
      </c>
      <c r="X14" s="768" t="s">
        <v>484</v>
      </c>
      <c r="Y14" s="768" t="s">
        <v>481</v>
      </c>
      <c r="Z14" s="768" t="s">
        <v>481</v>
      </c>
      <c r="AA14" s="768" t="s">
        <v>481</v>
      </c>
      <c r="AB14" s="768" t="s">
        <v>481</v>
      </c>
      <c r="AC14" s="768" t="s">
        <v>481</v>
      </c>
      <c r="AD14" s="768"/>
      <c r="AE14" s="768"/>
      <c r="AF14" s="768">
        <v>3</v>
      </c>
      <c r="AG14" s="769"/>
      <c r="AH14" s="924">
        <v>189.5</v>
      </c>
      <c r="AI14" s="925">
        <v>37</v>
      </c>
    </row>
    <row r="15" spans="1:35" ht="21.95" customHeight="1">
      <c r="A15" s="500">
        <v>8546</v>
      </c>
      <c r="B15" s="347" t="s">
        <v>174</v>
      </c>
      <c r="C15" s="768"/>
      <c r="D15" s="768">
        <v>1</v>
      </c>
      <c r="E15" s="768">
        <v>1</v>
      </c>
      <c r="F15" s="1007">
        <v>1</v>
      </c>
      <c r="G15" s="768">
        <v>1</v>
      </c>
      <c r="H15" s="1007">
        <v>1</v>
      </c>
      <c r="I15" s="768"/>
      <c r="J15" s="768"/>
      <c r="K15" s="768">
        <v>2</v>
      </c>
      <c r="L15" s="768">
        <v>2</v>
      </c>
      <c r="M15" s="768">
        <v>2</v>
      </c>
      <c r="N15" s="768">
        <v>2</v>
      </c>
      <c r="O15" s="768">
        <v>2</v>
      </c>
      <c r="P15" s="768" t="s">
        <v>484</v>
      </c>
      <c r="Q15" s="768" t="s">
        <v>484</v>
      </c>
      <c r="R15" s="768" t="s">
        <v>481</v>
      </c>
      <c r="S15" s="768" t="s">
        <v>485</v>
      </c>
      <c r="T15" s="768" t="s">
        <v>485</v>
      </c>
      <c r="U15" s="768" t="s">
        <v>485</v>
      </c>
      <c r="V15" s="768" t="s">
        <v>481</v>
      </c>
      <c r="W15" s="768"/>
      <c r="X15" s="768"/>
      <c r="Y15" s="768">
        <v>3</v>
      </c>
      <c r="Z15" s="768">
        <v>3</v>
      </c>
      <c r="AA15" s="768" t="s">
        <v>481</v>
      </c>
      <c r="AB15" s="768" t="s">
        <v>481</v>
      </c>
      <c r="AC15" s="768" t="s">
        <v>481</v>
      </c>
      <c r="AD15" s="768"/>
      <c r="AE15" s="768"/>
      <c r="AF15" s="768">
        <v>4</v>
      </c>
      <c r="AG15" s="769"/>
      <c r="AH15" s="924">
        <v>173.5</v>
      </c>
      <c r="AI15" s="925">
        <v>37</v>
      </c>
    </row>
    <row r="16" spans="1:35" ht="21.95" customHeight="1">
      <c r="A16" s="500">
        <v>8546</v>
      </c>
      <c r="B16" s="347" t="s">
        <v>486</v>
      </c>
      <c r="C16" s="768"/>
      <c r="D16" s="768">
        <v>3</v>
      </c>
      <c r="E16" s="768">
        <v>3</v>
      </c>
      <c r="F16" s="768">
        <v>3</v>
      </c>
      <c r="G16" s="768">
        <v>3</v>
      </c>
      <c r="H16" s="768">
        <v>1</v>
      </c>
      <c r="I16" s="768"/>
      <c r="J16" s="768"/>
      <c r="K16" s="768">
        <v>4</v>
      </c>
      <c r="L16" s="768">
        <v>4</v>
      </c>
      <c r="M16" s="768">
        <v>4</v>
      </c>
      <c r="N16" s="768">
        <v>4</v>
      </c>
      <c r="O16" s="768">
        <v>4</v>
      </c>
      <c r="P16" s="768" t="s">
        <v>482</v>
      </c>
      <c r="Q16" s="768" t="s">
        <v>482</v>
      </c>
      <c r="R16" s="768" t="s">
        <v>481</v>
      </c>
      <c r="S16" s="1044">
        <v>2</v>
      </c>
      <c r="T16" s="1044">
        <v>2</v>
      </c>
      <c r="U16" s="1044">
        <v>2</v>
      </c>
      <c r="V16" s="768" t="s">
        <v>481</v>
      </c>
      <c r="W16" s="768"/>
      <c r="X16" s="768"/>
      <c r="Y16" s="768">
        <v>1</v>
      </c>
      <c r="Z16" s="768">
        <v>1</v>
      </c>
      <c r="AA16" s="768">
        <v>3</v>
      </c>
      <c r="AB16" s="768">
        <v>3</v>
      </c>
      <c r="AC16" s="768">
        <v>3</v>
      </c>
      <c r="AD16" s="768"/>
      <c r="AE16" s="768"/>
      <c r="AF16" s="768">
        <v>2</v>
      </c>
      <c r="AG16" s="769"/>
      <c r="AH16" s="924">
        <v>197.5</v>
      </c>
      <c r="AI16" s="925">
        <v>37</v>
      </c>
    </row>
    <row r="17" spans="1:37" ht="21.95" customHeight="1">
      <c r="A17" s="500">
        <v>8546</v>
      </c>
      <c r="B17" s="347" t="s">
        <v>487</v>
      </c>
      <c r="C17" s="768" t="s">
        <v>484</v>
      </c>
      <c r="D17" s="768" t="s">
        <v>481</v>
      </c>
      <c r="E17" s="768" t="s">
        <v>481</v>
      </c>
      <c r="F17" s="768" t="s">
        <v>481</v>
      </c>
      <c r="G17" s="768" t="s">
        <v>481</v>
      </c>
      <c r="H17" s="768" t="s">
        <v>481</v>
      </c>
      <c r="I17" s="768"/>
      <c r="J17" s="768"/>
      <c r="K17" s="768">
        <v>3</v>
      </c>
      <c r="L17" s="768">
        <v>3</v>
      </c>
      <c r="M17" s="977">
        <v>3</v>
      </c>
      <c r="N17" s="768">
        <v>3</v>
      </c>
      <c r="O17" s="977">
        <v>3</v>
      </c>
      <c r="P17" s="768"/>
      <c r="Q17" s="768"/>
      <c r="R17" s="768">
        <v>4</v>
      </c>
      <c r="S17" s="768">
        <v>4</v>
      </c>
      <c r="T17" s="768">
        <v>4</v>
      </c>
      <c r="U17" s="768">
        <v>4</v>
      </c>
      <c r="V17" s="768">
        <v>4</v>
      </c>
      <c r="W17" s="977" t="s">
        <v>482</v>
      </c>
      <c r="X17" s="977" t="s">
        <v>482</v>
      </c>
      <c r="Y17" s="768" t="s">
        <v>481</v>
      </c>
      <c r="Z17" s="768" t="s">
        <v>481</v>
      </c>
      <c r="AA17" s="768" t="s">
        <v>481</v>
      </c>
      <c r="AB17" s="768" t="s">
        <v>481</v>
      </c>
      <c r="AC17" s="768" t="s">
        <v>481</v>
      </c>
      <c r="AD17" s="768"/>
      <c r="AE17" s="768"/>
      <c r="AF17" s="768">
        <v>1</v>
      </c>
      <c r="AG17" s="769"/>
      <c r="AH17" s="924">
        <v>185.75</v>
      </c>
      <c r="AI17" s="925">
        <v>37</v>
      </c>
    </row>
    <row r="18" spans="1:37" ht="21.95" customHeight="1">
      <c r="A18" s="500">
        <v>8546</v>
      </c>
      <c r="B18" s="347" t="s">
        <v>488</v>
      </c>
      <c r="C18" s="768"/>
      <c r="D18" s="768">
        <v>4</v>
      </c>
      <c r="E18" s="768">
        <v>4</v>
      </c>
      <c r="F18" s="768">
        <v>4</v>
      </c>
      <c r="G18" s="768">
        <v>4</v>
      </c>
      <c r="H18" s="768">
        <v>4</v>
      </c>
      <c r="I18" s="768" t="s">
        <v>482</v>
      </c>
      <c r="J18" s="768" t="s">
        <v>482</v>
      </c>
      <c r="K18" s="768" t="s">
        <v>481</v>
      </c>
      <c r="L18" s="768" t="s">
        <v>481</v>
      </c>
      <c r="M18" s="768" t="s">
        <v>481</v>
      </c>
      <c r="N18" s="768" t="s">
        <v>481</v>
      </c>
      <c r="O18" s="768" t="s">
        <v>481</v>
      </c>
      <c r="P18" s="768"/>
      <c r="Q18" s="768"/>
      <c r="R18" s="970">
        <v>1</v>
      </c>
      <c r="S18" s="970">
        <v>1</v>
      </c>
      <c r="T18" s="970">
        <v>1</v>
      </c>
      <c r="U18" s="970">
        <v>1</v>
      </c>
      <c r="V18" s="970">
        <v>1</v>
      </c>
      <c r="W18" s="970"/>
      <c r="X18" s="970"/>
      <c r="Y18" s="970">
        <v>2</v>
      </c>
      <c r="Z18" s="970">
        <v>2</v>
      </c>
      <c r="AA18" s="970">
        <v>2</v>
      </c>
      <c r="AB18" s="970">
        <v>2</v>
      </c>
      <c r="AC18" s="970">
        <v>2</v>
      </c>
      <c r="AD18" s="970" t="s">
        <v>484</v>
      </c>
      <c r="AE18" s="970" t="s">
        <v>484</v>
      </c>
      <c r="AF18" s="970" t="s">
        <v>481</v>
      </c>
      <c r="AG18" s="769"/>
      <c r="AH18" s="924">
        <v>79.25</v>
      </c>
      <c r="AI18" s="925">
        <v>37</v>
      </c>
    </row>
    <row r="19" spans="1:37" ht="21.95" customHeight="1">
      <c r="A19" s="512" t="s">
        <v>489</v>
      </c>
      <c r="B19" s="513"/>
      <c r="C19" s="504"/>
      <c r="D19" s="504"/>
      <c r="E19" s="504"/>
      <c r="F19" s="504"/>
      <c r="G19" s="504"/>
      <c r="H19" s="504"/>
      <c r="I19" s="504"/>
      <c r="J19" s="504"/>
      <c r="K19" s="504"/>
      <c r="L19" s="504"/>
      <c r="M19" s="504"/>
      <c r="N19" s="504"/>
      <c r="O19" s="504"/>
      <c r="P19" s="504"/>
      <c r="Q19" s="504"/>
      <c r="R19" s="504"/>
      <c r="S19" s="504"/>
      <c r="T19" s="504"/>
      <c r="U19" s="504"/>
      <c r="V19" s="504"/>
      <c r="W19" s="504"/>
      <c r="X19" s="504"/>
      <c r="Y19" s="504"/>
      <c r="Z19" s="504"/>
      <c r="AA19" s="504"/>
      <c r="AB19" s="504"/>
      <c r="AC19" s="504"/>
      <c r="AD19" s="504"/>
      <c r="AE19" s="504"/>
      <c r="AF19" s="504"/>
      <c r="AG19" s="505"/>
      <c r="AH19" s="506"/>
      <c r="AI19" s="507"/>
    </row>
    <row r="20" spans="1:37" ht="21.95" customHeight="1">
      <c r="A20" s="500">
        <v>8500</v>
      </c>
      <c r="B20" s="186" t="s">
        <v>188</v>
      </c>
      <c r="C20" s="768"/>
      <c r="D20" s="1007" t="s">
        <v>491</v>
      </c>
      <c r="E20" s="1007" t="s">
        <v>485</v>
      </c>
      <c r="F20" s="768">
        <v>1</v>
      </c>
      <c r="G20" s="768" t="s">
        <v>491</v>
      </c>
      <c r="H20" s="1007" t="s">
        <v>491</v>
      </c>
      <c r="I20" s="768" t="s">
        <v>490</v>
      </c>
      <c r="J20" s="768" t="s">
        <v>490</v>
      </c>
      <c r="K20" s="768" t="s">
        <v>490</v>
      </c>
      <c r="L20" s="768">
        <v>1</v>
      </c>
      <c r="M20" s="768">
        <v>3</v>
      </c>
      <c r="N20" s="768">
        <v>1</v>
      </c>
      <c r="O20" s="768">
        <v>3</v>
      </c>
      <c r="P20" s="768" t="s">
        <v>490</v>
      </c>
      <c r="Q20" s="768" t="s">
        <v>490</v>
      </c>
      <c r="R20" s="970" t="s">
        <v>491</v>
      </c>
      <c r="S20" s="970" t="s">
        <v>491</v>
      </c>
      <c r="T20" s="970" t="s">
        <v>491</v>
      </c>
      <c r="U20" s="970" t="s">
        <v>491</v>
      </c>
      <c r="V20" s="970" t="s">
        <v>491</v>
      </c>
      <c r="W20" s="970"/>
      <c r="X20" s="970"/>
      <c r="Y20" s="970" t="s">
        <v>491</v>
      </c>
      <c r="Z20" s="970" t="s">
        <v>491</v>
      </c>
      <c r="AA20" s="970" t="s">
        <v>491</v>
      </c>
      <c r="AB20" s="970" t="s">
        <v>491</v>
      </c>
      <c r="AC20" s="970" t="s">
        <v>491</v>
      </c>
      <c r="AD20" s="970"/>
      <c r="AE20" s="970"/>
      <c r="AF20" s="970" t="s">
        <v>491</v>
      </c>
      <c r="AG20" s="768"/>
      <c r="AH20" s="924">
        <v>103.25</v>
      </c>
      <c r="AI20" s="925">
        <v>37</v>
      </c>
    </row>
    <row r="21" spans="1:37" ht="21.95" customHeight="1">
      <c r="A21" s="500">
        <v>8500</v>
      </c>
      <c r="B21" s="153" t="s">
        <v>492</v>
      </c>
      <c r="C21" s="768"/>
      <c r="D21" s="768">
        <v>2</v>
      </c>
      <c r="E21" s="768">
        <v>2</v>
      </c>
      <c r="F21" s="768">
        <v>2</v>
      </c>
      <c r="G21" s="768">
        <v>2</v>
      </c>
      <c r="H21" s="768">
        <v>2</v>
      </c>
      <c r="I21" s="768" t="s">
        <v>484</v>
      </c>
      <c r="J21" s="768" t="s">
        <v>484</v>
      </c>
      <c r="K21" s="768" t="s">
        <v>481</v>
      </c>
      <c r="L21" s="768" t="s">
        <v>481</v>
      </c>
      <c r="M21" s="1039" t="s">
        <v>481</v>
      </c>
      <c r="N21" s="768" t="s">
        <v>481</v>
      </c>
      <c r="O21" s="768" t="s">
        <v>481</v>
      </c>
      <c r="P21" s="768"/>
      <c r="Q21" s="768"/>
      <c r="R21" s="768">
        <v>1</v>
      </c>
      <c r="S21" s="768">
        <v>1</v>
      </c>
      <c r="T21" s="768">
        <v>1</v>
      </c>
      <c r="U21" s="768">
        <v>1</v>
      </c>
      <c r="V21" s="768">
        <v>1</v>
      </c>
      <c r="W21" s="768"/>
      <c r="X21" s="768"/>
      <c r="Y21" s="768">
        <v>2</v>
      </c>
      <c r="Z21" s="768">
        <v>2</v>
      </c>
      <c r="AA21" s="768">
        <v>2</v>
      </c>
      <c r="AB21" s="768">
        <v>2</v>
      </c>
      <c r="AC21" s="768">
        <v>2</v>
      </c>
      <c r="AD21" s="768" t="s">
        <v>484</v>
      </c>
      <c r="AE21" s="768" t="s">
        <v>484</v>
      </c>
      <c r="AF21" s="768" t="s">
        <v>481</v>
      </c>
      <c r="AG21" s="768"/>
      <c r="AH21" s="924">
        <v>191</v>
      </c>
      <c r="AI21" s="925">
        <v>37</v>
      </c>
    </row>
    <row r="22" spans="1:37" ht="21.95" customHeight="1" thickBot="1">
      <c r="A22" s="500"/>
      <c r="B22" s="153"/>
      <c r="C22" s="768"/>
      <c r="D22" s="768"/>
      <c r="E22" s="768"/>
      <c r="F22" s="768"/>
      <c r="G22" s="768"/>
      <c r="H22" s="768"/>
      <c r="I22" s="768"/>
      <c r="J22" s="768"/>
      <c r="K22" s="768"/>
      <c r="L22" s="768"/>
      <c r="M22" s="764"/>
      <c r="N22" s="768"/>
      <c r="O22" s="768"/>
      <c r="P22" s="768"/>
      <c r="Q22" s="768"/>
      <c r="R22" s="768"/>
      <c r="S22" s="768"/>
      <c r="T22" s="768"/>
      <c r="U22" s="768"/>
      <c r="V22" s="768"/>
      <c r="W22" s="768"/>
      <c r="X22" s="768"/>
      <c r="Y22" s="768"/>
      <c r="Z22" s="768"/>
      <c r="AA22" s="768"/>
      <c r="AB22" s="768"/>
      <c r="AC22" s="768"/>
      <c r="AD22" s="768"/>
      <c r="AE22" s="768"/>
      <c r="AF22" s="768"/>
      <c r="AG22" s="768"/>
      <c r="AH22" s="514"/>
      <c r="AI22" s="515"/>
    </row>
    <row r="23" spans="1:37" ht="21.95" customHeight="1">
      <c r="A23" s="516"/>
      <c r="C23" s="517"/>
      <c r="D23" s="517"/>
      <c r="E23" s="517"/>
      <c r="F23" s="517"/>
      <c r="G23" s="517"/>
      <c r="H23" s="517"/>
      <c r="I23" s="517"/>
      <c r="J23" s="517"/>
      <c r="K23" s="517"/>
      <c r="L23" s="517"/>
      <c r="M23" s="517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17"/>
      <c r="Y23" s="517"/>
      <c r="Z23" s="517"/>
      <c r="AA23" s="517"/>
      <c r="AB23" s="517"/>
      <c r="AC23" s="517"/>
      <c r="AD23" s="517"/>
      <c r="AE23" s="517"/>
      <c r="AF23" s="517"/>
      <c r="AG23" s="517"/>
    </row>
    <row r="24" spans="1:37" ht="21.95" customHeight="1">
      <c r="A24" s="516"/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</row>
    <row r="25" spans="1:37" ht="21.95" customHeight="1">
      <c r="A25" s="516"/>
      <c r="C25" s="517"/>
      <c r="D25" s="517"/>
      <c r="E25" s="517"/>
      <c r="F25" s="517"/>
      <c r="G25" s="517"/>
      <c r="H25" s="517"/>
      <c r="I25" s="517"/>
      <c r="J25" s="517"/>
      <c r="K25" s="517"/>
      <c r="L25" s="517"/>
      <c r="M25" s="517"/>
      <c r="N25" s="517"/>
      <c r="O25" s="517"/>
      <c r="P25" s="517"/>
      <c r="Q25" s="517"/>
      <c r="R25" s="517"/>
      <c r="S25" s="517"/>
      <c r="T25" s="517"/>
      <c r="U25" s="517"/>
      <c r="V25" s="517"/>
      <c r="W25" s="517"/>
      <c r="X25" s="517"/>
      <c r="Y25" s="517"/>
      <c r="Z25" s="517"/>
      <c r="AA25" s="517"/>
      <c r="AB25" s="517"/>
      <c r="AC25" s="517"/>
      <c r="AD25" s="517"/>
      <c r="AE25" s="517"/>
      <c r="AF25" s="517"/>
      <c r="AG25" s="517"/>
    </row>
    <row r="26" spans="1:37" ht="21.95" customHeight="1">
      <c r="A26" s="516"/>
      <c r="C26" s="517"/>
      <c r="D26" s="517"/>
      <c r="E26" s="517"/>
      <c r="F26" s="517"/>
      <c r="G26" s="517"/>
      <c r="H26" s="517"/>
      <c r="I26" s="517"/>
      <c r="J26" s="517"/>
      <c r="K26" s="517"/>
      <c r="L26" s="517"/>
      <c r="M26" s="517"/>
      <c r="N26" s="517"/>
      <c r="O26" s="517"/>
      <c r="P26" s="517"/>
      <c r="Q26" s="517"/>
      <c r="R26" s="517"/>
      <c r="S26" s="517"/>
      <c r="T26" s="517"/>
      <c r="U26" s="517"/>
      <c r="V26" s="517"/>
      <c r="W26" s="517"/>
      <c r="X26" s="517"/>
      <c r="Y26" s="517"/>
      <c r="Z26" s="517"/>
      <c r="AA26" s="517"/>
      <c r="AB26" s="517"/>
      <c r="AC26" s="517"/>
      <c r="AD26" s="517"/>
      <c r="AE26" s="517"/>
      <c r="AF26" s="517"/>
      <c r="AG26" s="517"/>
    </row>
    <row r="27" spans="1:37" ht="21.95" customHeight="1">
      <c r="A27" s="516"/>
      <c r="C27" s="517"/>
      <c r="D27" s="517"/>
      <c r="E27" s="517"/>
      <c r="F27" s="517"/>
      <c r="G27" s="517"/>
      <c r="H27" s="517"/>
      <c r="I27" s="517"/>
      <c r="J27" s="517"/>
      <c r="K27" s="517"/>
      <c r="L27" s="517"/>
      <c r="M27" s="517"/>
      <c r="N27" s="517"/>
      <c r="O27" s="517"/>
      <c r="P27" s="517"/>
      <c r="Q27" s="517"/>
      <c r="R27" s="517"/>
      <c r="S27" s="517"/>
      <c r="T27" s="517"/>
      <c r="U27" s="517"/>
      <c r="V27" s="517"/>
      <c r="W27" s="517"/>
      <c r="X27" s="517"/>
      <c r="Y27" s="517"/>
      <c r="Z27" s="517"/>
      <c r="AA27" s="517"/>
      <c r="AB27" s="517"/>
      <c r="AC27" s="517"/>
      <c r="AD27" s="517"/>
      <c r="AE27" s="517"/>
      <c r="AF27" s="517"/>
      <c r="AG27" s="517"/>
    </row>
    <row r="28" spans="1:37" ht="21.95" customHeight="1">
      <c r="A28" s="516"/>
      <c r="C28" s="517"/>
      <c r="D28" s="517"/>
      <c r="E28" s="517"/>
      <c r="F28" s="517"/>
      <c r="G28" s="517"/>
      <c r="H28" s="517"/>
      <c r="I28" s="517"/>
      <c r="J28" s="517"/>
      <c r="K28" s="517"/>
      <c r="L28" s="517"/>
      <c r="M28" s="517"/>
      <c r="N28" s="517"/>
      <c r="O28" s="517"/>
      <c r="P28" s="517"/>
      <c r="Q28" s="517"/>
      <c r="R28" s="517"/>
      <c r="S28" s="517"/>
      <c r="T28" s="517"/>
      <c r="U28" s="517"/>
      <c r="V28" s="517"/>
      <c r="W28" s="517"/>
      <c r="X28" s="517"/>
      <c r="Y28" s="517"/>
      <c r="Z28" s="517"/>
      <c r="AA28" s="517"/>
      <c r="AB28" s="517"/>
      <c r="AC28" s="517"/>
      <c r="AD28" s="517"/>
      <c r="AE28" s="517"/>
      <c r="AF28" s="517"/>
      <c r="AG28" s="517"/>
    </row>
    <row r="29" spans="1:37" ht="21.95" customHeight="1">
      <c r="A29" s="516"/>
      <c r="C29" s="517"/>
      <c r="D29" s="517"/>
      <c r="E29" s="517"/>
      <c r="F29" s="517"/>
      <c r="G29" s="517"/>
      <c r="H29" s="517"/>
      <c r="I29" s="517"/>
      <c r="J29" s="517"/>
      <c r="K29" s="517"/>
      <c r="L29" s="517"/>
      <c r="M29" s="517"/>
      <c r="N29" s="517"/>
      <c r="O29" s="517"/>
      <c r="P29" s="517"/>
      <c r="Q29" s="517"/>
      <c r="R29" s="517"/>
      <c r="S29" s="517"/>
      <c r="T29" s="517"/>
      <c r="U29" s="517"/>
      <c r="V29" s="517"/>
      <c r="W29" s="517"/>
      <c r="X29" s="517"/>
      <c r="Y29" s="517"/>
      <c r="Z29" s="517"/>
      <c r="AA29" s="517"/>
      <c r="AB29" s="517"/>
      <c r="AC29" s="517"/>
      <c r="AD29" s="517"/>
      <c r="AE29" s="517"/>
      <c r="AF29" s="517"/>
      <c r="AG29" s="517"/>
    </row>
    <row r="30" spans="1:37" ht="21.95" customHeight="1" thickBot="1">
      <c r="A30" s="1" t="s">
        <v>494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495</v>
      </c>
      <c r="B31" s="518"/>
      <c r="C31" s="518"/>
      <c r="D31" s="425" t="s">
        <v>496</v>
      </c>
      <c r="E31" s="519"/>
      <c r="F31" s="519"/>
      <c r="G31" s="519"/>
      <c r="H31" s="519"/>
      <c r="I31" s="519"/>
      <c r="J31" s="519"/>
      <c r="K31" s="519"/>
      <c r="L31" s="519"/>
      <c r="M31" s="520" t="s">
        <v>497</v>
      </c>
      <c r="N31" s="519"/>
      <c r="O31" s="519"/>
      <c r="P31" s="519"/>
      <c r="Q31" s="519"/>
      <c r="R31" s="519"/>
      <c r="S31" s="521"/>
      <c r="T31" s="521" t="s">
        <v>498</v>
      </c>
      <c r="U31" s="519"/>
      <c r="V31" s="519"/>
      <c r="W31" s="519"/>
      <c r="X31" s="519"/>
      <c r="Y31" s="519"/>
      <c r="Z31" s="238"/>
      <c r="AA31" s="522" t="s">
        <v>499</v>
      </c>
      <c r="AB31" s="51"/>
      <c r="AC31" s="51"/>
      <c r="AD31" s="51"/>
      <c r="AE31" s="51"/>
      <c r="AF31" s="51"/>
      <c r="AG31" s="523"/>
      <c r="AK31" s="1"/>
    </row>
    <row r="32" spans="1:37" ht="21.95" customHeight="1">
      <c r="A32" s="524" t="s">
        <v>500</v>
      </c>
      <c r="B32" s="135"/>
      <c r="C32" s="135"/>
      <c r="D32" s="495" t="s">
        <v>501</v>
      </c>
      <c r="E32" s="491"/>
      <c r="F32" s="157"/>
      <c r="G32" s="157"/>
      <c r="H32" s="157"/>
      <c r="I32" s="157"/>
      <c r="J32" s="157"/>
      <c r="K32" s="157"/>
      <c r="L32" s="489"/>
      <c r="M32" s="525" t="s">
        <v>502</v>
      </c>
      <c r="N32" s="135"/>
      <c r="O32" s="526"/>
      <c r="P32" s="135"/>
      <c r="Q32" s="135"/>
      <c r="R32" s="135"/>
      <c r="S32" s="527"/>
      <c r="T32" s="495" t="s">
        <v>503</v>
      </c>
      <c r="U32" s="157"/>
      <c r="V32" s="491"/>
      <c r="W32" s="157"/>
      <c r="X32" s="157"/>
      <c r="Y32" s="157"/>
      <c r="Z32" s="489"/>
      <c r="AA32" s="1" t="s">
        <v>504</v>
      </c>
      <c r="AD32" s="496"/>
      <c r="AG32" s="528"/>
      <c r="AK32" s="1"/>
    </row>
    <row r="33" spans="1:38" ht="21.95" customHeight="1">
      <c r="A33" s="529" t="s">
        <v>505</v>
      </c>
      <c r="B33" s="157"/>
      <c r="C33" s="157"/>
      <c r="D33" s="157"/>
      <c r="E33" s="157"/>
      <c r="F33" s="157"/>
      <c r="G33" s="489"/>
      <c r="H33" s="495" t="s">
        <v>506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0" t="s">
        <v>507</v>
      </c>
      <c r="AA33" s="526"/>
      <c r="AB33" s="135"/>
      <c r="AC33" s="135"/>
      <c r="AD33" s="135"/>
      <c r="AE33" s="135"/>
      <c r="AF33" s="135"/>
      <c r="AG33" s="531"/>
      <c r="AK33" s="312"/>
    </row>
    <row r="34" spans="1:38" ht="21.95" customHeight="1" thickBot="1">
      <c r="A34" s="532" t="s">
        <v>508</v>
      </c>
      <c r="B34" s="53"/>
      <c r="C34" s="53"/>
      <c r="D34" s="53"/>
      <c r="E34" s="53"/>
      <c r="F34" s="53"/>
      <c r="G34" s="533"/>
      <c r="H34" s="534" t="s">
        <v>509</v>
      </c>
      <c r="I34" s="533"/>
      <c r="J34" s="53"/>
      <c r="K34" s="53"/>
      <c r="L34" s="53"/>
      <c r="M34" s="53"/>
      <c r="N34" s="53"/>
      <c r="O34" s="53"/>
      <c r="P34" s="53"/>
      <c r="Q34" s="535"/>
      <c r="R34" s="535"/>
      <c r="S34" s="535"/>
      <c r="T34" s="53"/>
      <c r="U34" s="534" t="s">
        <v>510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6"/>
      <c r="AK34" s="1"/>
    </row>
    <row r="35" spans="1:38" ht="21.95" customHeight="1" thickBot="1">
      <c r="B35" s="537" t="s">
        <v>474</v>
      </c>
      <c r="C35" s="538"/>
      <c r="D35" s="538"/>
      <c r="E35" s="538"/>
      <c r="F35" s="538"/>
      <c r="G35" s="538"/>
      <c r="H35" s="538"/>
      <c r="I35" s="538"/>
      <c r="J35" s="538"/>
      <c r="K35" s="538"/>
      <c r="L35" s="538"/>
      <c r="M35" s="538"/>
      <c r="N35" s="538"/>
      <c r="O35" s="538"/>
      <c r="P35" s="538"/>
      <c r="Q35" s="538"/>
      <c r="R35" s="538"/>
      <c r="S35" s="538"/>
      <c r="T35" s="538"/>
      <c r="U35" s="538"/>
      <c r="V35" s="538"/>
      <c r="W35" s="538"/>
      <c r="X35" s="538"/>
      <c r="Y35" s="538"/>
      <c r="Z35" s="538"/>
      <c r="AA35" s="538"/>
      <c r="AB35" s="538"/>
      <c r="AC35" s="538"/>
      <c r="AD35" s="538"/>
      <c r="AE35" s="538"/>
      <c r="AF35" s="538"/>
      <c r="AG35" s="538"/>
      <c r="AH35" s="1"/>
    </row>
    <row r="36" spans="1:38" ht="21.95" customHeight="1" thickBot="1">
      <c r="A36" s="539" t="s">
        <v>475</v>
      </c>
      <c r="B36" s="182" t="s">
        <v>476</v>
      </c>
      <c r="C36" s="788">
        <v>1</v>
      </c>
      <c r="D36" s="787">
        <v>2</v>
      </c>
      <c r="E36" s="787">
        <v>3</v>
      </c>
      <c r="F36" s="787">
        <v>4</v>
      </c>
      <c r="G36" s="788">
        <v>5</v>
      </c>
      <c r="H36" s="787">
        <v>6</v>
      </c>
      <c r="I36" s="830">
        <v>7</v>
      </c>
      <c r="J36" s="830">
        <v>8</v>
      </c>
      <c r="K36" s="788">
        <v>9</v>
      </c>
      <c r="L36" s="787">
        <v>10</v>
      </c>
      <c r="M36" s="787">
        <v>11</v>
      </c>
      <c r="N36" s="787">
        <v>12</v>
      </c>
      <c r="O36" s="787">
        <v>13</v>
      </c>
      <c r="P36" s="830">
        <v>14</v>
      </c>
      <c r="Q36" s="830">
        <v>15</v>
      </c>
      <c r="R36" s="787">
        <v>16</v>
      </c>
      <c r="S36" s="787">
        <v>17</v>
      </c>
      <c r="T36" s="787">
        <v>18</v>
      </c>
      <c r="U36" s="787">
        <v>19</v>
      </c>
      <c r="V36" s="766">
        <v>20</v>
      </c>
      <c r="W36" s="830">
        <v>21</v>
      </c>
      <c r="X36" s="830">
        <v>22</v>
      </c>
      <c r="Y36" s="787">
        <v>23</v>
      </c>
      <c r="Z36" s="787">
        <v>24</v>
      </c>
      <c r="AA36" s="787">
        <v>25</v>
      </c>
      <c r="AB36" s="787">
        <v>26</v>
      </c>
      <c r="AC36" s="787">
        <v>27</v>
      </c>
      <c r="AD36" s="830">
        <v>28</v>
      </c>
      <c r="AE36" s="830">
        <v>29</v>
      </c>
      <c r="AF36" s="787">
        <v>30</v>
      </c>
      <c r="AG36" s="787"/>
      <c r="AH36" s="498" t="s">
        <v>477</v>
      </c>
      <c r="AI36" s="499" t="s">
        <v>478</v>
      </c>
      <c r="AL36" t="s">
        <v>28</v>
      </c>
    </row>
    <row r="37" spans="1:38" ht="21.95" customHeight="1">
      <c r="A37" s="540">
        <v>1</v>
      </c>
      <c r="B37" s="45" t="s">
        <v>511</v>
      </c>
      <c r="C37" s="763" t="s">
        <v>515</v>
      </c>
      <c r="D37" s="763">
        <v>7</v>
      </c>
      <c r="E37" s="763">
        <v>7</v>
      </c>
      <c r="F37" s="763">
        <v>7</v>
      </c>
      <c r="G37" s="763">
        <v>7</v>
      </c>
      <c r="H37" s="763">
        <v>7</v>
      </c>
      <c r="I37" s="763"/>
      <c r="J37" s="763"/>
      <c r="K37" s="763">
        <v>4</v>
      </c>
      <c r="L37" s="763">
        <v>4</v>
      </c>
      <c r="M37" s="763">
        <v>4</v>
      </c>
      <c r="N37" s="763">
        <v>4</v>
      </c>
      <c r="O37" s="763">
        <v>4</v>
      </c>
      <c r="P37" s="763"/>
      <c r="Q37" s="763"/>
      <c r="R37" s="1069">
        <v>3</v>
      </c>
      <c r="S37" s="1069">
        <v>3</v>
      </c>
      <c r="T37" s="1069">
        <v>3</v>
      </c>
      <c r="U37" s="763">
        <v>3</v>
      </c>
      <c r="V37" s="763">
        <v>3</v>
      </c>
      <c r="W37" s="763"/>
      <c r="X37" s="763"/>
      <c r="Y37" s="763">
        <v>11</v>
      </c>
      <c r="Z37" s="763">
        <v>11</v>
      </c>
      <c r="AA37" s="763">
        <v>11</v>
      </c>
      <c r="AB37" s="763">
        <v>11</v>
      </c>
      <c r="AC37" s="763">
        <v>11</v>
      </c>
      <c r="AD37" s="763" t="s">
        <v>517</v>
      </c>
      <c r="AE37" s="763" t="s">
        <v>517</v>
      </c>
      <c r="AF37" s="763" t="s">
        <v>481</v>
      </c>
      <c r="AG37" s="773"/>
      <c r="AH37" s="924">
        <v>185</v>
      </c>
      <c r="AI37" s="925">
        <v>37</v>
      </c>
    </row>
    <row r="38" spans="1:38" ht="21.95" customHeight="1">
      <c r="A38" s="541">
        <v>6</v>
      </c>
      <c r="B38" s="153" t="s">
        <v>650</v>
      </c>
      <c r="C38" s="768"/>
      <c r="D38" s="768">
        <v>8</v>
      </c>
      <c r="E38" s="768">
        <v>8</v>
      </c>
      <c r="F38" s="768">
        <v>8</v>
      </c>
      <c r="G38" s="768">
        <v>8</v>
      </c>
      <c r="H38" s="1043">
        <v>8</v>
      </c>
      <c r="I38" s="768" t="s">
        <v>513</v>
      </c>
      <c r="J38" s="768" t="s">
        <v>513</v>
      </c>
      <c r="K38" s="768" t="s">
        <v>481</v>
      </c>
      <c r="L38" s="768" t="s">
        <v>481</v>
      </c>
      <c r="M38" s="768" t="s">
        <v>481</v>
      </c>
      <c r="N38" s="768" t="s">
        <v>481</v>
      </c>
      <c r="O38" s="768" t="s">
        <v>481</v>
      </c>
      <c r="P38" s="768"/>
      <c r="Q38" s="768"/>
      <c r="R38" s="768">
        <v>1</v>
      </c>
      <c r="S38" s="768">
        <v>1</v>
      </c>
      <c r="T38" s="768">
        <v>1</v>
      </c>
      <c r="U38" s="768">
        <v>1</v>
      </c>
      <c r="V38" s="768">
        <v>1</v>
      </c>
      <c r="W38" s="768"/>
      <c r="X38" s="768"/>
      <c r="Y38" s="768">
        <v>9</v>
      </c>
      <c r="Z38" s="768">
        <v>9</v>
      </c>
      <c r="AA38" s="768">
        <v>9</v>
      </c>
      <c r="AB38" s="768">
        <v>9</v>
      </c>
      <c r="AC38" s="768">
        <v>9</v>
      </c>
      <c r="AD38" s="768" t="s">
        <v>519</v>
      </c>
      <c r="AE38" s="768" t="s">
        <v>514</v>
      </c>
      <c r="AF38" s="768" t="s">
        <v>481</v>
      </c>
      <c r="AG38" s="774"/>
      <c r="AH38" s="924">
        <v>185</v>
      </c>
      <c r="AI38" s="925">
        <v>37</v>
      </c>
    </row>
    <row r="39" spans="1:38" ht="21.95" customHeight="1" thickBot="1">
      <c r="A39" s="543">
        <v>11</v>
      </c>
      <c r="B39" s="794" t="s">
        <v>518</v>
      </c>
      <c r="C39" s="761"/>
      <c r="D39" s="761">
        <v>6</v>
      </c>
      <c r="E39" s="761">
        <v>6</v>
      </c>
      <c r="F39" s="761">
        <v>6</v>
      </c>
      <c r="G39" s="761">
        <v>6</v>
      </c>
      <c r="H39" s="761">
        <v>6</v>
      </c>
      <c r="I39" s="761" t="s">
        <v>512</v>
      </c>
      <c r="J39" s="761" t="s">
        <v>513</v>
      </c>
      <c r="K39" s="761" t="s">
        <v>481</v>
      </c>
      <c r="L39" s="761" t="s">
        <v>481</v>
      </c>
      <c r="M39" s="761" t="s">
        <v>481</v>
      </c>
      <c r="N39" s="761" t="s">
        <v>481</v>
      </c>
      <c r="O39" s="761" t="s">
        <v>481</v>
      </c>
      <c r="P39" s="761"/>
      <c r="Q39" s="761"/>
      <c r="R39" s="967">
        <v>5</v>
      </c>
      <c r="S39" s="967">
        <v>5</v>
      </c>
      <c r="T39" s="967">
        <v>5</v>
      </c>
      <c r="U39" s="967">
        <v>5</v>
      </c>
      <c r="V39" s="967">
        <v>5</v>
      </c>
      <c r="W39" s="967"/>
      <c r="X39" s="967"/>
      <c r="Y39" s="967">
        <v>10</v>
      </c>
      <c r="Z39" s="967">
        <v>10</v>
      </c>
      <c r="AA39" s="967">
        <v>10</v>
      </c>
      <c r="AB39" s="967">
        <v>10</v>
      </c>
      <c r="AC39" s="967">
        <v>10</v>
      </c>
      <c r="AD39" s="967" t="s">
        <v>514</v>
      </c>
      <c r="AE39" s="967" t="s">
        <v>514</v>
      </c>
      <c r="AF39" s="967" t="s">
        <v>481</v>
      </c>
      <c r="AG39" s="775"/>
      <c r="AH39" s="924">
        <v>117.5</v>
      </c>
      <c r="AI39" s="925">
        <v>37</v>
      </c>
    </row>
    <row r="40" spans="1:38" ht="21.95" customHeight="1">
      <c r="A40" s="540">
        <v>2</v>
      </c>
      <c r="B40" s="45" t="s">
        <v>520</v>
      </c>
      <c r="C40" s="763"/>
      <c r="D40" s="763">
        <v>4</v>
      </c>
      <c r="E40" s="763">
        <v>4</v>
      </c>
      <c r="F40" s="776">
        <v>4</v>
      </c>
      <c r="G40" s="776">
        <v>4</v>
      </c>
      <c r="H40" s="763">
        <v>4</v>
      </c>
      <c r="I40" s="763"/>
      <c r="J40" s="763"/>
      <c r="K40" s="763">
        <v>3</v>
      </c>
      <c r="L40" s="763">
        <v>3</v>
      </c>
      <c r="M40" s="763">
        <v>3</v>
      </c>
      <c r="N40" s="763">
        <v>3</v>
      </c>
      <c r="O40" s="763">
        <v>3</v>
      </c>
      <c r="P40" s="763"/>
      <c r="Q40" s="763"/>
      <c r="R40" s="1016">
        <v>11</v>
      </c>
      <c r="S40" s="1016">
        <v>11</v>
      </c>
      <c r="T40" s="1075">
        <v>11</v>
      </c>
      <c r="U40" s="1075" t="s">
        <v>733</v>
      </c>
      <c r="V40" s="763">
        <v>11</v>
      </c>
      <c r="W40" s="763" t="s">
        <v>517</v>
      </c>
      <c r="X40" s="763" t="s">
        <v>517</v>
      </c>
      <c r="Y40" s="763" t="s">
        <v>481</v>
      </c>
      <c r="Z40" s="763" t="s">
        <v>481</v>
      </c>
      <c r="AA40" s="763" t="s">
        <v>481</v>
      </c>
      <c r="AB40" s="763" t="s">
        <v>481</v>
      </c>
      <c r="AC40" s="763" t="s">
        <v>481</v>
      </c>
      <c r="AD40" s="763"/>
      <c r="AE40" s="763"/>
      <c r="AF40" s="763">
        <v>8</v>
      </c>
      <c r="AG40" s="763"/>
      <c r="AH40" s="924">
        <v>196</v>
      </c>
      <c r="AI40" s="925">
        <v>37</v>
      </c>
    </row>
    <row r="41" spans="1:38" ht="21.95" customHeight="1">
      <c r="A41" s="541">
        <v>7</v>
      </c>
      <c r="B41" s="153" t="s">
        <v>522</v>
      </c>
      <c r="C41" s="768" t="s">
        <v>513</v>
      </c>
      <c r="D41" s="768" t="s">
        <v>481</v>
      </c>
      <c r="E41" s="768" t="s">
        <v>481</v>
      </c>
      <c r="F41" s="768" t="s">
        <v>481</v>
      </c>
      <c r="G41" s="768" t="s">
        <v>481</v>
      </c>
      <c r="H41" s="768" t="s">
        <v>481</v>
      </c>
      <c r="I41" s="768"/>
      <c r="J41" s="768"/>
      <c r="K41" s="768">
        <v>1</v>
      </c>
      <c r="L41" s="977">
        <v>1</v>
      </c>
      <c r="M41" s="977">
        <v>1</v>
      </c>
      <c r="N41" s="977">
        <v>1</v>
      </c>
      <c r="O41" s="977">
        <v>1</v>
      </c>
      <c r="P41" s="768"/>
      <c r="Q41" s="768"/>
      <c r="R41" s="768">
        <v>9</v>
      </c>
      <c r="S41" s="768">
        <v>9</v>
      </c>
      <c r="T41" s="768">
        <v>9</v>
      </c>
      <c r="U41" s="768">
        <v>9</v>
      </c>
      <c r="V41" s="768">
        <v>9</v>
      </c>
      <c r="W41" s="768" t="s">
        <v>482</v>
      </c>
      <c r="X41" s="768" t="s">
        <v>482</v>
      </c>
      <c r="Y41" s="768" t="s">
        <v>481</v>
      </c>
      <c r="Z41" s="768" t="s">
        <v>481</v>
      </c>
      <c r="AA41" s="768" t="s">
        <v>481</v>
      </c>
      <c r="AB41" s="768" t="s">
        <v>481</v>
      </c>
      <c r="AC41" s="768" t="s">
        <v>481</v>
      </c>
      <c r="AD41" s="768"/>
      <c r="AE41" s="768"/>
      <c r="AF41" s="768">
        <v>6</v>
      </c>
      <c r="AG41" s="774"/>
      <c r="AH41" s="924">
        <v>173</v>
      </c>
      <c r="AI41" s="925">
        <v>37</v>
      </c>
    </row>
    <row r="42" spans="1:38" ht="21.95" customHeight="1" thickBot="1">
      <c r="A42" s="543">
        <v>12</v>
      </c>
      <c r="B42" s="544" t="s">
        <v>523</v>
      </c>
      <c r="C42" s="761" t="s">
        <v>513</v>
      </c>
      <c r="D42" s="761" t="s">
        <v>481</v>
      </c>
      <c r="E42" s="761" t="s">
        <v>481</v>
      </c>
      <c r="F42" s="761" t="s">
        <v>481</v>
      </c>
      <c r="G42" s="761" t="s">
        <v>481</v>
      </c>
      <c r="H42" s="761" t="s">
        <v>481</v>
      </c>
      <c r="I42" s="761"/>
      <c r="J42" s="761"/>
      <c r="K42" s="761">
        <v>5</v>
      </c>
      <c r="L42" s="782" t="s">
        <v>554</v>
      </c>
      <c r="M42" s="782" t="s">
        <v>554</v>
      </c>
      <c r="N42" s="782" t="s">
        <v>553</v>
      </c>
      <c r="O42" s="782" t="s">
        <v>553</v>
      </c>
      <c r="P42" s="761"/>
      <c r="Q42" s="761"/>
      <c r="R42" s="761">
        <v>10</v>
      </c>
      <c r="S42" s="761">
        <v>10</v>
      </c>
      <c r="T42" s="761">
        <v>10</v>
      </c>
      <c r="U42" s="761">
        <v>10</v>
      </c>
      <c r="V42" s="761">
        <v>10</v>
      </c>
      <c r="W42" s="761" t="s">
        <v>514</v>
      </c>
      <c r="X42" s="761" t="s">
        <v>514</v>
      </c>
      <c r="Y42" s="761" t="s">
        <v>481</v>
      </c>
      <c r="Z42" s="761" t="s">
        <v>481</v>
      </c>
      <c r="AA42" s="761" t="s">
        <v>481</v>
      </c>
      <c r="AB42" s="761" t="s">
        <v>481</v>
      </c>
      <c r="AC42" s="761" t="s">
        <v>481</v>
      </c>
      <c r="AD42" s="761" t="s">
        <v>515</v>
      </c>
      <c r="AE42" s="761" t="s">
        <v>515</v>
      </c>
      <c r="AF42" s="761">
        <v>7</v>
      </c>
      <c r="AG42" s="775"/>
      <c r="AH42" s="924">
        <v>185</v>
      </c>
      <c r="AI42" s="925">
        <v>37</v>
      </c>
    </row>
    <row r="43" spans="1:38" ht="21.95" customHeight="1">
      <c r="A43" s="545">
        <v>3</v>
      </c>
      <c r="B43" s="836" t="s">
        <v>524</v>
      </c>
      <c r="C43" s="764"/>
      <c r="D43" s="764">
        <v>3</v>
      </c>
      <c r="E43" s="764">
        <v>3</v>
      </c>
      <c r="F43" s="764">
        <v>3</v>
      </c>
      <c r="G43" s="764">
        <v>3</v>
      </c>
      <c r="H43" s="764">
        <v>3</v>
      </c>
      <c r="I43" s="764"/>
      <c r="J43" s="764"/>
      <c r="K43" s="764">
        <v>11</v>
      </c>
      <c r="L43" s="764">
        <v>11</v>
      </c>
      <c r="M43" s="764">
        <v>11</v>
      </c>
      <c r="N43" s="764">
        <v>11</v>
      </c>
      <c r="O43" s="764">
        <v>11</v>
      </c>
      <c r="P43" s="764" t="s">
        <v>517</v>
      </c>
      <c r="Q43" s="764" t="s">
        <v>517</v>
      </c>
      <c r="R43" s="767" t="s">
        <v>481</v>
      </c>
      <c r="S43" s="764" t="s">
        <v>481</v>
      </c>
      <c r="T43" s="764" t="s">
        <v>481</v>
      </c>
      <c r="U43" s="764" t="s">
        <v>481</v>
      </c>
      <c r="V43" s="764" t="s">
        <v>481</v>
      </c>
      <c r="W43" s="764"/>
      <c r="X43" s="764"/>
      <c r="Y43" s="764">
        <v>8</v>
      </c>
      <c r="Z43" s="764">
        <v>8</v>
      </c>
      <c r="AA43" s="764">
        <v>8</v>
      </c>
      <c r="AB43" s="764">
        <v>8</v>
      </c>
      <c r="AC43" s="764">
        <v>8</v>
      </c>
      <c r="AD43" s="764" t="s">
        <v>513</v>
      </c>
      <c r="AE43" s="764" t="s">
        <v>513</v>
      </c>
      <c r="AF43" s="764" t="s">
        <v>481</v>
      </c>
      <c r="AG43" s="777"/>
      <c r="AH43" s="924">
        <v>185</v>
      </c>
      <c r="AI43" s="925">
        <v>37</v>
      </c>
    </row>
    <row r="44" spans="1:38" ht="21.95" customHeight="1">
      <c r="A44" s="541">
        <v>8</v>
      </c>
      <c r="B44" s="319" t="s">
        <v>525</v>
      </c>
      <c r="C44" s="768"/>
      <c r="D44" s="977">
        <v>1</v>
      </c>
      <c r="E44" s="977">
        <v>1</v>
      </c>
      <c r="F44" s="977">
        <v>1</v>
      </c>
      <c r="G44" s="989">
        <v>1</v>
      </c>
      <c r="H44" s="977">
        <v>1</v>
      </c>
      <c r="I44" s="988"/>
      <c r="J44" s="988"/>
      <c r="K44" s="977">
        <v>9</v>
      </c>
      <c r="L44" s="970">
        <v>9</v>
      </c>
      <c r="M44" s="970">
        <v>9</v>
      </c>
      <c r="N44" s="970">
        <v>9</v>
      </c>
      <c r="O44" s="970">
        <v>9</v>
      </c>
      <c r="P44" s="970" t="s">
        <v>519</v>
      </c>
      <c r="Q44" s="971" t="s">
        <v>514</v>
      </c>
      <c r="R44" s="768" t="s">
        <v>481</v>
      </c>
      <c r="S44" s="779" t="s">
        <v>481</v>
      </c>
      <c r="T44" s="768" t="s">
        <v>481</v>
      </c>
      <c r="U44" s="768" t="s">
        <v>481</v>
      </c>
      <c r="V44" s="768" t="s">
        <v>481</v>
      </c>
      <c r="W44" s="768"/>
      <c r="X44" s="768"/>
      <c r="Y44" s="768">
        <v>6</v>
      </c>
      <c r="Z44" s="768">
        <v>6</v>
      </c>
      <c r="AA44" s="768">
        <v>6</v>
      </c>
      <c r="AB44" s="768">
        <v>6</v>
      </c>
      <c r="AC44" s="768">
        <v>6</v>
      </c>
      <c r="AD44" s="768" t="s">
        <v>512</v>
      </c>
      <c r="AE44" s="768" t="s">
        <v>513</v>
      </c>
      <c r="AF44" s="768" t="s">
        <v>481</v>
      </c>
      <c r="AG44" s="768"/>
      <c r="AH44" s="924">
        <v>100.5</v>
      </c>
      <c r="AI44" s="925">
        <v>37</v>
      </c>
    </row>
    <row r="45" spans="1:38" ht="21.95" customHeight="1" thickBot="1">
      <c r="A45" s="543">
        <v>13</v>
      </c>
      <c r="B45" s="52" t="s">
        <v>526</v>
      </c>
      <c r="C45" s="761"/>
      <c r="D45" s="761">
        <v>1</v>
      </c>
      <c r="E45" s="761">
        <v>1</v>
      </c>
      <c r="F45" s="761">
        <v>1</v>
      </c>
      <c r="G45" s="761">
        <v>1</v>
      </c>
      <c r="H45" s="761">
        <v>1</v>
      </c>
      <c r="I45" s="761"/>
      <c r="J45" s="761"/>
      <c r="K45" s="1068">
        <v>10</v>
      </c>
      <c r="L45" s="1068">
        <v>10</v>
      </c>
      <c r="M45" s="1068">
        <v>10</v>
      </c>
      <c r="N45" s="1068">
        <v>10</v>
      </c>
      <c r="O45" s="1068">
        <v>10</v>
      </c>
      <c r="P45" s="1068" t="s">
        <v>514</v>
      </c>
      <c r="Q45" s="1068" t="s">
        <v>514</v>
      </c>
      <c r="R45" s="1084" t="s">
        <v>481</v>
      </c>
      <c r="S45" s="1068" t="s">
        <v>481</v>
      </c>
      <c r="T45" s="1068" t="s">
        <v>481</v>
      </c>
      <c r="U45" s="1068" t="s">
        <v>481</v>
      </c>
      <c r="V45" s="1068" t="s">
        <v>481</v>
      </c>
      <c r="W45" s="1068" t="s">
        <v>515</v>
      </c>
      <c r="X45" s="1068" t="s">
        <v>515</v>
      </c>
      <c r="Y45" s="1068">
        <v>7</v>
      </c>
      <c r="Z45" s="1068" t="s">
        <v>734</v>
      </c>
      <c r="AA45" s="761">
        <v>7</v>
      </c>
      <c r="AB45" s="761">
        <v>7</v>
      </c>
      <c r="AC45" s="761">
        <v>7</v>
      </c>
      <c r="AD45" s="761"/>
      <c r="AE45" s="761"/>
      <c r="AF45" s="761">
        <v>4</v>
      </c>
      <c r="AG45" s="761"/>
      <c r="AH45" s="924">
        <v>185</v>
      </c>
      <c r="AI45" s="925">
        <v>37</v>
      </c>
    </row>
    <row r="46" spans="1:38" ht="21.95" customHeight="1">
      <c r="A46" s="545">
        <v>4</v>
      </c>
      <c r="B46" s="319" t="s">
        <v>527</v>
      </c>
      <c r="C46" s="768"/>
      <c r="D46" s="768">
        <v>11</v>
      </c>
      <c r="E46" s="768">
        <v>11</v>
      </c>
      <c r="F46" s="768">
        <v>11</v>
      </c>
      <c r="G46" s="768">
        <v>11</v>
      </c>
      <c r="H46" s="768">
        <v>11</v>
      </c>
      <c r="I46" s="768" t="s">
        <v>517</v>
      </c>
      <c r="J46" s="764" t="s">
        <v>517</v>
      </c>
      <c r="K46" s="764" t="s">
        <v>481</v>
      </c>
      <c r="L46" s="764" t="s">
        <v>481</v>
      </c>
      <c r="M46" s="764" t="s">
        <v>481</v>
      </c>
      <c r="N46" s="764" t="s">
        <v>481</v>
      </c>
      <c r="O46" s="764" t="s">
        <v>481</v>
      </c>
      <c r="P46" s="764"/>
      <c r="Q46" s="764"/>
      <c r="R46" s="972">
        <v>8</v>
      </c>
      <c r="S46" s="972">
        <v>8</v>
      </c>
      <c r="T46" s="972">
        <v>8</v>
      </c>
      <c r="U46" s="972">
        <v>8</v>
      </c>
      <c r="V46" s="972">
        <v>8</v>
      </c>
      <c r="W46" s="972" t="s">
        <v>513</v>
      </c>
      <c r="X46" s="972" t="s">
        <v>513</v>
      </c>
      <c r="Y46" s="972" t="s">
        <v>481</v>
      </c>
      <c r="Z46" s="972" t="s">
        <v>481</v>
      </c>
      <c r="AA46" s="972" t="s">
        <v>481</v>
      </c>
      <c r="AB46" s="972" t="s">
        <v>481</v>
      </c>
      <c r="AC46" s="972" t="s">
        <v>481</v>
      </c>
      <c r="AD46" s="972"/>
      <c r="AE46" s="972"/>
      <c r="AF46" s="972">
        <v>1</v>
      </c>
      <c r="AG46" s="771"/>
      <c r="AH46" s="924">
        <v>126.5</v>
      </c>
      <c r="AI46" s="925">
        <v>37</v>
      </c>
    </row>
    <row r="47" spans="1:38" ht="21.95" customHeight="1">
      <c r="A47" s="541">
        <v>9</v>
      </c>
      <c r="B47" s="319" t="s">
        <v>528</v>
      </c>
      <c r="C47" s="768"/>
      <c r="D47" s="768">
        <v>9</v>
      </c>
      <c r="E47" s="768">
        <v>9</v>
      </c>
      <c r="F47" s="768">
        <v>9</v>
      </c>
      <c r="G47" s="768">
        <v>9</v>
      </c>
      <c r="H47" s="768">
        <v>9</v>
      </c>
      <c r="I47" s="768" t="s">
        <v>519</v>
      </c>
      <c r="J47" s="768" t="s">
        <v>514</v>
      </c>
      <c r="K47" s="768" t="s">
        <v>481</v>
      </c>
      <c r="L47" s="768" t="s">
        <v>481</v>
      </c>
      <c r="M47" s="768" t="s">
        <v>481</v>
      </c>
      <c r="N47" s="768" t="s">
        <v>481</v>
      </c>
      <c r="O47" s="1038" t="s">
        <v>481</v>
      </c>
      <c r="P47" s="1038"/>
      <c r="Q47" s="1038"/>
      <c r="R47" s="1038">
        <v>6</v>
      </c>
      <c r="S47" s="1038">
        <v>6</v>
      </c>
      <c r="T47" s="1038">
        <v>6</v>
      </c>
      <c r="U47" s="1038">
        <v>6</v>
      </c>
      <c r="V47" s="1038">
        <v>6</v>
      </c>
      <c r="W47" s="1038" t="s">
        <v>512</v>
      </c>
      <c r="X47" s="1038" t="s">
        <v>513</v>
      </c>
      <c r="Y47" s="1038" t="s">
        <v>481</v>
      </c>
      <c r="Z47" s="1038" t="s">
        <v>481</v>
      </c>
      <c r="AA47" s="1038" t="s">
        <v>481</v>
      </c>
      <c r="AB47" s="1038" t="s">
        <v>481</v>
      </c>
      <c r="AC47" s="1038" t="s">
        <v>481</v>
      </c>
      <c r="AD47" s="768"/>
      <c r="AE47" s="768"/>
      <c r="AF47" s="1038">
        <v>5</v>
      </c>
      <c r="AG47" s="769"/>
      <c r="AH47" s="924">
        <v>185</v>
      </c>
      <c r="AI47" s="925">
        <v>37</v>
      </c>
    </row>
    <row r="48" spans="1:38" ht="21.95" customHeight="1" thickBot="1">
      <c r="A48" s="543">
        <v>14</v>
      </c>
      <c r="B48" s="544" t="s">
        <v>529</v>
      </c>
      <c r="C48" s="761"/>
      <c r="D48" s="761">
        <v>10</v>
      </c>
      <c r="E48" s="764">
        <v>10</v>
      </c>
      <c r="F48" s="764">
        <v>10</v>
      </c>
      <c r="G48" s="764">
        <v>10</v>
      </c>
      <c r="H48" s="764">
        <v>10</v>
      </c>
      <c r="I48" s="764" t="s">
        <v>514</v>
      </c>
      <c r="J48" s="764" t="s">
        <v>514</v>
      </c>
      <c r="K48" s="764" t="s">
        <v>481</v>
      </c>
      <c r="L48" s="761" t="s">
        <v>481</v>
      </c>
      <c r="M48" s="761" t="s">
        <v>481</v>
      </c>
      <c r="N48" s="761" t="s">
        <v>481</v>
      </c>
      <c r="O48" s="761" t="s">
        <v>481</v>
      </c>
      <c r="P48" s="761" t="s">
        <v>515</v>
      </c>
      <c r="Q48" s="761" t="s">
        <v>515</v>
      </c>
      <c r="R48" s="1047">
        <v>7</v>
      </c>
      <c r="S48" s="1047">
        <v>7</v>
      </c>
      <c r="T48" s="1047">
        <v>7</v>
      </c>
      <c r="U48" s="1047">
        <v>7</v>
      </c>
      <c r="V48" s="761">
        <v>7</v>
      </c>
      <c r="W48" s="761"/>
      <c r="X48" s="761"/>
      <c r="Y48" s="761">
        <v>4</v>
      </c>
      <c r="Z48" s="761">
        <v>4</v>
      </c>
      <c r="AA48" s="761">
        <v>4</v>
      </c>
      <c r="AB48" s="761">
        <v>4</v>
      </c>
      <c r="AC48" s="761">
        <v>4</v>
      </c>
      <c r="AD48" s="761"/>
      <c r="AE48" s="761"/>
      <c r="AF48" s="761">
        <v>3</v>
      </c>
      <c r="AG48" s="780"/>
      <c r="AH48" s="924">
        <v>185</v>
      </c>
      <c r="AI48" s="925">
        <v>37</v>
      </c>
    </row>
    <row r="49" spans="1:35" ht="21.95" customHeight="1">
      <c r="A49" s="540">
        <v>5</v>
      </c>
      <c r="B49" s="542" t="s">
        <v>530</v>
      </c>
      <c r="C49" s="763" t="s">
        <v>517</v>
      </c>
      <c r="D49" s="763" t="s">
        <v>481</v>
      </c>
      <c r="E49" s="763" t="s">
        <v>481</v>
      </c>
      <c r="F49" s="763" t="s">
        <v>481</v>
      </c>
      <c r="G49" s="763" t="s">
        <v>481</v>
      </c>
      <c r="H49" s="763" t="s">
        <v>481</v>
      </c>
      <c r="I49" s="763"/>
      <c r="J49" s="763"/>
      <c r="K49" s="1069">
        <v>8</v>
      </c>
      <c r="L49" s="763">
        <v>8</v>
      </c>
      <c r="M49" s="763">
        <v>8</v>
      </c>
      <c r="N49" s="763">
        <v>8</v>
      </c>
      <c r="O49" s="763">
        <v>8</v>
      </c>
      <c r="P49" s="763" t="s">
        <v>513</v>
      </c>
      <c r="Q49" s="763" t="s">
        <v>513</v>
      </c>
      <c r="R49" s="763" t="s">
        <v>481</v>
      </c>
      <c r="S49" s="768" t="s">
        <v>481</v>
      </c>
      <c r="T49" s="768" t="s">
        <v>481</v>
      </c>
      <c r="U49" s="768" t="s">
        <v>481</v>
      </c>
      <c r="V49" s="768" t="s">
        <v>481</v>
      </c>
      <c r="W49" s="768"/>
      <c r="X49" s="768"/>
      <c r="Y49" s="977">
        <v>1</v>
      </c>
      <c r="Z49" s="977">
        <v>1</v>
      </c>
      <c r="AA49" s="977">
        <v>1</v>
      </c>
      <c r="AB49" s="977">
        <v>1</v>
      </c>
      <c r="AC49" s="977">
        <v>1</v>
      </c>
      <c r="AD49" s="768"/>
      <c r="AE49" s="781"/>
      <c r="AF49" s="763">
        <v>9</v>
      </c>
      <c r="AG49" s="781"/>
      <c r="AH49" s="924">
        <v>185</v>
      </c>
      <c r="AI49" s="925">
        <v>37</v>
      </c>
    </row>
    <row r="50" spans="1:35" ht="21.95" customHeight="1">
      <c r="A50" s="541">
        <v>10</v>
      </c>
      <c r="B50" s="319" t="s">
        <v>531</v>
      </c>
      <c r="C50" s="768" t="s">
        <v>514</v>
      </c>
      <c r="D50" s="768" t="s">
        <v>481</v>
      </c>
      <c r="E50" s="768" t="s">
        <v>481</v>
      </c>
      <c r="F50" s="768" t="s">
        <v>481</v>
      </c>
      <c r="G50" s="768" t="s">
        <v>481</v>
      </c>
      <c r="H50" s="768" t="s">
        <v>481</v>
      </c>
      <c r="I50" s="768"/>
      <c r="J50" s="768"/>
      <c r="K50" s="768">
        <v>6</v>
      </c>
      <c r="L50" s="768">
        <v>6</v>
      </c>
      <c r="M50" s="768">
        <v>6</v>
      </c>
      <c r="N50" s="768">
        <v>6</v>
      </c>
      <c r="O50" s="768">
        <v>6</v>
      </c>
      <c r="P50" s="768" t="s">
        <v>512</v>
      </c>
      <c r="Q50" s="768" t="s">
        <v>513</v>
      </c>
      <c r="R50" s="970" t="s">
        <v>481</v>
      </c>
      <c r="S50" s="970" t="s">
        <v>481</v>
      </c>
      <c r="T50" s="970" t="s">
        <v>481</v>
      </c>
      <c r="U50" s="970" t="s">
        <v>481</v>
      </c>
      <c r="V50" s="970" t="s">
        <v>481</v>
      </c>
      <c r="W50" s="970"/>
      <c r="X50" s="970"/>
      <c r="Y50" s="970">
        <v>5</v>
      </c>
      <c r="Z50" s="970">
        <v>5</v>
      </c>
      <c r="AA50" s="970">
        <v>5</v>
      </c>
      <c r="AB50" s="970">
        <v>5</v>
      </c>
      <c r="AC50" s="970">
        <v>5</v>
      </c>
      <c r="AD50" s="970"/>
      <c r="AE50" s="971"/>
      <c r="AF50" s="970">
        <v>10</v>
      </c>
      <c r="AG50" s="769"/>
      <c r="AH50" s="924">
        <v>116</v>
      </c>
      <c r="AI50" s="925">
        <v>37</v>
      </c>
    </row>
    <row r="51" spans="1:35" ht="21.95" customHeight="1" thickBot="1">
      <c r="A51" s="543">
        <v>15</v>
      </c>
      <c r="B51" s="52" t="s">
        <v>532</v>
      </c>
      <c r="C51" s="761" t="s">
        <v>514</v>
      </c>
      <c r="D51" s="761" t="s">
        <v>481</v>
      </c>
      <c r="E51" s="761" t="s">
        <v>481</v>
      </c>
      <c r="F51" s="761" t="s">
        <v>481</v>
      </c>
      <c r="G51" s="761" t="s">
        <v>481</v>
      </c>
      <c r="H51" s="761" t="s">
        <v>481</v>
      </c>
      <c r="I51" s="761" t="s">
        <v>515</v>
      </c>
      <c r="J51" s="761" t="s">
        <v>515</v>
      </c>
      <c r="K51" s="761">
        <v>7</v>
      </c>
      <c r="L51" s="761">
        <v>7</v>
      </c>
      <c r="M51" s="761">
        <v>7</v>
      </c>
      <c r="N51" s="761">
        <v>7</v>
      </c>
      <c r="O51" s="761">
        <v>7</v>
      </c>
      <c r="P51" s="761"/>
      <c r="Q51" s="761"/>
      <c r="R51" s="761">
        <v>4</v>
      </c>
      <c r="S51" s="761">
        <v>4</v>
      </c>
      <c r="T51" s="761">
        <v>4</v>
      </c>
      <c r="U51" s="761">
        <v>4</v>
      </c>
      <c r="V51" s="761">
        <v>4</v>
      </c>
      <c r="W51" s="761"/>
      <c r="X51" s="761"/>
      <c r="Y51" s="761">
        <v>3</v>
      </c>
      <c r="Z51" s="761">
        <v>3</v>
      </c>
      <c r="AA51" s="761">
        <v>3</v>
      </c>
      <c r="AB51" s="1037">
        <v>3</v>
      </c>
      <c r="AC51" s="1037">
        <v>3</v>
      </c>
      <c r="AD51" s="761"/>
      <c r="AE51" s="780"/>
      <c r="AF51" s="761">
        <v>11</v>
      </c>
      <c r="AG51" s="780"/>
      <c r="AH51" s="924">
        <v>187.5</v>
      </c>
      <c r="AI51" s="925">
        <v>37</v>
      </c>
    </row>
    <row r="52" spans="1:35" ht="21.95" customHeight="1">
      <c r="A52" s="516"/>
      <c r="C52" s="538"/>
      <c r="D52" s="538"/>
      <c r="E52" s="538"/>
      <c r="F52" s="538"/>
      <c r="G52" s="538"/>
      <c r="H52" s="538"/>
      <c r="I52" s="538"/>
      <c r="J52" s="538"/>
      <c r="K52" s="538"/>
      <c r="L52" s="538"/>
      <c r="M52" s="538"/>
      <c r="N52" s="538"/>
      <c r="O52" s="538"/>
      <c r="P52" s="538"/>
      <c r="Q52" s="538"/>
      <c r="R52" s="538"/>
      <c r="S52" s="538"/>
      <c r="T52" s="538"/>
      <c r="U52" s="538"/>
      <c r="V52" s="538"/>
      <c r="W52" s="538"/>
      <c r="X52" s="538"/>
      <c r="Y52" s="538"/>
      <c r="Z52" s="538"/>
      <c r="AA52" s="538"/>
      <c r="AB52" s="538"/>
      <c r="AC52" s="538"/>
      <c r="AD52" s="538"/>
      <c r="AE52" s="538"/>
      <c r="AF52" s="538"/>
      <c r="AG52" s="538"/>
      <c r="AH52" s="1"/>
    </row>
    <row r="53" spans="1:35" ht="21.95" customHeight="1">
      <c r="A53" s="516"/>
      <c r="C53" s="538"/>
      <c r="D53" s="538"/>
      <c r="E53" s="538"/>
      <c r="F53" s="538"/>
      <c r="G53" s="538"/>
      <c r="H53" s="538"/>
      <c r="I53" s="538"/>
      <c r="J53" s="538"/>
      <c r="K53" s="538"/>
      <c r="L53" s="538"/>
      <c r="M53" s="538"/>
      <c r="N53" s="538"/>
      <c r="O53" s="538"/>
      <c r="P53" s="538"/>
      <c r="Q53" s="538"/>
      <c r="R53" s="538"/>
      <c r="S53" s="538"/>
      <c r="T53" s="538"/>
      <c r="U53" s="538"/>
      <c r="V53" s="538"/>
      <c r="W53" s="538"/>
      <c r="X53" s="538"/>
      <c r="Y53" s="538"/>
      <c r="Z53" s="538"/>
      <c r="AA53" s="538"/>
      <c r="AB53" s="538"/>
      <c r="AC53" s="538"/>
      <c r="AD53" s="538"/>
      <c r="AE53" s="538"/>
      <c r="AF53" s="538"/>
      <c r="AG53" s="538"/>
      <c r="AH53" s="1"/>
    </row>
    <row r="54" spans="1:35" ht="21.95" customHeight="1">
      <c r="A54" s="516"/>
      <c r="C54" s="538"/>
      <c r="D54" s="538"/>
      <c r="E54" s="538"/>
      <c r="F54" s="538"/>
      <c r="G54" s="538"/>
      <c r="H54" s="538"/>
      <c r="I54" s="538"/>
      <c r="J54" s="538"/>
      <c r="K54" s="538"/>
      <c r="L54" s="538"/>
      <c r="M54" s="538"/>
      <c r="N54" s="538"/>
      <c r="O54" s="538"/>
      <c r="P54" s="538"/>
      <c r="Q54" s="538"/>
      <c r="R54" s="538"/>
      <c r="S54" s="538"/>
      <c r="T54" s="538"/>
      <c r="U54" s="538"/>
      <c r="V54" s="538"/>
      <c r="W54" s="538"/>
      <c r="X54" s="538"/>
      <c r="Y54" s="538"/>
      <c r="Z54" s="538"/>
      <c r="AA54" s="538"/>
      <c r="AB54" s="538"/>
      <c r="AC54" s="538"/>
      <c r="AD54" s="538"/>
      <c r="AE54" s="538"/>
      <c r="AF54" s="538"/>
      <c r="AG54" s="538"/>
      <c r="AH54" s="1"/>
    </row>
    <row r="55" spans="1:35" ht="21.95" customHeight="1" thickBot="1">
      <c r="A55" s="554"/>
      <c r="C55" s="555"/>
      <c r="D55" s="555"/>
      <c r="E55" s="555"/>
      <c r="F55" s="555"/>
      <c r="G55" s="555"/>
      <c r="H55" s="555"/>
      <c r="I55" s="555"/>
      <c r="J55" s="555"/>
      <c r="K55" s="555"/>
      <c r="L55" s="555"/>
      <c r="M55" s="555"/>
      <c r="N55" s="555"/>
      <c r="O55" s="555"/>
      <c r="P55" s="555"/>
      <c r="Q55" s="555"/>
      <c r="R55" s="555"/>
      <c r="S55" s="555"/>
      <c r="T55" s="555"/>
      <c r="U55" s="555"/>
      <c r="V55" s="555"/>
      <c r="W55" s="555"/>
      <c r="X55" s="555"/>
      <c r="Y55" s="555"/>
      <c r="Z55" s="555"/>
      <c r="AA55" s="555"/>
      <c r="AB55" s="555"/>
      <c r="AC55" s="555"/>
      <c r="AD55" s="555"/>
      <c r="AE55" s="555"/>
      <c r="AF55" s="555"/>
      <c r="AG55" s="555"/>
      <c r="AH55" s="556"/>
      <c r="AI55" s="556"/>
    </row>
    <row r="56" spans="1:35" ht="21.95" customHeight="1">
      <c r="A56" s="361"/>
      <c r="B56" s="23" t="s">
        <v>533</v>
      </c>
      <c r="C56" s="7"/>
      <c r="D56" s="414" t="s">
        <v>2</v>
      </c>
      <c r="E56" s="547"/>
      <c r="F56" s="7"/>
      <c r="G56" s="6" t="s">
        <v>3</v>
      </c>
      <c r="H56" s="548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49"/>
      <c r="R56" s="118"/>
      <c r="S56" s="6" t="s">
        <v>7</v>
      </c>
      <c r="T56" s="550"/>
      <c r="U56" s="118"/>
      <c r="V56" s="6" t="s">
        <v>8</v>
      </c>
      <c r="W56" s="549"/>
      <c r="X56" s="349" t="s">
        <v>9</v>
      </c>
      <c r="Y56" s="557"/>
      <c r="Z56" s="557"/>
      <c r="AA56" s="558"/>
      <c r="AB56" s="27" t="s">
        <v>10</v>
      </c>
      <c r="AC56" s="551"/>
      <c r="AD56" s="551"/>
      <c r="AE56" s="559"/>
      <c r="AF56" s="559"/>
      <c r="AG56" s="560"/>
    </row>
    <row r="57" spans="1:35" ht="21.95" customHeight="1">
      <c r="A57" s="361"/>
      <c r="B57" s="306" t="s">
        <v>534</v>
      </c>
      <c r="C57" s="561" t="s">
        <v>535</v>
      </c>
      <c r="D57" s="483"/>
      <c r="E57" s="484"/>
      <c r="F57" s="561" t="s">
        <v>535</v>
      </c>
      <c r="G57" s="483"/>
      <c r="H57" s="484"/>
      <c r="I57" s="561" t="s">
        <v>535</v>
      </c>
      <c r="J57" s="483"/>
      <c r="K57" s="484"/>
      <c r="L57" s="561" t="s">
        <v>535</v>
      </c>
      <c r="M57" s="483"/>
      <c r="N57" s="484"/>
      <c r="O57" s="561" t="s">
        <v>116</v>
      </c>
      <c r="P57" s="483"/>
      <c r="Q57" s="484"/>
      <c r="R57" s="561"/>
      <c r="S57" s="483"/>
      <c r="T57" s="484"/>
      <c r="U57" s="561"/>
      <c r="V57" s="483"/>
      <c r="W57" s="484"/>
      <c r="X57" s="561"/>
      <c r="Y57" s="483"/>
      <c r="Z57" s="483"/>
      <c r="AA57" s="483"/>
      <c r="AB57" s="476"/>
      <c r="AC57" s="483"/>
      <c r="AD57" s="483"/>
      <c r="AE57" s="483"/>
      <c r="AF57" s="483"/>
      <c r="AG57" s="562"/>
    </row>
    <row r="58" spans="1:35" ht="21.95" customHeight="1">
      <c r="A58" s="361"/>
      <c r="B58" s="306" t="s">
        <v>536</v>
      </c>
      <c r="C58" s="561" t="s">
        <v>147</v>
      </c>
      <c r="D58" s="483"/>
      <c r="E58" s="484"/>
      <c r="F58" s="561" t="s">
        <v>147</v>
      </c>
      <c r="G58" s="483"/>
      <c r="H58" s="484"/>
      <c r="I58" s="561" t="s">
        <v>147</v>
      </c>
      <c r="J58" s="483"/>
      <c r="K58" s="484"/>
      <c r="L58" s="561" t="s">
        <v>147</v>
      </c>
      <c r="M58" s="483"/>
      <c r="N58" s="484"/>
      <c r="O58" s="561" t="s">
        <v>537</v>
      </c>
      <c r="P58" s="483"/>
      <c r="Q58" s="484"/>
      <c r="R58" s="561"/>
      <c r="S58" s="483"/>
      <c r="T58" s="484"/>
      <c r="U58" s="561"/>
      <c r="V58" s="483"/>
      <c r="W58" s="484"/>
      <c r="X58" s="561"/>
      <c r="Y58" s="483"/>
      <c r="Z58" s="483"/>
      <c r="AA58" s="483"/>
      <c r="AB58" s="476"/>
      <c r="AC58" s="483"/>
      <c r="AD58" s="483"/>
      <c r="AE58" s="483"/>
      <c r="AF58" s="483"/>
      <c r="AG58" s="562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 thickBot="1">
      <c r="A60" s="861" t="s">
        <v>475</v>
      </c>
      <c r="B60" s="862" t="s">
        <v>476</v>
      </c>
      <c r="C60" s="880">
        <v>1</v>
      </c>
      <c r="D60" s="863">
        <v>2</v>
      </c>
      <c r="E60" s="863">
        <v>3</v>
      </c>
      <c r="F60" s="863">
        <v>4</v>
      </c>
      <c r="G60" s="880">
        <v>5</v>
      </c>
      <c r="H60" s="863">
        <v>6</v>
      </c>
      <c r="I60" s="880">
        <v>7</v>
      </c>
      <c r="J60" s="880">
        <v>8</v>
      </c>
      <c r="K60" s="880">
        <v>9</v>
      </c>
      <c r="L60" s="863">
        <v>10</v>
      </c>
      <c r="M60" s="863">
        <v>11</v>
      </c>
      <c r="N60" s="863">
        <v>12</v>
      </c>
      <c r="O60" s="863">
        <v>13</v>
      </c>
      <c r="P60" s="880">
        <v>14</v>
      </c>
      <c r="Q60" s="880">
        <v>15</v>
      </c>
      <c r="R60" s="863">
        <v>16</v>
      </c>
      <c r="S60" s="863">
        <v>17</v>
      </c>
      <c r="T60" s="863">
        <v>18</v>
      </c>
      <c r="U60" s="863">
        <v>19</v>
      </c>
      <c r="V60" s="863">
        <v>20</v>
      </c>
      <c r="W60" s="880">
        <v>21</v>
      </c>
      <c r="X60" s="880">
        <v>22</v>
      </c>
      <c r="Y60" s="863">
        <v>23</v>
      </c>
      <c r="Z60" s="863">
        <v>24</v>
      </c>
      <c r="AA60" s="863">
        <v>25</v>
      </c>
      <c r="AB60" s="863">
        <v>26</v>
      </c>
      <c r="AC60" s="863">
        <v>27</v>
      </c>
      <c r="AD60" s="880">
        <v>28</v>
      </c>
      <c r="AE60" s="880">
        <v>29</v>
      </c>
      <c r="AF60" s="863">
        <v>30</v>
      </c>
      <c r="AG60" s="863"/>
      <c r="AH60" s="864" t="s">
        <v>477</v>
      </c>
      <c r="AI60" s="865" t="s">
        <v>478</v>
      </c>
    </row>
    <row r="61" spans="1:35" ht="21.95" customHeight="1">
      <c r="A61" s="860">
        <v>8520</v>
      </c>
      <c r="B61" s="860" t="s">
        <v>538</v>
      </c>
      <c r="C61" s="764"/>
      <c r="D61" s="764" t="s">
        <v>539</v>
      </c>
      <c r="E61" s="764" t="s">
        <v>539</v>
      </c>
      <c r="F61" s="764" t="s">
        <v>539</v>
      </c>
      <c r="G61" s="764"/>
      <c r="H61" s="965" t="s">
        <v>539</v>
      </c>
      <c r="I61" s="764"/>
      <c r="J61" s="764"/>
      <c r="K61" s="764"/>
      <c r="L61" s="764" t="s">
        <v>539</v>
      </c>
      <c r="M61" s="764" t="s">
        <v>539</v>
      </c>
      <c r="N61" s="764" t="s">
        <v>539</v>
      </c>
      <c r="O61" s="764" t="s">
        <v>539</v>
      </c>
      <c r="P61" s="764"/>
      <c r="Q61" s="764"/>
      <c r="R61" s="764" t="s">
        <v>539</v>
      </c>
      <c r="S61" s="764" t="s">
        <v>539</v>
      </c>
      <c r="T61" s="764" t="s">
        <v>539</v>
      </c>
      <c r="U61" s="764" t="s">
        <v>539</v>
      </c>
      <c r="V61" s="764" t="s">
        <v>539</v>
      </c>
      <c r="W61" s="764"/>
      <c r="X61" s="764"/>
      <c r="Y61" s="764" t="s">
        <v>539</v>
      </c>
      <c r="Z61" s="764" t="s">
        <v>539</v>
      </c>
      <c r="AA61" s="972" t="s">
        <v>539</v>
      </c>
      <c r="AB61" s="764" t="s">
        <v>539</v>
      </c>
      <c r="AC61" s="764" t="s">
        <v>539</v>
      </c>
      <c r="AD61" s="764"/>
      <c r="AE61" s="764"/>
      <c r="AF61" s="972" t="s">
        <v>539</v>
      </c>
      <c r="AG61" s="764"/>
      <c r="AH61" s="510">
        <v>75.75</v>
      </c>
      <c r="AI61" s="511">
        <v>31</v>
      </c>
    </row>
    <row r="62" spans="1:35" ht="21.95" customHeight="1" thickBot="1">
      <c r="A62" s="866">
        <v>8521</v>
      </c>
      <c r="B62" s="866"/>
      <c r="C62" s="867"/>
      <c r="D62" s="867" t="s">
        <v>540</v>
      </c>
      <c r="E62" s="867" t="s">
        <v>540</v>
      </c>
      <c r="F62" s="867" t="s">
        <v>540</v>
      </c>
      <c r="G62" s="867"/>
      <c r="H62" s="867" t="s">
        <v>540</v>
      </c>
      <c r="I62" s="867"/>
      <c r="J62" s="867"/>
      <c r="K62" s="867"/>
      <c r="L62" s="867" t="s">
        <v>540</v>
      </c>
      <c r="M62" s="867" t="s">
        <v>540</v>
      </c>
      <c r="N62" s="867" t="s">
        <v>540</v>
      </c>
      <c r="O62" s="867" t="s">
        <v>540</v>
      </c>
      <c r="P62" s="867"/>
      <c r="Q62" s="867"/>
      <c r="R62" s="867" t="s">
        <v>540</v>
      </c>
      <c r="S62" s="867" t="s">
        <v>540</v>
      </c>
      <c r="T62" s="867" t="s">
        <v>540</v>
      </c>
      <c r="U62" s="867" t="s">
        <v>540</v>
      </c>
      <c r="V62" s="867" t="s">
        <v>540</v>
      </c>
      <c r="W62" s="867"/>
      <c r="X62" s="867"/>
      <c r="Y62" s="867" t="s">
        <v>540</v>
      </c>
      <c r="Z62" s="867" t="s">
        <v>540</v>
      </c>
      <c r="AA62" s="867" t="s">
        <v>540</v>
      </c>
      <c r="AB62" s="867" t="s">
        <v>540</v>
      </c>
      <c r="AC62" s="867" t="s">
        <v>540</v>
      </c>
      <c r="AD62" s="867"/>
      <c r="AE62" s="867"/>
      <c r="AF62" s="867" t="s">
        <v>540</v>
      </c>
      <c r="AG62" s="867"/>
      <c r="AH62" s="868">
        <v>185</v>
      </c>
      <c r="AI62" s="869">
        <v>37</v>
      </c>
    </row>
    <row r="63" spans="1:35" ht="21.95" customHeight="1">
      <c r="A63" s="361"/>
      <c r="B63" s="361"/>
      <c r="C63" s="538"/>
      <c r="D63" s="517"/>
      <c r="E63" s="517"/>
      <c r="F63" s="517"/>
      <c r="G63" s="517"/>
      <c r="H63" s="517"/>
      <c r="I63" s="517"/>
      <c r="J63" s="517"/>
      <c r="K63" s="517"/>
      <c r="L63" s="517"/>
      <c r="M63" s="517"/>
      <c r="N63" s="517"/>
      <c r="O63" s="517"/>
      <c r="P63" s="517"/>
      <c r="Q63" s="517"/>
      <c r="R63" s="517"/>
      <c r="S63" s="517"/>
      <c r="T63" s="517"/>
      <c r="U63" s="517"/>
      <c r="V63" s="517"/>
      <c r="W63" s="517"/>
      <c r="X63" s="517"/>
      <c r="Y63" s="517"/>
      <c r="Z63" s="517"/>
      <c r="AA63" s="517"/>
      <c r="AB63" s="517"/>
      <c r="AC63" s="517"/>
      <c r="AD63" s="517"/>
      <c r="AE63" s="517"/>
      <c r="AF63" s="517"/>
      <c r="AG63" s="517"/>
      <c r="AH63" s="556"/>
      <c r="AI63" s="556"/>
    </row>
    <row r="64" spans="1:35" ht="21.95" customHeight="1">
      <c r="A64" s="361"/>
      <c r="B64" s="361"/>
      <c r="C64" s="538"/>
      <c r="D64" s="517"/>
      <c r="E64" s="517"/>
      <c r="F64" s="517"/>
      <c r="G64" s="517"/>
      <c r="H64" s="517"/>
      <c r="I64" s="517"/>
      <c r="J64" s="517"/>
      <c r="K64" s="517"/>
      <c r="L64" s="517"/>
      <c r="M64" s="517"/>
      <c r="N64" s="517"/>
      <c r="O64" s="517"/>
      <c r="P64" s="517"/>
      <c r="Q64" s="517"/>
      <c r="R64" s="517"/>
      <c r="S64" s="517"/>
      <c r="T64" s="517"/>
      <c r="U64" s="517"/>
      <c r="V64" s="517"/>
      <c r="W64" s="517"/>
      <c r="X64" s="517"/>
      <c r="Y64" s="517"/>
      <c r="Z64" s="517"/>
      <c r="AA64" s="517"/>
      <c r="AB64" s="517"/>
      <c r="AC64" s="517"/>
      <c r="AD64" s="517"/>
      <c r="AE64" s="517"/>
      <c r="AF64" s="517"/>
      <c r="AG64" s="517"/>
      <c r="AH64" s="556"/>
      <c r="AI64" s="556"/>
    </row>
    <row r="65" spans="1:35" ht="21.95" customHeight="1">
      <c r="A65" s="361"/>
      <c r="B65" s="361"/>
      <c r="C65" s="538"/>
      <c r="D65" s="517"/>
      <c r="E65" s="517"/>
      <c r="F65" s="517"/>
      <c r="G65" s="517"/>
      <c r="H65" s="517"/>
      <c r="I65" s="517"/>
      <c r="J65" s="517"/>
      <c r="K65" s="517"/>
      <c r="L65" s="517"/>
      <c r="M65" s="517"/>
      <c r="N65" s="517"/>
      <c r="O65" s="517"/>
      <c r="P65" s="517"/>
      <c r="Q65" s="517"/>
      <c r="R65" s="517"/>
      <c r="S65" s="517"/>
      <c r="T65" s="517"/>
      <c r="U65" s="517"/>
      <c r="V65" s="517"/>
      <c r="W65" s="517"/>
      <c r="X65" s="517"/>
      <c r="Y65" s="517"/>
      <c r="Z65" s="517"/>
      <c r="AA65" s="517"/>
      <c r="AB65" s="517"/>
      <c r="AC65" s="517"/>
      <c r="AD65" s="517"/>
      <c r="AE65" s="517"/>
      <c r="AF65" s="517"/>
      <c r="AG65" s="517"/>
      <c r="AH65" s="556"/>
      <c r="AI65" s="556"/>
    </row>
    <row r="66" spans="1:35" ht="21.95" customHeight="1" thickBot="1">
      <c r="A66" s="1" t="s">
        <v>541</v>
      </c>
      <c r="D66" s="361"/>
      <c r="E66" s="361"/>
      <c r="F66" s="361"/>
      <c r="G66" s="546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35" ht="21.95" customHeight="1">
      <c r="A67" s="1"/>
      <c r="B67" s="23" t="s">
        <v>542</v>
      </c>
      <c r="C67" s="7"/>
      <c r="D67" s="522" t="s">
        <v>2</v>
      </c>
      <c r="E67" s="51"/>
      <c r="F67" s="548"/>
      <c r="G67" s="7"/>
      <c r="H67" s="522" t="s">
        <v>3</v>
      </c>
      <c r="I67" s="51"/>
      <c r="J67" s="548"/>
      <c r="K67" s="7"/>
      <c r="L67" s="522" t="s">
        <v>4</v>
      </c>
      <c r="M67" s="51"/>
      <c r="N67" s="548"/>
      <c r="O67" s="7"/>
      <c r="P67" s="522" t="s">
        <v>5</v>
      </c>
      <c r="Q67" s="51"/>
      <c r="R67" s="548"/>
      <c r="S67" s="7"/>
      <c r="T67" s="522" t="s">
        <v>6</v>
      </c>
      <c r="U67" s="51"/>
      <c r="V67" s="548"/>
      <c r="W67" s="27"/>
      <c r="X67" s="713" t="s">
        <v>7</v>
      </c>
      <c r="Y67" s="519"/>
      <c r="Z67" s="238"/>
      <c r="AA67" s="7"/>
      <c r="AB67" s="522" t="s">
        <v>8</v>
      </c>
      <c r="AC67" s="51"/>
      <c r="AD67" s="51"/>
      <c r="AE67" s="349" t="s">
        <v>9</v>
      </c>
      <c r="AF67" s="51"/>
      <c r="AG67" s="51"/>
      <c r="AH67" s="51"/>
      <c r="AI67" s="523"/>
    </row>
    <row r="68" spans="1:35" ht="21.95" customHeight="1">
      <c r="A68" s="1"/>
      <c r="B68" s="129" t="s">
        <v>324</v>
      </c>
      <c r="C68" s="563" t="s">
        <v>735</v>
      </c>
      <c r="E68" s="157"/>
      <c r="F68" s="564"/>
      <c r="G68" s="563" t="s">
        <v>735</v>
      </c>
      <c r="H68" s="157"/>
      <c r="I68" s="157"/>
      <c r="J68" s="564"/>
      <c r="K68" s="563" t="s">
        <v>735</v>
      </c>
      <c r="L68" s="157"/>
      <c r="M68" s="157"/>
      <c r="N68" s="564"/>
      <c r="O68" s="563" t="s">
        <v>544</v>
      </c>
      <c r="P68" s="157"/>
      <c r="Q68" s="157"/>
      <c r="R68" s="564"/>
      <c r="S68" s="563" t="s">
        <v>736</v>
      </c>
      <c r="T68" s="157"/>
      <c r="U68" s="157"/>
      <c r="V68" s="565"/>
      <c r="W68" s="714"/>
      <c r="X68" s="715"/>
      <c r="Y68" s="715"/>
      <c r="Z68" s="716"/>
      <c r="AA68" s="565"/>
      <c r="AB68" s="157"/>
      <c r="AC68" s="157"/>
      <c r="AD68" s="565"/>
      <c r="AE68" s="121">
        <v>37</v>
      </c>
      <c r="AG68" s="157"/>
      <c r="AH68" s="565"/>
      <c r="AI68" s="490"/>
    </row>
    <row r="69" spans="1:35" ht="21.95" customHeight="1">
      <c r="A69" s="1"/>
      <c r="B69" s="129" t="s">
        <v>325</v>
      </c>
      <c r="C69" s="563" t="s">
        <v>546</v>
      </c>
      <c r="D69" s="157"/>
      <c r="E69" s="157"/>
      <c r="F69" s="564"/>
      <c r="G69" s="563" t="s">
        <v>546</v>
      </c>
      <c r="H69" s="157"/>
      <c r="I69" s="157"/>
      <c r="J69" s="564"/>
      <c r="K69" s="563" t="s">
        <v>546</v>
      </c>
      <c r="L69" s="157"/>
      <c r="M69" s="157"/>
      <c r="N69" s="564"/>
      <c r="O69" s="563" t="s">
        <v>547</v>
      </c>
      <c r="P69" s="157"/>
      <c r="Q69" s="157"/>
      <c r="R69" s="564"/>
      <c r="S69" s="563" t="s">
        <v>548</v>
      </c>
      <c r="T69" s="157"/>
      <c r="U69" s="157"/>
      <c r="V69" s="564"/>
      <c r="W69" s="604" t="s">
        <v>549</v>
      </c>
      <c r="X69" s="55"/>
      <c r="Y69" s="55"/>
      <c r="Z69" s="55"/>
      <c r="AA69" s="563" t="s">
        <v>550</v>
      </c>
      <c r="AB69" s="563"/>
      <c r="AC69" s="563"/>
      <c r="AD69" s="563"/>
      <c r="AE69" s="155">
        <v>68.25</v>
      </c>
      <c r="AF69" s="157"/>
      <c r="AG69" s="567"/>
      <c r="AH69" s="568"/>
      <c r="AI69" s="569"/>
    </row>
    <row r="70" spans="1:35" ht="21.95" customHeight="1">
      <c r="A70" s="1"/>
      <c r="B70" s="129" t="s">
        <v>326</v>
      </c>
      <c r="C70" s="712" t="s">
        <v>167</v>
      </c>
      <c r="D70" s="157"/>
      <c r="E70" s="157"/>
      <c r="F70" s="564"/>
      <c r="G70" s="157" t="s">
        <v>167</v>
      </c>
      <c r="H70" s="157"/>
      <c r="I70" s="157"/>
      <c r="J70" s="564"/>
      <c r="K70" s="157" t="s">
        <v>167</v>
      </c>
      <c r="L70" s="157"/>
      <c r="M70" s="157"/>
      <c r="N70" s="564"/>
      <c r="O70" s="157" t="s">
        <v>167</v>
      </c>
      <c r="P70" s="157"/>
      <c r="Q70" s="157"/>
      <c r="R70" s="564"/>
      <c r="S70" s="157" t="s">
        <v>167</v>
      </c>
      <c r="T70" s="157"/>
      <c r="U70" s="157"/>
      <c r="V70" s="564"/>
      <c r="W70" s="563"/>
      <c r="X70" s="157"/>
      <c r="Y70" s="157"/>
      <c r="Z70" s="564"/>
      <c r="AA70" s="563"/>
      <c r="AB70" s="157"/>
      <c r="AC70" s="157"/>
      <c r="AD70" s="565"/>
      <c r="AE70" s="566">
        <v>0</v>
      </c>
      <c r="AF70" s="567"/>
      <c r="AG70" s="157"/>
      <c r="AH70" s="565"/>
      <c r="AI70" s="490"/>
    </row>
    <row r="71" spans="1:35" ht="21.95" customHeight="1" thickBot="1">
      <c r="A71" s="1"/>
      <c r="B71" s="47"/>
      <c r="C71" s="570"/>
      <c r="D71" s="53"/>
      <c r="E71" s="53"/>
      <c r="F71" s="571"/>
      <c r="G71" s="570"/>
      <c r="H71" s="53"/>
      <c r="I71" s="53"/>
      <c r="J71" s="571"/>
      <c r="K71" s="570"/>
      <c r="L71" s="53"/>
      <c r="M71" s="53"/>
      <c r="N71" s="571"/>
      <c r="O71" s="570"/>
      <c r="P71" s="53"/>
      <c r="Q71" s="53"/>
      <c r="R71" s="571"/>
      <c r="S71" s="570"/>
      <c r="T71" s="53"/>
      <c r="U71" s="53"/>
      <c r="V71" s="571"/>
      <c r="W71" s="53"/>
      <c r="X71" s="53"/>
      <c r="Y71" s="53"/>
      <c r="Z71" s="53"/>
      <c r="AA71" s="53"/>
      <c r="AB71" s="53"/>
      <c r="AC71" s="53"/>
      <c r="AD71" s="53"/>
      <c r="AE71" s="572"/>
      <c r="AF71" s="53"/>
      <c r="AG71" s="53"/>
      <c r="AH71" s="573"/>
      <c r="AI71" s="536"/>
    </row>
    <row r="72" spans="1:35" ht="21.95" customHeight="1" thickBot="1">
      <c r="A72" s="574"/>
      <c r="B72" s="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</row>
    <row r="73" spans="1:35" ht="21.95" customHeight="1" thickBot="1">
      <c r="A73" s="861"/>
      <c r="B73" s="862" t="s">
        <v>476</v>
      </c>
      <c r="C73" s="880">
        <v>1</v>
      </c>
      <c r="D73" s="863">
        <v>2</v>
      </c>
      <c r="E73" s="863">
        <v>3</v>
      </c>
      <c r="F73" s="863">
        <v>4</v>
      </c>
      <c r="G73" s="880">
        <v>5</v>
      </c>
      <c r="H73" s="863">
        <v>6</v>
      </c>
      <c r="I73" s="880">
        <v>7</v>
      </c>
      <c r="J73" s="880">
        <v>8</v>
      </c>
      <c r="K73" s="880">
        <v>9</v>
      </c>
      <c r="L73" s="863">
        <v>10</v>
      </c>
      <c r="M73" s="863">
        <v>11</v>
      </c>
      <c r="N73" s="863">
        <v>12</v>
      </c>
      <c r="O73" s="863">
        <v>13</v>
      </c>
      <c r="P73" s="880">
        <v>14</v>
      </c>
      <c r="Q73" s="880">
        <v>15</v>
      </c>
      <c r="R73" s="863">
        <v>16</v>
      </c>
      <c r="S73" s="863">
        <v>17</v>
      </c>
      <c r="T73" s="863">
        <v>18</v>
      </c>
      <c r="U73" s="863">
        <v>19</v>
      </c>
      <c r="V73" s="863">
        <v>20</v>
      </c>
      <c r="W73" s="880">
        <v>21</v>
      </c>
      <c r="X73" s="880">
        <v>22</v>
      </c>
      <c r="Y73" s="863">
        <v>23</v>
      </c>
      <c r="Z73" s="863">
        <v>24</v>
      </c>
      <c r="AA73" s="863">
        <v>25</v>
      </c>
      <c r="AB73" s="863">
        <v>26</v>
      </c>
      <c r="AC73" s="863">
        <v>27</v>
      </c>
      <c r="AD73" s="880">
        <v>28</v>
      </c>
      <c r="AE73" s="880">
        <v>29</v>
      </c>
      <c r="AF73" s="863">
        <v>30</v>
      </c>
      <c r="AG73" s="863"/>
      <c r="AH73" s="864" t="s">
        <v>477</v>
      </c>
      <c r="AI73" s="865" t="s">
        <v>478</v>
      </c>
    </row>
    <row r="74" spans="1:35" ht="21.95" customHeight="1">
      <c r="A74" s="870">
        <v>1</v>
      </c>
      <c r="B74" s="836" t="s">
        <v>551</v>
      </c>
      <c r="C74" s="939"/>
      <c r="D74" s="871" t="s">
        <v>553</v>
      </c>
      <c r="E74" s="871" t="s">
        <v>553</v>
      </c>
      <c r="F74" s="871" t="s">
        <v>553</v>
      </c>
      <c r="G74" s="871" t="s">
        <v>555</v>
      </c>
      <c r="H74" s="871" t="s">
        <v>554</v>
      </c>
      <c r="I74" s="1041" t="s">
        <v>555</v>
      </c>
      <c r="J74" s="1038" t="s">
        <v>737</v>
      </c>
      <c r="K74" s="872" t="s">
        <v>481</v>
      </c>
      <c r="L74" s="871" t="s">
        <v>481</v>
      </c>
      <c r="M74" s="871" t="s">
        <v>481</v>
      </c>
      <c r="N74" s="871" t="s">
        <v>481</v>
      </c>
      <c r="O74" s="871" t="s">
        <v>481</v>
      </c>
      <c r="P74" s="871"/>
      <c r="Q74" s="871"/>
      <c r="R74" s="871" t="s">
        <v>552</v>
      </c>
      <c r="S74" s="871" t="s">
        <v>552</v>
      </c>
      <c r="T74" s="871" t="s">
        <v>552</v>
      </c>
      <c r="U74" s="871" t="s">
        <v>552</v>
      </c>
      <c r="V74" s="871" t="s">
        <v>552</v>
      </c>
      <c r="W74" s="871"/>
      <c r="X74" s="939"/>
      <c r="Y74" s="871" t="s">
        <v>553</v>
      </c>
      <c r="Z74" s="871" t="s">
        <v>553</v>
      </c>
      <c r="AA74" s="871" t="s">
        <v>553</v>
      </c>
      <c r="AB74" s="871" t="s">
        <v>554</v>
      </c>
      <c r="AC74" s="871" t="s">
        <v>554</v>
      </c>
      <c r="AD74" s="976" t="s">
        <v>555</v>
      </c>
      <c r="AE74" s="871" t="s">
        <v>555</v>
      </c>
      <c r="AF74" s="871" t="s">
        <v>481</v>
      </c>
      <c r="AG74" s="872"/>
      <c r="AH74" s="510">
        <v>153.5</v>
      </c>
      <c r="AI74" s="511">
        <v>37</v>
      </c>
    </row>
    <row r="75" spans="1:35" ht="21.95" customHeight="1">
      <c r="A75" s="575">
        <v>2</v>
      </c>
      <c r="B75" s="542" t="s">
        <v>556</v>
      </c>
      <c r="C75" s="762" t="s">
        <v>555</v>
      </c>
      <c r="D75" s="762" t="s">
        <v>481</v>
      </c>
      <c r="E75" s="762" t="s">
        <v>481</v>
      </c>
      <c r="F75" s="762" t="s">
        <v>481</v>
      </c>
      <c r="G75" s="762" t="s">
        <v>481</v>
      </c>
      <c r="H75" s="762" t="s">
        <v>481</v>
      </c>
      <c r="I75" s="762"/>
      <c r="J75" s="762"/>
      <c r="K75" s="762" t="s">
        <v>552</v>
      </c>
      <c r="L75" s="762" t="s">
        <v>552</v>
      </c>
      <c r="M75" s="762" t="s">
        <v>552</v>
      </c>
      <c r="N75" s="762" t="s">
        <v>552</v>
      </c>
      <c r="O75" s="762" t="s">
        <v>552</v>
      </c>
      <c r="P75" s="762"/>
      <c r="Q75" s="762"/>
      <c r="R75" s="762" t="s">
        <v>553</v>
      </c>
      <c r="S75" s="762" t="s">
        <v>553</v>
      </c>
      <c r="T75" s="762" t="s">
        <v>553</v>
      </c>
      <c r="U75" s="762" t="s">
        <v>554</v>
      </c>
      <c r="V75" s="762" t="s">
        <v>554</v>
      </c>
      <c r="W75" s="762" t="s">
        <v>555</v>
      </c>
      <c r="X75" s="762" t="s">
        <v>555</v>
      </c>
      <c r="Y75" s="762" t="s">
        <v>481</v>
      </c>
      <c r="Z75" s="762" t="s">
        <v>481</v>
      </c>
      <c r="AA75" s="762" t="s">
        <v>481</v>
      </c>
      <c r="AB75" s="762" t="s">
        <v>481</v>
      </c>
      <c r="AC75" s="762" t="s">
        <v>481</v>
      </c>
      <c r="AD75" s="762"/>
      <c r="AE75" s="762"/>
      <c r="AF75" s="762" t="s">
        <v>552</v>
      </c>
      <c r="AG75" s="553"/>
      <c r="AH75" s="924">
        <v>187</v>
      </c>
      <c r="AI75" s="925">
        <v>37</v>
      </c>
    </row>
    <row r="76" spans="1:35" ht="21.95" customHeight="1" thickBot="1">
      <c r="A76" s="873">
        <v>3</v>
      </c>
      <c r="B76" s="874" t="s">
        <v>558</v>
      </c>
      <c r="C76" s="875"/>
      <c r="D76" s="875" t="s">
        <v>552</v>
      </c>
      <c r="E76" s="875" t="s">
        <v>552</v>
      </c>
      <c r="F76" s="875" t="s">
        <v>552</v>
      </c>
      <c r="G76" s="875" t="s">
        <v>552</v>
      </c>
      <c r="H76" s="875" t="s">
        <v>552</v>
      </c>
      <c r="I76" s="875"/>
      <c r="J76" s="875"/>
      <c r="K76" s="875" t="s">
        <v>555</v>
      </c>
      <c r="L76" s="1065" t="s">
        <v>553</v>
      </c>
      <c r="M76" s="875" t="s">
        <v>553</v>
      </c>
      <c r="N76" s="875" t="s">
        <v>554</v>
      </c>
      <c r="O76" s="875" t="s">
        <v>554</v>
      </c>
      <c r="P76" s="875" t="s">
        <v>555</v>
      </c>
      <c r="Q76" s="875" t="s">
        <v>555</v>
      </c>
      <c r="R76" s="990" t="s">
        <v>481</v>
      </c>
      <c r="S76" s="990" t="s">
        <v>481</v>
      </c>
      <c r="T76" s="990" t="s">
        <v>481</v>
      </c>
      <c r="U76" s="990" t="s">
        <v>481</v>
      </c>
      <c r="V76" s="990" t="s">
        <v>481</v>
      </c>
      <c r="W76" s="990"/>
      <c r="X76" s="990"/>
      <c r="Y76" s="990" t="s">
        <v>552</v>
      </c>
      <c r="Z76" s="990" t="s">
        <v>552</v>
      </c>
      <c r="AA76" s="990" t="s">
        <v>552</v>
      </c>
      <c r="AB76" s="990" t="s">
        <v>552</v>
      </c>
      <c r="AC76" s="990" t="s">
        <v>552</v>
      </c>
      <c r="AD76" s="990"/>
      <c r="AE76" s="990"/>
      <c r="AF76" s="990" t="s">
        <v>553</v>
      </c>
      <c r="AG76" s="876"/>
      <c r="AH76" s="868">
        <v>144.75</v>
      </c>
      <c r="AI76" s="869">
        <v>37</v>
      </c>
    </row>
    <row r="77" spans="1:35" ht="21.95" customHeight="1"/>
    <row r="78" spans="1:35" ht="21.95" customHeight="1" thickBot="1">
      <c r="A78" s="312" t="s">
        <v>559</v>
      </c>
      <c r="C78" s="555"/>
      <c r="D78" s="555"/>
      <c r="E78" s="555"/>
      <c r="F78" s="555"/>
      <c r="G78" s="555"/>
      <c r="H78" s="555"/>
      <c r="I78" s="555"/>
      <c r="J78" s="555"/>
      <c r="K78" s="555"/>
      <c r="L78" s="555"/>
      <c r="M78" s="555"/>
      <c r="N78" s="555"/>
      <c r="O78" s="555"/>
      <c r="P78" s="555"/>
      <c r="Q78" s="555"/>
      <c r="R78" s="555"/>
      <c r="S78" s="555"/>
      <c r="T78" s="555"/>
      <c r="U78" s="555"/>
      <c r="V78" s="555"/>
      <c r="W78" s="555"/>
      <c r="X78" s="555"/>
      <c r="Y78" s="555"/>
      <c r="Z78" s="555"/>
      <c r="AA78" s="555"/>
      <c r="AB78" s="555"/>
      <c r="AC78" s="555"/>
      <c r="AD78" s="555"/>
      <c r="AE78" s="555"/>
      <c r="AF78" s="555"/>
      <c r="AH78" s="556"/>
      <c r="AI78" s="556"/>
    </row>
    <row r="79" spans="1:35" ht="21.95" customHeight="1">
      <c r="A79" s="576"/>
      <c r="B79" s="23" t="s">
        <v>542</v>
      </c>
      <c r="C79" s="7"/>
      <c r="D79" s="522" t="s">
        <v>2</v>
      </c>
      <c r="E79" s="51"/>
      <c r="F79" s="548"/>
      <c r="G79" s="7"/>
      <c r="H79" s="522" t="s">
        <v>3</v>
      </c>
      <c r="I79" s="51"/>
      <c r="J79" s="548"/>
      <c r="K79" s="7"/>
      <c r="L79" s="522" t="s">
        <v>4</v>
      </c>
      <c r="M79" s="51"/>
      <c r="N79" s="548"/>
      <c r="O79" s="7"/>
      <c r="P79" s="522" t="s">
        <v>5</v>
      </c>
      <c r="Q79" s="51"/>
      <c r="R79" s="548"/>
      <c r="S79" s="7"/>
      <c r="T79" s="522" t="s">
        <v>6</v>
      </c>
      <c r="U79" s="51"/>
      <c r="V79" s="548"/>
      <c r="W79" s="27"/>
      <c r="X79" s="713" t="s">
        <v>7</v>
      </c>
      <c r="Y79" s="519"/>
      <c r="Z79" s="238"/>
      <c r="AA79" s="7"/>
      <c r="AB79" s="522" t="s">
        <v>8</v>
      </c>
      <c r="AC79" s="51"/>
      <c r="AD79" s="51"/>
      <c r="AE79" s="349" t="s">
        <v>9</v>
      </c>
      <c r="AF79" s="51"/>
      <c r="AG79" s="51"/>
      <c r="AH79" s="51"/>
      <c r="AI79" s="523"/>
    </row>
    <row r="80" spans="1:35" ht="21.95" customHeight="1">
      <c r="B80" s="129" t="s">
        <v>324</v>
      </c>
      <c r="C80" s="589" t="s">
        <v>560</v>
      </c>
      <c r="E80" s="157"/>
      <c r="F80" s="564"/>
      <c r="G80" s="563" t="s">
        <v>561</v>
      </c>
      <c r="H80" s="483" t="s">
        <v>562</v>
      </c>
      <c r="I80" s="157"/>
      <c r="J80" s="564"/>
      <c r="K80" s="589" t="s">
        <v>560</v>
      </c>
      <c r="L80" s="483"/>
      <c r="M80" s="483"/>
      <c r="N80" s="588"/>
      <c r="O80" s="589" t="s">
        <v>563</v>
      </c>
      <c r="P80" s="483"/>
      <c r="Q80" s="483"/>
      <c r="R80" s="588"/>
      <c r="S80" s="589" t="s">
        <v>738</v>
      </c>
      <c r="T80" s="483"/>
      <c r="U80" s="483"/>
      <c r="V80" s="477"/>
      <c r="W80" s="714"/>
      <c r="X80" s="715"/>
      <c r="Y80" s="715"/>
      <c r="Z80" s="716"/>
      <c r="AA80" s="565"/>
      <c r="AB80" s="157"/>
      <c r="AC80" s="157"/>
      <c r="AD80" s="565"/>
      <c r="AE80" s="121">
        <v>37</v>
      </c>
      <c r="AG80" s="157"/>
      <c r="AH80" s="565"/>
      <c r="AI80" s="490"/>
    </row>
    <row r="81" spans="1:38" ht="21.95" customHeight="1">
      <c r="B81" s="129" t="s">
        <v>325</v>
      </c>
      <c r="C81" s="589" t="s">
        <v>565</v>
      </c>
      <c r="E81" s="157"/>
      <c r="F81" s="564"/>
      <c r="G81" s="589" t="s">
        <v>565</v>
      </c>
      <c r="I81" s="157"/>
      <c r="J81" s="564"/>
      <c r="K81" s="589" t="s">
        <v>565</v>
      </c>
      <c r="L81" s="157"/>
      <c r="M81" s="157"/>
      <c r="N81" s="564"/>
      <c r="O81" s="589" t="s">
        <v>566</v>
      </c>
      <c r="P81" s="157"/>
      <c r="Q81" s="157"/>
      <c r="R81" s="564"/>
      <c r="S81" s="563" t="s">
        <v>567</v>
      </c>
      <c r="T81" s="157"/>
      <c r="U81" s="157"/>
      <c r="V81" s="564"/>
      <c r="W81" s="604" t="s">
        <v>291</v>
      </c>
      <c r="X81" s="55"/>
      <c r="Y81" s="55"/>
      <c r="Z81" s="55"/>
      <c r="AA81" s="563" t="s">
        <v>28</v>
      </c>
      <c r="AB81" s="563"/>
      <c r="AC81" s="563"/>
      <c r="AD81" s="563"/>
      <c r="AE81" s="155">
        <v>37</v>
      </c>
      <c r="AF81" s="157"/>
      <c r="AG81" s="567"/>
      <c r="AH81" s="568"/>
      <c r="AI81" s="569"/>
    </row>
    <row r="82" spans="1:38" ht="21.95" customHeight="1">
      <c r="B82" s="129" t="s">
        <v>326</v>
      </c>
      <c r="C82" s="834" t="s">
        <v>568</v>
      </c>
      <c r="D82" s="157"/>
      <c r="E82" s="157"/>
      <c r="F82" s="564"/>
      <c r="G82" s="157" t="s">
        <v>569</v>
      </c>
      <c r="H82" s="157"/>
      <c r="I82" s="157"/>
      <c r="J82" s="564"/>
      <c r="K82" s="835" t="s">
        <v>570</v>
      </c>
      <c r="L82" s="157"/>
      <c r="M82" s="157"/>
      <c r="N82" s="564"/>
      <c r="O82" s="835" t="s">
        <v>571</v>
      </c>
      <c r="P82" s="157"/>
      <c r="Q82" s="157"/>
      <c r="R82" s="564"/>
      <c r="S82" s="835" t="s">
        <v>571</v>
      </c>
      <c r="T82" s="157"/>
      <c r="U82" s="157"/>
      <c r="V82" s="564"/>
      <c r="W82" s="563"/>
      <c r="X82" s="157"/>
      <c r="Y82" s="157"/>
      <c r="Z82" s="564"/>
      <c r="AA82" s="563"/>
      <c r="AB82" s="157"/>
      <c r="AC82" s="157"/>
      <c r="AD82" s="565"/>
      <c r="AE82" s="566">
        <v>36</v>
      </c>
      <c r="AF82" s="567"/>
      <c r="AG82" s="157"/>
      <c r="AH82" s="565"/>
      <c r="AI82" s="490"/>
    </row>
    <row r="83" spans="1:38" ht="21.95" customHeight="1" thickBot="1">
      <c r="B83" s="47"/>
      <c r="C83" s="570"/>
      <c r="D83" s="53"/>
      <c r="E83" s="53"/>
      <c r="F83" s="571"/>
      <c r="G83" s="570"/>
      <c r="H83" s="53"/>
      <c r="I83" s="53"/>
      <c r="J83" s="571"/>
      <c r="K83" s="570"/>
      <c r="L83" s="53"/>
      <c r="M83" s="53"/>
      <c r="N83" s="571"/>
      <c r="O83" s="570"/>
      <c r="P83" s="53"/>
      <c r="Q83" s="53"/>
      <c r="R83" s="571"/>
      <c r="S83" s="570"/>
      <c r="T83" s="53"/>
      <c r="U83" s="53"/>
      <c r="V83" s="571"/>
      <c r="W83" s="53"/>
      <c r="X83" s="53"/>
      <c r="Y83" s="53"/>
      <c r="Z83" s="53"/>
      <c r="AA83" s="53"/>
      <c r="AB83" s="53"/>
      <c r="AC83" s="53"/>
      <c r="AD83" s="53"/>
      <c r="AE83" s="572"/>
      <c r="AF83" s="53"/>
      <c r="AG83" s="53"/>
      <c r="AH83" s="573"/>
      <c r="AI83" s="536"/>
    </row>
    <row r="84" spans="1:38" ht="21.95" customHeight="1" thickBot="1"/>
    <row r="85" spans="1:38" ht="21.95" customHeight="1" thickBot="1">
      <c r="A85" s="861"/>
      <c r="B85" s="862" t="s">
        <v>476</v>
      </c>
      <c r="C85" s="880">
        <v>1</v>
      </c>
      <c r="D85" s="863">
        <v>2</v>
      </c>
      <c r="E85" s="863">
        <v>3</v>
      </c>
      <c r="F85" s="863">
        <v>4</v>
      </c>
      <c r="G85" s="880">
        <v>5</v>
      </c>
      <c r="H85" s="863">
        <v>6</v>
      </c>
      <c r="I85" s="880">
        <v>7</v>
      </c>
      <c r="J85" s="880">
        <v>8</v>
      </c>
      <c r="K85" s="880">
        <v>9</v>
      </c>
      <c r="L85" s="863">
        <v>10</v>
      </c>
      <c r="M85" s="863">
        <v>11</v>
      </c>
      <c r="N85" s="863">
        <v>12</v>
      </c>
      <c r="O85" s="863">
        <v>13</v>
      </c>
      <c r="P85" s="880">
        <v>14</v>
      </c>
      <c r="Q85" s="880">
        <v>15</v>
      </c>
      <c r="R85" s="863">
        <v>16</v>
      </c>
      <c r="S85" s="863">
        <v>17</v>
      </c>
      <c r="T85" s="863">
        <v>18</v>
      </c>
      <c r="U85" s="863">
        <v>19</v>
      </c>
      <c r="V85" s="863">
        <v>20</v>
      </c>
      <c r="W85" s="880">
        <v>21</v>
      </c>
      <c r="X85" s="880">
        <v>22</v>
      </c>
      <c r="Y85" s="863">
        <v>23</v>
      </c>
      <c r="Z85" s="863">
        <v>24</v>
      </c>
      <c r="AA85" s="863">
        <v>25</v>
      </c>
      <c r="AB85" s="863">
        <v>26</v>
      </c>
      <c r="AC85" s="863">
        <v>27</v>
      </c>
      <c r="AD85" s="880">
        <v>28</v>
      </c>
      <c r="AE85" s="880">
        <v>29</v>
      </c>
      <c r="AF85" s="863">
        <v>30</v>
      </c>
      <c r="AG85" s="943"/>
      <c r="AH85" s="864" t="s">
        <v>477</v>
      </c>
      <c r="AI85" s="865" t="s">
        <v>478</v>
      </c>
    </row>
    <row r="86" spans="1:38" ht="21.95" customHeight="1">
      <c r="A86" s="870">
        <v>1</v>
      </c>
      <c r="B86" s="54" t="s">
        <v>572</v>
      </c>
      <c r="C86" s="1041"/>
      <c r="D86" s="1041" t="s">
        <v>573</v>
      </c>
      <c r="E86" s="1041" t="s">
        <v>573</v>
      </c>
      <c r="F86" s="1041" t="s">
        <v>573</v>
      </c>
      <c r="G86" s="1041" t="s">
        <v>573</v>
      </c>
      <c r="H86" s="1041" t="s">
        <v>573</v>
      </c>
      <c r="I86" s="1041"/>
      <c r="J86" s="1041"/>
      <c r="K86" s="1041" t="s">
        <v>554</v>
      </c>
      <c r="L86" s="1041" t="s">
        <v>554</v>
      </c>
      <c r="M86" s="1041" t="s">
        <v>554</v>
      </c>
      <c r="N86" s="1041" t="s">
        <v>553</v>
      </c>
      <c r="O86" s="1041" t="s">
        <v>553</v>
      </c>
      <c r="P86" s="1041"/>
      <c r="Q86" s="1041"/>
      <c r="R86" s="1041" t="s">
        <v>561</v>
      </c>
      <c r="S86" s="1041" t="s">
        <v>561</v>
      </c>
      <c r="T86" s="1041" t="s">
        <v>561</v>
      </c>
      <c r="U86" s="1041" t="s">
        <v>561</v>
      </c>
      <c r="V86" s="1041" t="s">
        <v>739</v>
      </c>
      <c r="W86" s="871"/>
      <c r="X86" s="871"/>
      <c r="Y86" s="871" t="s">
        <v>573</v>
      </c>
      <c r="Z86" s="871" t="s">
        <v>573</v>
      </c>
      <c r="AA86" s="871" t="s">
        <v>573</v>
      </c>
      <c r="AB86" s="871" t="s">
        <v>573</v>
      </c>
      <c r="AC86" s="871" t="s">
        <v>573</v>
      </c>
      <c r="AD86" s="871"/>
      <c r="AE86" s="871"/>
      <c r="AF86" s="871" t="s">
        <v>554</v>
      </c>
      <c r="AG86" s="871"/>
      <c r="AH86" s="510">
        <v>240.5</v>
      </c>
      <c r="AI86" s="511">
        <v>37</v>
      </c>
    </row>
    <row r="87" spans="1:38" ht="21.95" customHeight="1">
      <c r="A87" s="575">
        <v>2</v>
      </c>
      <c r="B87" s="853" t="s">
        <v>574</v>
      </c>
      <c r="C87" s="762"/>
      <c r="D87" s="762" t="s">
        <v>554</v>
      </c>
      <c r="E87" s="762" t="s">
        <v>554</v>
      </c>
      <c r="F87" s="762" t="s">
        <v>554</v>
      </c>
      <c r="G87" s="762" t="s">
        <v>553</v>
      </c>
      <c r="H87" s="762" t="s">
        <v>553</v>
      </c>
      <c r="I87" s="762"/>
      <c r="J87" s="762"/>
      <c r="K87" s="762" t="s">
        <v>561</v>
      </c>
      <c r="L87" s="1070" t="s">
        <v>561</v>
      </c>
      <c r="M87" s="1070" t="s">
        <v>561</v>
      </c>
      <c r="N87" s="1070" t="s">
        <v>561</v>
      </c>
      <c r="O87" s="1070" t="s">
        <v>561</v>
      </c>
      <c r="P87" s="1025" t="s">
        <v>519</v>
      </c>
      <c r="Q87" s="762"/>
      <c r="R87" s="768">
        <v>6</v>
      </c>
      <c r="S87" s="762" t="s">
        <v>573</v>
      </c>
      <c r="T87" s="762" t="s">
        <v>573</v>
      </c>
      <c r="U87" s="762" t="s">
        <v>573</v>
      </c>
      <c r="V87" s="762" t="s">
        <v>573</v>
      </c>
      <c r="W87" s="1025" t="s">
        <v>515</v>
      </c>
      <c r="X87" s="762" t="s">
        <v>28</v>
      </c>
      <c r="Y87" s="762" t="s">
        <v>554</v>
      </c>
      <c r="Z87" s="762" t="s">
        <v>554</v>
      </c>
      <c r="AA87" s="762" t="s">
        <v>554</v>
      </c>
      <c r="AB87" s="762" t="s">
        <v>553</v>
      </c>
      <c r="AC87" s="762" t="s">
        <v>553</v>
      </c>
      <c r="AD87" s="1025" t="s">
        <v>555</v>
      </c>
      <c r="AE87" s="762"/>
      <c r="AF87" s="1025" t="s">
        <v>561</v>
      </c>
      <c r="AG87" s="762"/>
      <c r="AH87" s="924">
        <v>254.75</v>
      </c>
      <c r="AI87" s="925">
        <v>37</v>
      </c>
    </row>
    <row r="88" spans="1:38" ht="21.95" customHeight="1" thickBot="1">
      <c r="A88" s="877">
        <v>3</v>
      </c>
      <c r="B88" s="878" t="s">
        <v>575</v>
      </c>
      <c r="C88" s="875"/>
      <c r="D88" s="990" t="s">
        <v>561</v>
      </c>
      <c r="E88" s="990" t="s">
        <v>561</v>
      </c>
      <c r="F88" s="990" t="s">
        <v>561</v>
      </c>
      <c r="G88" s="990" t="s">
        <v>561</v>
      </c>
      <c r="H88" s="990" t="s">
        <v>561</v>
      </c>
      <c r="I88" s="990"/>
      <c r="J88" s="990"/>
      <c r="K88" s="990" t="s">
        <v>573</v>
      </c>
      <c r="L88" s="990" t="s">
        <v>573</v>
      </c>
      <c r="M88" s="990" t="s">
        <v>573</v>
      </c>
      <c r="N88" s="990" t="s">
        <v>573</v>
      </c>
      <c r="O88" s="990" t="s">
        <v>573</v>
      </c>
      <c r="P88" s="990"/>
      <c r="Q88" s="990"/>
      <c r="R88" s="875" t="s">
        <v>554</v>
      </c>
      <c r="S88" s="875" t="s">
        <v>554</v>
      </c>
      <c r="T88" s="875" t="s">
        <v>554</v>
      </c>
      <c r="U88" s="875" t="s">
        <v>553</v>
      </c>
      <c r="V88" s="875" t="s">
        <v>553</v>
      </c>
      <c r="W88" s="875"/>
      <c r="X88" s="875"/>
      <c r="Y88" s="875" t="s">
        <v>561</v>
      </c>
      <c r="Z88" s="875" t="s">
        <v>561</v>
      </c>
      <c r="AA88" s="875" t="s">
        <v>561</v>
      </c>
      <c r="AB88" s="875" t="s">
        <v>561</v>
      </c>
      <c r="AC88" s="875" t="s">
        <v>561</v>
      </c>
      <c r="AD88" s="875"/>
      <c r="AE88" s="875"/>
      <c r="AF88" s="875" t="s">
        <v>573</v>
      </c>
      <c r="AG88" s="875"/>
      <c r="AH88" s="868">
        <v>128.69999999999999</v>
      </c>
      <c r="AI88" s="869">
        <v>37</v>
      </c>
    </row>
    <row r="89" spans="1:38" ht="21.95" customHeight="1">
      <c r="A89" s="576"/>
      <c r="B89" s="583"/>
      <c r="C89" s="583"/>
      <c r="D89" s="583"/>
      <c r="E89" s="583"/>
      <c r="F89" s="583"/>
      <c r="G89" s="583"/>
      <c r="H89" s="583"/>
      <c r="I89" s="555"/>
      <c r="J89" s="555"/>
      <c r="K89" s="555"/>
      <c r="L89" s="555"/>
      <c r="M89" s="555"/>
      <c r="N89" s="555"/>
      <c r="O89" s="555"/>
      <c r="P89" s="555"/>
      <c r="Q89" s="555"/>
      <c r="R89" s="555"/>
      <c r="S89" s="555"/>
      <c r="T89" s="555"/>
      <c r="U89" s="555"/>
      <c r="V89" s="555"/>
      <c r="W89" s="555"/>
      <c r="X89" s="555"/>
      <c r="Y89" s="555"/>
      <c r="Z89" s="555"/>
      <c r="AA89" s="555"/>
      <c r="AB89" s="555"/>
      <c r="AC89" s="555"/>
      <c r="AD89" s="555"/>
      <c r="AE89" s="555"/>
      <c r="AF89" s="555"/>
      <c r="AH89" s="556"/>
      <c r="AI89" s="556"/>
      <c r="AL89" t="s">
        <v>28</v>
      </c>
    </row>
    <row r="90" spans="1:38" ht="21.95" customHeight="1">
      <c r="A90" s="576"/>
      <c r="B90" s="583"/>
      <c r="C90" s="555"/>
      <c r="D90" s="555"/>
      <c r="E90" s="555"/>
      <c r="F90" s="555"/>
      <c r="G90" s="555"/>
      <c r="H90" s="555"/>
      <c r="I90" s="555"/>
      <c r="J90" s="555"/>
      <c r="K90" s="555"/>
      <c r="L90" s="555"/>
      <c r="M90" s="555"/>
      <c r="N90" s="555"/>
      <c r="O90" s="555"/>
      <c r="P90" s="555"/>
      <c r="Q90" s="555"/>
      <c r="R90" s="555"/>
      <c r="S90" s="555"/>
      <c r="T90" s="555"/>
      <c r="U90" s="555"/>
      <c r="V90" s="555"/>
      <c r="W90" s="555"/>
      <c r="X90" s="555"/>
      <c r="Y90" s="555"/>
      <c r="Z90" s="555"/>
      <c r="AA90" s="555"/>
      <c r="AB90" s="555"/>
      <c r="AC90" s="555"/>
      <c r="AD90" s="555"/>
      <c r="AE90" s="555"/>
      <c r="AF90" s="555"/>
      <c r="AG90" s="555"/>
      <c r="AH90" s="556"/>
      <c r="AI90" s="556"/>
    </row>
    <row r="91" spans="1:38" ht="21.95" customHeight="1" thickBot="1">
      <c r="A91" s="1" t="s">
        <v>576</v>
      </c>
      <c r="D91" s="361"/>
      <c r="E91" s="361"/>
      <c r="F91" s="361"/>
      <c r="G91" s="546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8" ht="21.95" customHeight="1">
      <c r="A92" s="1"/>
      <c r="B92" s="23" t="s">
        <v>577</v>
      </c>
      <c r="C92" s="7"/>
      <c r="D92" s="522" t="s">
        <v>2</v>
      </c>
      <c r="E92" s="51"/>
      <c r="F92" s="548"/>
      <c r="G92" s="7"/>
      <c r="H92" s="522" t="s">
        <v>3</v>
      </c>
      <c r="I92" s="51"/>
      <c r="J92" s="548"/>
      <c r="K92" s="7"/>
      <c r="L92" s="522" t="s">
        <v>4</v>
      </c>
      <c r="M92" s="51"/>
      <c r="N92" s="548"/>
      <c r="O92" s="7"/>
      <c r="P92" s="522" t="s">
        <v>5</v>
      </c>
      <c r="Q92" s="51"/>
      <c r="R92" s="548"/>
      <c r="S92" s="7"/>
      <c r="T92" s="522" t="s">
        <v>6</v>
      </c>
      <c r="U92" s="51"/>
      <c r="V92" s="548"/>
      <c r="W92" s="7"/>
      <c r="X92" s="522" t="s">
        <v>7</v>
      </c>
      <c r="Y92" s="51"/>
      <c r="Z92" s="548"/>
      <c r="AA92" s="7"/>
      <c r="AB92" s="522" t="s">
        <v>8</v>
      </c>
      <c r="AC92" s="51"/>
      <c r="AD92" s="51"/>
      <c r="AE92" s="425" t="s">
        <v>10</v>
      </c>
      <c r="AF92" s="51"/>
      <c r="AG92" s="51"/>
      <c r="AH92" s="51"/>
      <c r="AI92" s="523"/>
    </row>
    <row r="93" spans="1:38" ht="21.95" customHeight="1">
      <c r="A93" s="1"/>
      <c r="B93" s="129" t="s">
        <v>324</v>
      </c>
      <c r="C93" s="121" t="s">
        <v>578</v>
      </c>
      <c r="D93" s="157"/>
      <c r="E93" s="157"/>
      <c r="F93" s="564"/>
      <c r="G93" s="121" t="s">
        <v>578</v>
      </c>
      <c r="H93" s="157"/>
      <c r="I93" s="157"/>
      <c r="J93" s="564"/>
      <c r="K93" s="121" t="s">
        <v>578</v>
      </c>
      <c r="L93" s="157"/>
      <c r="M93" s="157"/>
      <c r="N93" s="564"/>
      <c r="O93" s="121" t="s">
        <v>579</v>
      </c>
      <c r="P93" s="157"/>
      <c r="Q93" s="157"/>
      <c r="R93" s="564"/>
      <c r="S93" s="121" t="s">
        <v>167</v>
      </c>
      <c r="T93" s="157"/>
      <c r="U93" s="157"/>
      <c r="V93" s="564"/>
      <c r="W93" s="795"/>
      <c r="X93" s="577"/>
      <c r="Y93" s="577"/>
      <c r="Z93" s="578"/>
      <c r="AA93" s="563"/>
      <c r="AB93" s="157"/>
      <c r="AC93" s="157"/>
      <c r="AD93" s="565"/>
      <c r="AE93" s="128">
        <v>27</v>
      </c>
      <c r="AF93" s="157"/>
      <c r="AG93" s="157" t="s">
        <v>28</v>
      </c>
      <c r="AH93" s="565"/>
      <c r="AI93" s="490"/>
    </row>
    <row r="94" spans="1:38" ht="21.95" customHeight="1">
      <c r="A94" s="1"/>
      <c r="B94" s="129" t="s">
        <v>325</v>
      </c>
      <c r="C94" s="121" t="s">
        <v>580</v>
      </c>
      <c r="D94" s="157"/>
      <c r="E94" s="157"/>
      <c r="F94" s="564"/>
      <c r="G94" s="121" t="s">
        <v>580</v>
      </c>
      <c r="H94" s="157"/>
      <c r="I94" s="157"/>
      <c r="J94" s="564"/>
      <c r="K94" s="121" t="s">
        <v>580</v>
      </c>
      <c r="L94" s="157"/>
      <c r="M94" s="157"/>
      <c r="N94" s="564"/>
      <c r="O94" s="121" t="s">
        <v>580</v>
      </c>
      <c r="P94" s="157"/>
      <c r="Q94" s="157"/>
      <c r="R94" s="564"/>
      <c r="S94" s="121" t="s">
        <v>578</v>
      </c>
      <c r="T94" s="157"/>
      <c r="U94" s="157"/>
      <c r="V94" s="564"/>
      <c r="W94" s="121"/>
      <c r="X94" s="157"/>
      <c r="Y94" s="157"/>
      <c r="Z94" s="564"/>
      <c r="AA94" s="157"/>
      <c r="AB94" s="157"/>
      <c r="AC94" s="157"/>
      <c r="AD94" s="565"/>
      <c r="AE94" s="128">
        <v>39</v>
      </c>
      <c r="AF94" s="157"/>
      <c r="AG94" s="157"/>
      <c r="AH94" s="565"/>
      <c r="AI94" s="490"/>
    </row>
    <row r="95" spans="1:38" ht="21.95" customHeight="1">
      <c r="A95" s="1"/>
      <c r="B95" s="129" t="s">
        <v>326</v>
      </c>
      <c r="C95" s="121" t="s">
        <v>580</v>
      </c>
      <c r="D95" s="157"/>
      <c r="E95" s="157"/>
      <c r="F95" s="564"/>
      <c r="G95" s="121" t="s">
        <v>580</v>
      </c>
      <c r="H95" s="157"/>
      <c r="I95" s="157"/>
      <c r="J95" s="564"/>
      <c r="K95" s="121" t="s">
        <v>580</v>
      </c>
      <c r="L95" s="157"/>
      <c r="M95" s="157"/>
      <c r="N95" s="564"/>
      <c r="O95" s="121" t="s">
        <v>580</v>
      </c>
      <c r="P95" s="157"/>
      <c r="Q95" s="157"/>
      <c r="R95" s="564"/>
      <c r="S95" s="121" t="s">
        <v>580</v>
      </c>
      <c r="T95" s="157"/>
      <c r="U95" s="157"/>
      <c r="V95" s="564"/>
      <c r="W95" s="584" t="s">
        <v>581</v>
      </c>
      <c r="X95" s="135"/>
      <c r="Y95" s="135"/>
      <c r="Z95" s="580"/>
      <c r="AA95" s="579"/>
      <c r="AB95" s="135"/>
      <c r="AC95" s="135"/>
      <c r="AD95" s="581"/>
      <c r="AE95" s="128">
        <v>45</v>
      </c>
      <c r="AF95" s="157"/>
      <c r="AG95" s="157"/>
      <c r="AH95" s="565"/>
      <c r="AI95" s="490"/>
    </row>
    <row r="96" spans="1:38" ht="21.95" customHeight="1" thickBot="1">
      <c r="A96" s="1"/>
      <c r="B96" s="16" t="s">
        <v>236</v>
      </c>
      <c r="C96" s="57"/>
      <c r="D96" s="53"/>
      <c r="E96" s="53"/>
      <c r="F96" s="571"/>
      <c r="G96" s="57"/>
      <c r="H96" s="53"/>
      <c r="I96" s="53"/>
      <c r="J96" s="571"/>
      <c r="K96" s="57"/>
      <c r="L96" s="53"/>
      <c r="M96" s="53"/>
      <c r="N96" s="571"/>
      <c r="O96" s="57"/>
      <c r="P96" s="53"/>
      <c r="Q96" s="53"/>
      <c r="R96" s="571"/>
      <c r="S96" s="57"/>
      <c r="T96" s="53"/>
      <c r="U96" s="53"/>
      <c r="V96" s="573"/>
      <c r="W96" s="57"/>
      <c r="X96" s="573"/>
      <c r="Y96" s="53"/>
      <c r="Z96" s="571"/>
      <c r="AA96" s="57"/>
      <c r="AB96" s="573"/>
      <c r="AC96" s="53"/>
      <c r="AD96" s="571"/>
      <c r="AE96" s="582"/>
      <c r="AF96" s="53"/>
      <c r="AG96" s="53"/>
      <c r="AH96" s="573"/>
      <c r="AI96" s="536"/>
    </row>
    <row r="97" spans="1:35" ht="21.95" customHeight="1" thickBot="1">
      <c r="A97" s="574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 thickBot="1">
      <c r="A98" s="861"/>
      <c r="B98" s="862" t="s">
        <v>476</v>
      </c>
      <c r="C98" s="880">
        <v>1</v>
      </c>
      <c r="D98" s="863">
        <v>2</v>
      </c>
      <c r="E98" s="863">
        <v>3</v>
      </c>
      <c r="F98" s="863">
        <v>4</v>
      </c>
      <c r="G98" s="880">
        <v>5</v>
      </c>
      <c r="H98" s="863">
        <v>6</v>
      </c>
      <c r="I98" s="880">
        <v>7</v>
      </c>
      <c r="J98" s="880">
        <v>8</v>
      </c>
      <c r="K98" s="880">
        <v>9</v>
      </c>
      <c r="L98" s="863">
        <v>10</v>
      </c>
      <c r="M98" s="863">
        <v>11</v>
      </c>
      <c r="N98" s="863">
        <v>12</v>
      </c>
      <c r="O98" s="863">
        <v>13</v>
      </c>
      <c r="P98" s="880">
        <v>14</v>
      </c>
      <c r="Q98" s="880">
        <v>15</v>
      </c>
      <c r="R98" s="863">
        <v>16</v>
      </c>
      <c r="S98" s="863">
        <v>17</v>
      </c>
      <c r="T98" s="863">
        <v>18</v>
      </c>
      <c r="U98" s="863">
        <v>19</v>
      </c>
      <c r="V98" s="863">
        <v>20</v>
      </c>
      <c r="W98" s="880">
        <v>21</v>
      </c>
      <c r="X98" s="880">
        <v>22</v>
      </c>
      <c r="Y98" s="863">
        <v>23</v>
      </c>
      <c r="Z98" s="863">
        <v>24</v>
      </c>
      <c r="AA98" s="863">
        <v>25</v>
      </c>
      <c r="AB98" s="863">
        <v>26</v>
      </c>
      <c r="AC98" s="863">
        <v>27</v>
      </c>
      <c r="AD98" s="880">
        <v>28</v>
      </c>
      <c r="AE98" s="880">
        <v>29</v>
      </c>
      <c r="AF98" s="863">
        <v>30</v>
      </c>
      <c r="AG98" s="863"/>
      <c r="AH98" s="864" t="s">
        <v>477</v>
      </c>
      <c r="AI98" s="865" t="s">
        <v>478</v>
      </c>
    </row>
    <row r="99" spans="1:35" ht="21.95" customHeight="1">
      <c r="A99" s="870">
        <v>1</v>
      </c>
      <c r="B99" s="879" t="s">
        <v>582</v>
      </c>
      <c r="C99" s="764"/>
      <c r="D99" s="983" t="s">
        <v>586</v>
      </c>
      <c r="E99" s="983" t="s">
        <v>586</v>
      </c>
      <c r="F99" s="764" t="s">
        <v>585</v>
      </c>
      <c r="G99" s="764" t="s">
        <v>585</v>
      </c>
      <c r="H99" s="764" t="s">
        <v>585</v>
      </c>
      <c r="I99" s="764"/>
      <c r="J99" s="764"/>
      <c r="K99" s="764" t="s">
        <v>583</v>
      </c>
      <c r="L99" s="983" t="s">
        <v>586</v>
      </c>
      <c r="M99" s="764" t="s">
        <v>583</v>
      </c>
      <c r="N99" s="764" t="s">
        <v>583</v>
      </c>
      <c r="O99" s="764" t="s">
        <v>583</v>
      </c>
      <c r="P99" s="764" t="s">
        <v>583</v>
      </c>
      <c r="Q99" s="764"/>
      <c r="R99" s="764" t="s">
        <v>584</v>
      </c>
      <c r="S99" s="764" t="s">
        <v>584</v>
      </c>
      <c r="T99" s="983" t="s">
        <v>586</v>
      </c>
      <c r="U99" s="983" t="s">
        <v>586</v>
      </c>
      <c r="V99" s="764" t="s">
        <v>481</v>
      </c>
      <c r="W99" s="764"/>
      <c r="X99" s="764"/>
      <c r="Y99" s="764" t="s">
        <v>585</v>
      </c>
      <c r="Z99" s="764" t="s">
        <v>585</v>
      </c>
      <c r="AA99" s="764" t="s">
        <v>585</v>
      </c>
      <c r="AB99" s="764" t="s">
        <v>585</v>
      </c>
      <c r="AC99" s="965" t="s">
        <v>585</v>
      </c>
      <c r="AD99" s="764"/>
      <c r="AE99" s="764"/>
      <c r="AF99" s="972" t="s">
        <v>583</v>
      </c>
      <c r="AG99" s="764"/>
      <c r="AH99" s="510">
        <v>177</v>
      </c>
      <c r="AI99" s="511">
        <v>37</v>
      </c>
    </row>
    <row r="100" spans="1:35" ht="21.95" customHeight="1">
      <c r="A100" s="575">
        <v>2</v>
      </c>
      <c r="B100" s="857" t="s">
        <v>587</v>
      </c>
      <c r="C100" s="768"/>
      <c r="D100" s="970" t="s">
        <v>583</v>
      </c>
      <c r="E100" s="970" t="s">
        <v>583</v>
      </c>
      <c r="F100" s="970" t="s">
        <v>583</v>
      </c>
      <c r="G100" s="970" t="s">
        <v>583</v>
      </c>
      <c r="H100" s="970" t="s">
        <v>583</v>
      </c>
      <c r="I100" s="970" t="s">
        <v>583</v>
      </c>
      <c r="J100" s="768"/>
      <c r="K100" s="768" t="s">
        <v>584</v>
      </c>
      <c r="L100" s="768" t="s">
        <v>584</v>
      </c>
      <c r="M100" s="768" t="s">
        <v>584</v>
      </c>
      <c r="N100" s="768" t="s">
        <v>584</v>
      </c>
      <c r="O100" s="768" t="s">
        <v>481</v>
      </c>
      <c r="P100" s="768"/>
      <c r="Q100" s="768"/>
      <c r="R100" s="768" t="s">
        <v>585</v>
      </c>
      <c r="S100" s="768" t="s">
        <v>585</v>
      </c>
      <c r="T100" s="768" t="s">
        <v>585</v>
      </c>
      <c r="U100" s="768" t="s">
        <v>585</v>
      </c>
      <c r="V100" s="768" t="s">
        <v>585</v>
      </c>
      <c r="W100" s="768"/>
      <c r="X100" s="1044" t="s">
        <v>515</v>
      </c>
      <c r="Y100" s="768" t="s">
        <v>583</v>
      </c>
      <c r="Z100" s="768" t="s">
        <v>583</v>
      </c>
      <c r="AA100" s="768" t="s">
        <v>583</v>
      </c>
      <c r="AB100" s="768" t="s">
        <v>583</v>
      </c>
      <c r="AC100" s="768" t="s">
        <v>583</v>
      </c>
      <c r="AD100" s="768" t="s">
        <v>583</v>
      </c>
      <c r="AE100" s="768"/>
      <c r="AF100" s="768" t="s">
        <v>584</v>
      </c>
      <c r="AG100" s="768"/>
      <c r="AH100" s="924">
        <v>148</v>
      </c>
      <c r="AI100" s="925">
        <v>37</v>
      </c>
    </row>
    <row r="101" spans="1:35" ht="21.95" customHeight="1">
      <c r="A101" s="575">
        <v>3</v>
      </c>
      <c r="B101" s="857" t="s">
        <v>289</v>
      </c>
      <c r="C101" s="768"/>
      <c r="D101" s="768" t="s">
        <v>584</v>
      </c>
      <c r="E101" s="768" t="s">
        <v>584</v>
      </c>
      <c r="F101" s="768" t="s">
        <v>584</v>
      </c>
      <c r="G101" s="768" t="s">
        <v>584</v>
      </c>
      <c r="H101" s="768" t="s">
        <v>481</v>
      </c>
      <c r="I101" s="768"/>
      <c r="J101" s="768"/>
      <c r="K101" s="768" t="s">
        <v>585</v>
      </c>
      <c r="L101" s="768" t="s">
        <v>585</v>
      </c>
      <c r="M101" s="768" t="s">
        <v>585</v>
      </c>
      <c r="N101" s="768" t="s">
        <v>585</v>
      </c>
      <c r="O101" s="768" t="s">
        <v>585</v>
      </c>
      <c r="P101" s="768"/>
      <c r="Q101" s="768"/>
      <c r="R101" s="768" t="s">
        <v>583</v>
      </c>
      <c r="S101" s="768" t="s">
        <v>583</v>
      </c>
      <c r="T101" s="768" t="s">
        <v>583</v>
      </c>
      <c r="U101" s="768" t="s">
        <v>583</v>
      </c>
      <c r="V101" s="768" t="s">
        <v>583</v>
      </c>
      <c r="W101" s="768" t="s">
        <v>583</v>
      </c>
      <c r="X101" s="768"/>
      <c r="Y101" s="768" t="s">
        <v>584</v>
      </c>
      <c r="Z101" s="768" t="s">
        <v>584</v>
      </c>
      <c r="AA101" s="768" t="s">
        <v>584</v>
      </c>
      <c r="AB101" s="768" t="s">
        <v>584</v>
      </c>
      <c r="AC101" s="768" t="s">
        <v>481</v>
      </c>
      <c r="AD101" s="768"/>
      <c r="AE101" s="768"/>
      <c r="AF101" s="1038" t="s">
        <v>585</v>
      </c>
      <c r="AG101" s="768"/>
      <c r="AH101" s="924">
        <v>222</v>
      </c>
      <c r="AI101" s="925">
        <v>37</v>
      </c>
    </row>
    <row r="102" spans="1:35" ht="21.95" customHeight="1">
      <c r="A102" s="575">
        <v>4</v>
      </c>
      <c r="B102" s="857"/>
      <c r="C102" s="768"/>
      <c r="D102" s="762"/>
      <c r="E102" s="768"/>
      <c r="F102" s="768"/>
      <c r="G102" s="768"/>
      <c r="H102" s="768"/>
      <c r="I102" s="768"/>
      <c r="J102" s="762"/>
      <c r="K102" s="762"/>
      <c r="L102" s="768"/>
      <c r="M102" s="768"/>
      <c r="N102" s="768"/>
      <c r="O102" s="768"/>
      <c r="P102" s="768"/>
      <c r="Q102" s="762"/>
      <c r="R102" s="762"/>
      <c r="S102" s="762"/>
      <c r="T102" s="762"/>
      <c r="U102" s="762"/>
      <c r="V102" s="762"/>
      <c r="W102" s="762"/>
      <c r="X102" s="768"/>
      <c r="Y102" s="762"/>
      <c r="Z102" s="768"/>
      <c r="AA102" s="768"/>
      <c r="AB102" s="768"/>
      <c r="AC102" s="768"/>
      <c r="AD102" s="768"/>
      <c r="AE102" s="768"/>
      <c r="AF102" s="762"/>
      <c r="AG102" s="768"/>
      <c r="AH102" s="924">
        <v>185</v>
      </c>
      <c r="AI102" s="925">
        <v>37</v>
      </c>
    </row>
    <row r="103" spans="1:35" ht="21.95" customHeight="1">
      <c r="A103" s="576"/>
      <c r="B103" s="583"/>
      <c r="C103" s="555"/>
      <c r="D103" s="538"/>
      <c r="E103" s="538"/>
      <c r="F103" s="538"/>
      <c r="G103" s="538"/>
      <c r="H103" s="538"/>
      <c r="I103" s="555"/>
      <c r="J103" s="555"/>
      <c r="K103" s="538"/>
      <c r="L103" s="538"/>
      <c r="M103" s="538"/>
      <c r="N103" s="538"/>
      <c r="O103" s="538"/>
      <c r="P103" s="538"/>
      <c r="Q103" s="555"/>
      <c r="R103" s="538"/>
      <c r="S103" s="817"/>
      <c r="T103" s="817"/>
      <c r="U103" s="817"/>
      <c r="V103" s="817"/>
      <c r="W103" s="555"/>
      <c r="X103" s="555"/>
      <c r="Y103" s="538"/>
      <c r="Z103" s="538"/>
      <c r="AA103" s="538"/>
      <c r="AB103" s="538"/>
      <c r="AC103" s="538"/>
      <c r="AD103" s="538"/>
      <c r="AE103" s="555"/>
      <c r="AF103" s="538"/>
      <c r="AG103" s="538"/>
      <c r="AH103" s="556"/>
      <c r="AI103" s="556"/>
    </row>
    <row r="104" spans="1:35" ht="21.95" customHeight="1" thickBot="1">
      <c r="A104" s="805" t="s">
        <v>588</v>
      </c>
      <c r="B104" s="538"/>
      <c r="C104" s="555"/>
      <c r="D104" s="538"/>
      <c r="E104" s="538"/>
      <c r="F104" s="538"/>
      <c r="G104" s="538"/>
      <c r="H104" s="538"/>
      <c r="I104" s="555"/>
      <c r="J104" s="555"/>
      <c r="K104" s="538"/>
      <c r="L104" s="538"/>
      <c r="M104" s="538"/>
      <c r="N104" s="538"/>
      <c r="O104" s="538"/>
      <c r="P104" s="538"/>
      <c r="Q104" s="555"/>
      <c r="R104" s="538"/>
      <c r="S104" s="538"/>
      <c r="T104" s="538"/>
      <c r="U104" s="538"/>
      <c r="V104" s="538"/>
      <c r="W104" s="555"/>
      <c r="X104" s="555"/>
      <c r="Y104" s="538"/>
      <c r="Z104" s="538"/>
      <c r="AA104" s="538"/>
      <c r="AB104" s="538"/>
      <c r="AC104" s="538"/>
      <c r="AD104" s="538"/>
      <c r="AE104" s="555"/>
      <c r="AF104" s="538"/>
      <c r="AG104" s="538"/>
      <c r="AH104" s="556"/>
      <c r="AI104" s="556"/>
    </row>
    <row r="105" spans="1:35" ht="21.95" customHeight="1">
      <c r="A105" s="576"/>
      <c r="B105" s="806" t="s">
        <v>589</v>
      </c>
      <c r="C105" s="814"/>
      <c r="D105" s="807" t="s">
        <v>2</v>
      </c>
      <c r="E105" s="808"/>
      <c r="F105" s="809"/>
      <c r="G105" s="810"/>
      <c r="H105" s="807" t="s">
        <v>3</v>
      </c>
      <c r="I105" s="808"/>
      <c r="J105" s="809"/>
      <c r="K105" s="810"/>
      <c r="L105" s="807" t="s">
        <v>4</v>
      </c>
      <c r="M105" s="808"/>
      <c r="N105" s="809"/>
      <c r="O105" s="810"/>
      <c r="P105" s="807" t="s">
        <v>5</v>
      </c>
      <c r="Q105" s="808"/>
      <c r="R105" s="809"/>
      <c r="S105" s="810"/>
      <c r="T105" s="807" t="s">
        <v>6</v>
      </c>
      <c r="U105" s="808"/>
      <c r="V105" s="809"/>
      <c r="W105" s="810"/>
      <c r="X105" s="807" t="s">
        <v>7</v>
      </c>
      <c r="Y105" s="808"/>
      <c r="Z105" s="809"/>
      <c r="AA105" s="810"/>
      <c r="AB105" s="807" t="s">
        <v>8</v>
      </c>
      <c r="AC105" s="808"/>
      <c r="AD105" s="808"/>
      <c r="AE105" s="811" t="s">
        <v>10</v>
      </c>
      <c r="AF105" s="808"/>
      <c r="AG105" s="808"/>
      <c r="AH105" s="808"/>
      <c r="AI105" s="812"/>
    </row>
    <row r="106" spans="1:35" ht="21.95" customHeight="1">
      <c r="A106" s="576"/>
      <c r="B106" s="832" t="s">
        <v>590</v>
      </c>
      <c r="C106" s="815" t="s">
        <v>591</v>
      </c>
      <c r="D106" s="831" t="s">
        <v>592</v>
      </c>
      <c r="E106" s="816"/>
      <c r="F106" s="813"/>
      <c r="G106" s="815"/>
      <c r="H106" s="831" t="s">
        <v>592</v>
      </c>
      <c r="I106" s="816"/>
      <c r="J106" s="813"/>
      <c r="K106" s="815"/>
      <c r="L106" s="831" t="s">
        <v>592</v>
      </c>
      <c r="M106" s="816"/>
      <c r="N106" s="813"/>
      <c r="O106" s="815"/>
      <c r="P106" s="831" t="s">
        <v>593</v>
      </c>
      <c r="Q106" s="816"/>
      <c r="R106" s="813"/>
      <c r="S106" s="815"/>
      <c r="T106" s="831" t="s">
        <v>594</v>
      </c>
      <c r="U106" s="816"/>
      <c r="V106" s="813"/>
      <c r="W106" s="815"/>
      <c r="X106" s="816"/>
      <c r="Y106" s="816"/>
      <c r="Z106" s="813"/>
      <c r="AA106" s="815"/>
      <c r="AB106" s="816"/>
      <c r="AC106" s="816"/>
      <c r="AD106" s="816"/>
      <c r="AE106" s="815"/>
      <c r="AF106" s="816"/>
      <c r="AG106" s="816"/>
      <c r="AH106" s="818"/>
      <c r="AI106" s="819"/>
    </row>
    <row r="107" spans="1:35" ht="21.95" customHeight="1">
      <c r="A107" s="576"/>
      <c r="B107" s="833" t="s">
        <v>595</v>
      </c>
      <c r="C107" s="815" t="s">
        <v>596</v>
      </c>
      <c r="D107" s="831" t="s">
        <v>592</v>
      </c>
      <c r="E107" s="816"/>
      <c r="F107" s="813"/>
      <c r="G107" s="815"/>
      <c r="H107" s="831" t="s">
        <v>592</v>
      </c>
      <c r="I107" s="816"/>
      <c r="J107" s="813"/>
      <c r="K107" s="815"/>
      <c r="L107" s="831" t="s">
        <v>592</v>
      </c>
      <c r="M107" s="816"/>
      <c r="N107" s="813"/>
      <c r="O107" s="815"/>
      <c r="P107" s="831" t="s">
        <v>593</v>
      </c>
      <c r="Q107" s="816"/>
      <c r="R107" s="813"/>
      <c r="S107" s="815"/>
      <c r="T107" s="831" t="s">
        <v>594</v>
      </c>
      <c r="U107" s="816"/>
      <c r="V107" s="813"/>
      <c r="W107" s="815"/>
      <c r="X107" s="816"/>
      <c r="Y107" s="816"/>
      <c r="Z107" s="813"/>
      <c r="AA107" s="815"/>
      <c r="AB107" s="816"/>
      <c r="AC107" s="816"/>
      <c r="AD107" s="816"/>
      <c r="AE107" s="815"/>
      <c r="AF107" s="816"/>
      <c r="AG107" s="816"/>
      <c r="AH107" s="818"/>
      <c r="AI107" s="819"/>
    </row>
    <row r="108" spans="1:35" ht="21.95" customHeight="1">
      <c r="A108" s="576"/>
      <c r="B108" s="833" t="s">
        <v>597</v>
      </c>
      <c r="C108" s="815" t="s">
        <v>598</v>
      </c>
      <c r="D108" s="831" t="s">
        <v>592</v>
      </c>
      <c r="E108" s="816"/>
      <c r="F108" s="813"/>
      <c r="G108" s="815"/>
      <c r="H108" s="831" t="s">
        <v>592</v>
      </c>
      <c r="I108" s="816"/>
      <c r="J108" s="813"/>
      <c r="K108" s="815"/>
      <c r="L108" s="831" t="s">
        <v>592</v>
      </c>
      <c r="M108" s="816"/>
      <c r="N108" s="813"/>
      <c r="O108" s="815"/>
      <c r="P108" s="831" t="s">
        <v>593</v>
      </c>
      <c r="Q108" s="816"/>
      <c r="R108" s="813"/>
      <c r="S108" s="815"/>
      <c r="T108" s="831" t="s">
        <v>594</v>
      </c>
      <c r="U108" s="816"/>
      <c r="V108" s="813"/>
      <c r="W108" s="815"/>
      <c r="X108" s="816"/>
      <c r="Y108" s="816"/>
      <c r="Z108" s="813"/>
      <c r="AA108" s="815"/>
      <c r="AB108" s="816"/>
      <c r="AC108" s="816"/>
      <c r="AD108" s="816"/>
      <c r="AE108" s="815"/>
      <c r="AF108" s="816"/>
      <c r="AG108" s="816"/>
      <c r="AH108" s="818"/>
      <c r="AI108" s="819"/>
    </row>
    <row r="109" spans="1:35" ht="21.95" customHeight="1">
      <c r="A109" s="576"/>
      <c r="B109" s="833" t="s">
        <v>599</v>
      </c>
      <c r="C109" s="815" t="s">
        <v>600</v>
      </c>
      <c r="D109" s="831" t="s">
        <v>592</v>
      </c>
      <c r="E109" s="816"/>
      <c r="F109" s="813"/>
      <c r="G109" s="815"/>
      <c r="H109" s="831" t="s">
        <v>592</v>
      </c>
      <c r="I109" s="816"/>
      <c r="J109" s="813"/>
      <c r="K109" s="815"/>
      <c r="L109" s="831" t="s">
        <v>592</v>
      </c>
      <c r="M109" s="816"/>
      <c r="N109" s="813"/>
      <c r="O109" s="815"/>
      <c r="P109" s="831" t="s">
        <v>593</v>
      </c>
      <c r="Q109" s="816"/>
      <c r="R109" s="813"/>
      <c r="S109" s="815"/>
      <c r="T109" s="831" t="s">
        <v>594</v>
      </c>
      <c r="U109" s="816"/>
      <c r="V109" s="813"/>
      <c r="W109" s="815"/>
      <c r="X109" s="816"/>
      <c r="Y109" s="816"/>
      <c r="Z109" s="813"/>
      <c r="AA109" s="815"/>
      <c r="AB109" s="816"/>
      <c r="AC109" s="816"/>
      <c r="AD109" s="816"/>
      <c r="AE109" s="815"/>
      <c r="AF109" s="816"/>
      <c r="AG109" s="816"/>
      <c r="AH109" s="818"/>
      <c r="AI109" s="819"/>
    </row>
    <row r="110" spans="1:35" ht="21.95" customHeight="1">
      <c r="A110" s="576"/>
      <c r="B110" s="833" t="s">
        <v>601</v>
      </c>
      <c r="C110" s="815" t="s">
        <v>602</v>
      </c>
      <c r="D110" s="831" t="s">
        <v>592</v>
      </c>
      <c r="E110" s="816"/>
      <c r="F110" s="813"/>
      <c r="G110" s="815"/>
      <c r="H110" s="831" t="s">
        <v>592</v>
      </c>
      <c r="I110" s="816"/>
      <c r="J110" s="813"/>
      <c r="K110" s="815"/>
      <c r="L110" s="831" t="s">
        <v>592</v>
      </c>
      <c r="M110" s="816"/>
      <c r="N110" s="813"/>
      <c r="O110" s="815"/>
      <c r="P110" s="831" t="s">
        <v>593</v>
      </c>
      <c r="Q110" s="816"/>
      <c r="R110" s="813"/>
      <c r="S110" s="815"/>
      <c r="T110" s="831" t="s">
        <v>594</v>
      </c>
      <c r="U110" s="816"/>
      <c r="V110" s="813"/>
      <c r="W110" s="815"/>
      <c r="X110" s="816"/>
      <c r="Y110" s="816"/>
      <c r="Z110" s="813"/>
      <c r="AA110" s="815"/>
      <c r="AB110" s="816"/>
      <c r="AC110" s="816"/>
      <c r="AD110" s="816"/>
      <c r="AE110" s="815"/>
      <c r="AF110" s="816"/>
      <c r="AG110" s="816"/>
      <c r="AH110" s="818"/>
      <c r="AI110" s="819"/>
    </row>
    <row r="111" spans="1:35" ht="21.95" customHeight="1">
      <c r="A111" s="576"/>
      <c r="B111" s="833" t="s">
        <v>603</v>
      </c>
      <c r="C111" s="815" t="s">
        <v>604</v>
      </c>
      <c r="D111" s="831" t="s">
        <v>592</v>
      </c>
      <c r="E111" s="816"/>
      <c r="F111" s="813"/>
      <c r="G111" s="815"/>
      <c r="H111" s="831" t="s">
        <v>592</v>
      </c>
      <c r="I111" s="816"/>
      <c r="J111" s="813"/>
      <c r="K111" s="815"/>
      <c r="L111" s="831" t="s">
        <v>592</v>
      </c>
      <c r="M111" s="816"/>
      <c r="N111" s="813"/>
      <c r="O111" s="815"/>
      <c r="P111" s="831" t="s">
        <v>593</v>
      </c>
      <c r="Q111" s="816"/>
      <c r="R111" s="813"/>
      <c r="S111" s="815"/>
      <c r="T111" s="831" t="s">
        <v>594</v>
      </c>
      <c r="U111" s="816"/>
      <c r="V111" s="813"/>
      <c r="W111" s="815"/>
      <c r="X111" s="816"/>
      <c r="Y111" s="816"/>
      <c r="Z111" s="813"/>
      <c r="AA111" s="815"/>
      <c r="AB111" s="816"/>
      <c r="AC111" s="816"/>
      <c r="AD111" s="816"/>
      <c r="AE111" s="815"/>
      <c r="AF111" s="816"/>
      <c r="AG111" s="816"/>
      <c r="AH111" s="818"/>
      <c r="AI111" s="819"/>
    </row>
    <row r="112" spans="1:35" ht="21.95" customHeight="1">
      <c r="A112" s="576"/>
      <c r="B112" s="833" t="s">
        <v>605</v>
      </c>
      <c r="C112" s="815" t="s">
        <v>606</v>
      </c>
      <c r="D112" s="831" t="s">
        <v>592</v>
      </c>
      <c r="E112" s="816"/>
      <c r="F112" s="813"/>
      <c r="G112" s="815"/>
      <c r="H112" s="831" t="s">
        <v>592</v>
      </c>
      <c r="I112" s="816"/>
      <c r="J112" s="813"/>
      <c r="K112" s="815"/>
      <c r="L112" s="831" t="s">
        <v>592</v>
      </c>
      <c r="M112" s="816"/>
      <c r="N112" s="813"/>
      <c r="O112" s="815"/>
      <c r="P112" s="831" t="s">
        <v>593</v>
      </c>
      <c r="Q112" s="816"/>
      <c r="R112" s="813"/>
      <c r="S112" s="815"/>
      <c r="T112" s="831" t="s">
        <v>594</v>
      </c>
      <c r="U112" s="816"/>
      <c r="V112" s="813"/>
      <c r="W112" s="815"/>
      <c r="X112" s="816"/>
      <c r="Y112" s="816"/>
      <c r="Z112" s="813"/>
      <c r="AA112" s="815"/>
      <c r="AB112" s="816"/>
      <c r="AC112" s="816"/>
      <c r="AD112" s="816"/>
      <c r="AE112" s="815"/>
      <c r="AF112" s="816"/>
      <c r="AG112" s="816"/>
      <c r="AH112" s="818"/>
      <c r="AI112" s="819"/>
    </row>
    <row r="113" spans="1:35" ht="21.95" customHeight="1">
      <c r="A113" s="576"/>
      <c r="B113" s="833" t="s">
        <v>605</v>
      </c>
      <c r="C113" s="815" t="s">
        <v>607</v>
      </c>
      <c r="D113" s="831" t="s">
        <v>592</v>
      </c>
      <c r="E113" s="816"/>
      <c r="F113" s="813"/>
      <c r="G113" s="815"/>
      <c r="H113" s="831" t="s">
        <v>592</v>
      </c>
      <c r="I113" s="816"/>
      <c r="J113" s="813"/>
      <c r="K113" s="815"/>
      <c r="L113" s="831" t="s">
        <v>592</v>
      </c>
      <c r="M113" s="816"/>
      <c r="N113" s="813"/>
      <c r="O113" s="815"/>
      <c r="P113" s="831" t="s">
        <v>593</v>
      </c>
      <c r="Q113" s="816"/>
      <c r="R113" s="813"/>
      <c r="S113" s="815"/>
      <c r="T113" s="831" t="s">
        <v>594</v>
      </c>
      <c r="U113" s="816"/>
      <c r="V113" s="813"/>
      <c r="W113" s="815"/>
      <c r="X113" s="816"/>
      <c r="Y113" s="816"/>
      <c r="Z113" s="813"/>
      <c r="AA113" s="815"/>
      <c r="AB113" s="816"/>
      <c r="AC113" s="816"/>
      <c r="AD113" s="816"/>
      <c r="AE113" s="815"/>
      <c r="AF113" s="816"/>
      <c r="AG113" s="816"/>
      <c r="AH113" s="818"/>
      <c r="AI113" s="819"/>
    </row>
    <row r="114" spans="1:35" ht="21.95" customHeight="1">
      <c r="A114" s="576"/>
      <c r="B114" s="833" t="s">
        <v>608</v>
      </c>
      <c r="C114" s="815" t="s">
        <v>609</v>
      </c>
      <c r="D114" s="831" t="s">
        <v>592</v>
      </c>
      <c r="E114" s="816"/>
      <c r="F114" s="813"/>
      <c r="G114" s="815"/>
      <c r="H114" s="831" t="s">
        <v>592</v>
      </c>
      <c r="I114" s="816"/>
      <c r="J114" s="813"/>
      <c r="K114" s="815"/>
      <c r="L114" s="831" t="s">
        <v>592</v>
      </c>
      <c r="M114" s="816"/>
      <c r="N114" s="813"/>
      <c r="O114" s="815"/>
      <c r="P114" s="831" t="s">
        <v>593</v>
      </c>
      <c r="Q114" s="816"/>
      <c r="R114" s="813"/>
      <c r="S114" s="815"/>
      <c r="T114" s="831" t="s">
        <v>594</v>
      </c>
      <c r="U114" s="816"/>
      <c r="V114" s="813"/>
      <c r="W114" s="815"/>
      <c r="X114" s="816"/>
      <c r="Y114" s="816"/>
      <c r="Z114" s="813"/>
      <c r="AA114" s="815"/>
      <c r="AB114" s="816"/>
      <c r="AC114" s="816"/>
      <c r="AD114" s="816"/>
      <c r="AE114" s="815"/>
      <c r="AF114" s="816"/>
      <c r="AG114" s="816"/>
      <c r="AH114" s="818"/>
      <c r="AI114" s="819"/>
    </row>
    <row r="115" spans="1:35" ht="21.95" customHeight="1">
      <c r="A115" s="576"/>
      <c r="B115" s="833" t="s">
        <v>610</v>
      </c>
      <c r="C115" s="815" t="s">
        <v>611</v>
      </c>
      <c r="D115" s="831" t="s">
        <v>592</v>
      </c>
      <c r="E115" s="816"/>
      <c r="F115" s="813"/>
      <c r="G115" s="815"/>
      <c r="H115" s="831" t="s">
        <v>592</v>
      </c>
      <c r="I115" s="816"/>
      <c r="J115" s="813"/>
      <c r="K115" s="815"/>
      <c r="L115" s="831" t="s">
        <v>592</v>
      </c>
      <c r="M115" s="816"/>
      <c r="N115" s="813"/>
      <c r="O115" s="815"/>
      <c r="P115" s="831" t="s">
        <v>593</v>
      </c>
      <c r="Q115" s="816"/>
      <c r="R115" s="813"/>
      <c r="S115" s="815"/>
      <c r="T115" s="831" t="s">
        <v>594</v>
      </c>
      <c r="U115" s="816"/>
      <c r="V115" s="813"/>
      <c r="W115" s="815"/>
      <c r="X115" s="816"/>
      <c r="Y115" s="816"/>
      <c r="Z115" s="813"/>
      <c r="AA115" s="815"/>
      <c r="AB115" s="816"/>
      <c r="AC115" s="816"/>
      <c r="AD115" s="816"/>
      <c r="AE115" s="815"/>
      <c r="AF115" s="816"/>
      <c r="AG115" s="816"/>
      <c r="AH115" s="818"/>
      <c r="AI115" s="819"/>
    </row>
    <row r="116" spans="1:35" ht="21.95" customHeight="1">
      <c r="A116" s="576"/>
      <c r="B116" s="833" t="s">
        <v>612</v>
      </c>
      <c r="C116" s="815" t="s">
        <v>613</v>
      </c>
      <c r="D116" s="831" t="s">
        <v>592</v>
      </c>
      <c r="E116" s="816"/>
      <c r="F116" s="813"/>
      <c r="G116" s="815"/>
      <c r="H116" s="831" t="s">
        <v>592</v>
      </c>
      <c r="I116" s="816"/>
      <c r="J116" s="813"/>
      <c r="K116" s="815"/>
      <c r="L116" s="831" t="s">
        <v>592</v>
      </c>
      <c r="M116" s="816"/>
      <c r="N116" s="813"/>
      <c r="O116" s="815"/>
      <c r="P116" s="831" t="s">
        <v>593</v>
      </c>
      <c r="Q116" s="816"/>
      <c r="R116" s="813"/>
      <c r="S116" s="815"/>
      <c r="T116" s="831" t="s">
        <v>594</v>
      </c>
      <c r="U116" s="816"/>
      <c r="V116" s="813"/>
      <c r="W116" s="815"/>
      <c r="X116" s="816"/>
      <c r="Y116" s="816"/>
      <c r="Z116" s="813"/>
      <c r="AA116" s="815"/>
      <c r="AB116" s="816"/>
      <c r="AC116" s="816"/>
      <c r="AD116" s="816"/>
      <c r="AE116" s="815"/>
      <c r="AF116" s="816"/>
      <c r="AG116" s="816"/>
      <c r="AH116" s="818"/>
      <c r="AI116" s="819"/>
    </row>
    <row r="117" spans="1:35" ht="21.95" customHeight="1" thickBot="1">
      <c r="A117" s="576"/>
      <c r="B117" s="583"/>
      <c r="C117" s="555"/>
      <c r="D117" s="538"/>
      <c r="E117" s="538"/>
      <c r="F117" s="538"/>
      <c r="G117" s="538"/>
      <c r="H117" s="538"/>
      <c r="I117" s="555"/>
      <c r="J117" s="555"/>
      <c r="K117" s="538"/>
      <c r="L117" s="538"/>
      <c r="M117" s="538"/>
      <c r="N117" s="538"/>
      <c r="O117" s="538"/>
      <c r="P117" s="538"/>
      <c r="Q117" s="555"/>
      <c r="R117" s="538"/>
      <c r="S117" s="538"/>
      <c r="T117" s="538"/>
      <c r="U117" s="538"/>
      <c r="V117" s="538"/>
      <c r="W117" s="555"/>
      <c r="X117" s="555"/>
      <c r="Y117" s="538"/>
      <c r="Z117" s="538"/>
      <c r="AA117" s="538"/>
      <c r="AB117" s="538"/>
      <c r="AC117" s="538"/>
      <c r="AD117" s="538"/>
      <c r="AE117" s="555"/>
      <c r="AF117" s="538"/>
      <c r="AG117" s="538"/>
      <c r="AH117" s="556"/>
      <c r="AI117" s="556"/>
    </row>
    <row r="118" spans="1:35" ht="21.95" customHeight="1" thickBot="1">
      <c r="A118" s="785"/>
      <c r="B118" s="883" t="s">
        <v>476</v>
      </c>
      <c r="C118" s="944">
        <v>1</v>
      </c>
      <c r="D118" s="863">
        <v>2</v>
      </c>
      <c r="E118" s="863">
        <v>3</v>
      </c>
      <c r="F118" s="863">
        <v>4</v>
      </c>
      <c r="G118" s="880">
        <v>5</v>
      </c>
      <c r="H118" s="863">
        <v>6</v>
      </c>
      <c r="I118" s="880">
        <v>7</v>
      </c>
      <c r="J118" s="880">
        <v>8</v>
      </c>
      <c r="K118" s="880">
        <v>9</v>
      </c>
      <c r="L118" s="863">
        <v>10</v>
      </c>
      <c r="M118" s="863">
        <v>11</v>
      </c>
      <c r="N118" s="863">
        <v>12</v>
      </c>
      <c r="O118" s="863">
        <v>13</v>
      </c>
      <c r="P118" s="880">
        <v>14</v>
      </c>
      <c r="Q118" s="880">
        <v>15</v>
      </c>
      <c r="R118" s="863">
        <v>16</v>
      </c>
      <c r="S118" s="863">
        <v>17</v>
      </c>
      <c r="T118" s="863">
        <v>18</v>
      </c>
      <c r="U118" s="863">
        <v>19</v>
      </c>
      <c r="V118" s="863">
        <v>20</v>
      </c>
      <c r="W118" s="880">
        <v>21</v>
      </c>
      <c r="X118" s="880">
        <v>22</v>
      </c>
      <c r="Y118" s="863">
        <v>23</v>
      </c>
      <c r="Z118" s="863">
        <v>24</v>
      </c>
      <c r="AA118" s="863">
        <v>25</v>
      </c>
      <c r="AB118" s="863">
        <v>26</v>
      </c>
      <c r="AC118" s="863">
        <v>27</v>
      </c>
      <c r="AD118" s="880">
        <v>28</v>
      </c>
      <c r="AE118" s="880">
        <v>29</v>
      </c>
      <c r="AF118" s="863">
        <v>30</v>
      </c>
      <c r="AG118" s="945"/>
      <c r="AH118" s="884" t="s">
        <v>477</v>
      </c>
      <c r="AI118" s="885" t="s">
        <v>478</v>
      </c>
    </row>
    <row r="119" spans="1:35" ht="21.95" customHeight="1">
      <c r="A119" s="576"/>
      <c r="B119" s="881" t="s">
        <v>614</v>
      </c>
      <c r="C119" s="882"/>
      <c r="D119" s="882" t="s">
        <v>591</v>
      </c>
      <c r="E119" s="882" t="s">
        <v>591</v>
      </c>
      <c r="F119" s="882" t="s">
        <v>591</v>
      </c>
      <c r="G119" s="882"/>
      <c r="H119" s="882" t="s">
        <v>591</v>
      </c>
      <c r="I119" s="882"/>
      <c r="J119" s="882"/>
      <c r="K119" s="882"/>
      <c r="L119" s="999" t="s">
        <v>591</v>
      </c>
      <c r="M119" s="882" t="s">
        <v>591</v>
      </c>
      <c r="N119" s="882" t="s">
        <v>591</v>
      </c>
      <c r="O119" s="882" t="s">
        <v>591</v>
      </c>
      <c r="P119" s="882"/>
      <c r="Q119" s="882"/>
      <c r="R119" s="882" t="s">
        <v>591</v>
      </c>
      <c r="S119" s="882" t="s">
        <v>591</v>
      </c>
      <c r="T119" s="882" t="s">
        <v>591</v>
      </c>
      <c r="U119" s="882" t="s">
        <v>591</v>
      </c>
      <c r="V119" s="882" t="s">
        <v>591</v>
      </c>
      <c r="W119" s="882"/>
      <c r="X119" s="882"/>
      <c r="Y119" s="882" t="s">
        <v>591</v>
      </c>
      <c r="Z119" s="882" t="s">
        <v>591</v>
      </c>
      <c r="AA119" s="882" t="s">
        <v>591</v>
      </c>
      <c r="AB119" s="882" t="s">
        <v>591</v>
      </c>
      <c r="AC119" s="882" t="s">
        <v>591</v>
      </c>
      <c r="AD119" s="882"/>
      <c r="AE119" s="882"/>
      <c r="AF119" s="882" t="s">
        <v>591</v>
      </c>
      <c r="AG119" s="882"/>
      <c r="AH119" s="510">
        <v>214.75</v>
      </c>
      <c r="AI119" s="511">
        <v>37</v>
      </c>
    </row>
    <row r="120" spans="1:35" ht="21.95" customHeight="1">
      <c r="A120" s="576"/>
      <c r="B120" s="804" t="s">
        <v>615</v>
      </c>
      <c r="C120" s="1023"/>
      <c r="D120" s="1023" t="s">
        <v>591</v>
      </c>
      <c r="E120" s="1023" t="s">
        <v>591</v>
      </c>
      <c r="F120" s="1023" t="s">
        <v>591</v>
      </c>
      <c r="G120" s="1023"/>
      <c r="H120" s="1023" t="s">
        <v>591</v>
      </c>
      <c r="I120" s="1023"/>
      <c r="J120" s="1023"/>
      <c r="K120" s="1023"/>
      <c r="L120" s="1023" t="s">
        <v>591</v>
      </c>
      <c r="M120" s="1023" t="s">
        <v>591</v>
      </c>
      <c r="N120" s="1023" t="s">
        <v>591</v>
      </c>
      <c r="O120" s="1023" t="s">
        <v>740</v>
      </c>
      <c r="P120" s="837"/>
      <c r="Q120" s="837"/>
      <c r="R120" s="837" t="s">
        <v>591</v>
      </c>
      <c r="S120" s="837" t="s">
        <v>591</v>
      </c>
      <c r="T120" s="837" t="s">
        <v>591</v>
      </c>
      <c r="U120" s="837" t="s">
        <v>591</v>
      </c>
      <c r="V120" s="837" t="s">
        <v>591</v>
      </c>
      <c r="W120" s="837"/>
      <c r="X120" s="837"/>
      <c r="Y120" s="837" t="s">
        <v>591</v>
      </c>
      <c r="Z120" s="837" t="s">
        <v>591</v>
      </c>
      <c r="AA120" s="837" t="s">
        <v>591</v>
      </c>
      <c r="AB120" s="837" t="s">
        <v>591</v>
      </c>
      <c r="AC120" s="837" t="s">
        <v>591</v>
      </c>
      <c r="AD120" s="837"/>
      <c r="AE120" s="837"/>
      <c r="AF120" s="999" t="s">
        <v>591</v>
      </c>
      <c r="AG120" s="837"/>
      <c r="AH120" s="924">
        <v>177.75</v>
      </c>
      <c r="AI120" s="925">
        <v>37</v>
      </c>
    </row>
    <row r="121" spans="1:35" ht="21.95" customHeight="1">
      <c r="A121" s="576"/>
      <c r="B121" s="804" t="s">
        <v>616</v>
      </c>
      <c r="C121" s="837"/>
      <c r="D121" s="837" t="s">
        <v>596</v>
      </c>
      <c r="E121" s="837" t="s">
        <v>596</v>
      </c>
      <c r="F121" s="837" t="s">
        <v>596</v>
      </c>
      <c r="G121" s="837"/>
      <c r="H121" s="969" t="s">
        <v>596</v>
      </c>
      <c r="I121" s="837"/>
      <c r="J121" s="837"/>
      <c r="K121" s="837"/>
      <c r="L121" s="837" t="s">
        <v>596</v>
      </c>
      <c r="M121" s="837" t="s">
        <v>596</v>
      </c>
      <c r="N121" s="837" t="s">
        <v>596</v>
      </c>
      <c r="O121" s="837" t="s">
        <v>596</v>
      </c>
      <c r="P121" s="837"/>
      <c r="Q121" s="837"/>
      <c r="R121" s="837" t="s">
        <v>596</v>
      </c>
      <c r="S121" s="837" t="s">
        <v>596</v>
      </c>
      <c r="T121" s="837" t="s">
        <v>596</v>
      </c>
      <c r="U121" s="837" t="s">
        <v>596</v>
      </c>
      <c r="V121" s="837" t="s">
        <v>596</v>
      </c>
      <c r="W121" s="837"/>
      <c r="X121" s="837"/>
      <c r="Y121" s="837" t="s">
        <v>596</v>
      </c>
      <c r="Z121" s="837" t="s">
        <v>596</v>
      </c>
      <c r="AA121" s="837" t="s">
        <v>596</v>
      </c>
      <c r="AB121" s="837" t="s">
        <v>596</v>
      </c>
      <c r="AC121" s="837" t="s">
        <v>596</v>
      </c>
      <c r="AD121" s="837"/>
      <c r="AE121" s="837"/>
      <c r="AF121" s="837" t="s">
        <v>596</v>
      </c>
      <c r="AG121" s="837"/>
      <c r="AH121" s="924">
        <v>217</v>
      </c>
      <c r="AI121" s="925">
        <v>37</v>
      </c>
    </row>
    <row r="122" spans="1:35" ht="21.95" customHeight="1">
      <c r="A122" s="576"/>
      <c r="B122" s="804" t="s">
        <v>617</v>
      </c>
      <c r="C122" s="837"/>
      <c r="D122" s="969" t="s">
        <v>598</v>
      </c>
      <c r="E122" s="837" t="s">
        <v>598</v>
      </c>
      <c r="F122" s="837" t="s">
        <v>598</v>
      </c>
      <c r="G122" s="837"/>
      <c r="H122" s="969" t="s">
        <v>598</v>
      </c>
      <c r="I122" s="837"/>
      <c r="J122" s="837"/>
      <c r="K122" s="837"/>
      <c r="L122" s="837" t="s">
        <v>598</v>
      </c>
      <c r="M122" s="837" t="s">
        <v>598</v>
      </c>
      <c r="N122" s="837" t="s">
        <v>598</v>
      </c>
      <c r="O122" s="837" t="s">
        <v>598</v>
      </c>
      <c r="P122" s="837"/>
      <c r="Q122" s="837"/>
      <c r="R122" s="837" t="s">
        <v>598</v>
      </c>
      <c r="S122" s="837" t="s">
        <v>598</v>
      </c>
      <c r="T122" s="837" t="s">
        <v>598</v>
      </c>
      <c r="U122" s="837" t="s">
        <v>598</v>
      </c>
      <c r="V122" s="837" t="s">
        <v>598</v>
      </c>
      <c r="W122" s="837"/>
      <c r="X122" s="837"/>
      <c r="Y122" s="837" t="s">
        <v>598</v>
      </c>
      <c r="Z122" s="837" t="s">
        <v>598</v>
      </c>
      <c r="AA122" s="837" t="s">
        <v>598</v>
      </c>
      <c r="AB122" s="837" t="s">
        <v>598</v>
      </c>
      <c r="AC122" s="837" t="s">
        <v>598</v>
      </c>
      <c r="AD122" s="837"/>
      <c r="AE122" s="837"/>
      <c r="AF122" s="837" t="s">
        <v>598</v>
      </c>
      <c r="AG122" s="837"/>
      <c r="AH122" s="924">
        <v>214.5</v>
      </c>
      <c r="AI122" s="925">
        <v>37</v>
      </c>
    </row>
    <row r="123" spans="1:35" ht="21.95" customHeight="1">
      <c r="A123" s="576"/>
      <c r="B123" s="804" t="s">
        <v>619</v>
      </c>
      <c r="C123" s="837"/>
      <c r="D123" s="837" t="s">
        <v>600</v>
      </c>
      <c r="E123" s="837" t="s">
        <v>600</v>
      </c>
      <c r="F123" s="837" t="s">
        <v>600</v>
      </c>
      <c r="G123" s="837"/>
      <c r="H123" s="837" t="s">
        <v>600</v>
      </c>
      <c r="I123" s="837"/>
      <c r="J123" s="837"/>
      <c r="K123" s="837"/>
      <c r="L123" s="837" t="s">
        <v>600</v>
      </c>
      <c r="M123" s="837" t="s">
        <v>600</v>
      </c>
      <c r="N123" s="837" t="s">
        <v>600</v>
      </c>
      <c r="O123" s="837" t="s">
        <v>600</v>
      </c>
      <c r="P123" s="837"/>
      <c r="Q123" s="837"/>
      <c r="R123" s="837" t="s">
        <v>600</v>
      </c>
      <c r="S123" s="837" t="s">
        <v>600</v>
      </c>
      <c r="T123" s="837" t="s">
        <v>600</v>
      </c>
      <c r="U123" s="837" t="s">
        <v>600</v>
      </c>
      <c r="V123" s="837" t="s">
        <v>600</v>
      </c>
      <c r="W123" s="837"/>
      <c r="X123" s="837"/>
      <c r="Y123" s="969" t="s">
        <v>600</v>
      </c>
      <c r="Z123" s="969" t="s">
        <v>600</v>
      </c>
      <c r="AA123" s="969" t="s">
        <v>600</v>
      </c>
      <c r="AB123" s="969" t="s">
        <v>600</v>
      </c>
      <c r="AC123" s="969" t="s">
        <v>600</v>
      </c>
      <c r="AD123" s="837"/>
      <c r="AE123" s="837"/>
      <c r="AF123" s="837" t="s">
        <v>600</v>
      </c>
      <c r="AG123" s="837"/>
      <c r="AH123" s="924">
        <v>148</v>
      </c>
      <c r="AI123" s="925">
        <v>37</v>
      </c>
    </row>
    <row r="124" spans="1:35" ht="21.95" customHeight="1">
      <c r="A124" s="576"/>
      <c r="B124" s="804" t="s">
        <v>621</v>
      </c>
      <c r="C124" s="837"/>
      <c r="D124" s="837" t="s">
        <v>602</v>
      </c>
      <c r="E124" s="837" t="s">
        <v>602</v>
      </c>
      <c r="F124" s="837" t="s">
        <v>602</v>
      </c>
      <c r="G124" s="837"/>
      <c r="H124" s="837" t="s">
        <v>602</v>
      </c>
      <c r="I124" s="837"/>
      <c r="J124" s="837"/>
      <c r="K124" s="837"/>
      <c r="L124" s="837" t="s">
        <v>602</v>
      </c>
      <c r="M124" s="837" t="s">
        <v>602</v>
      </c>
      <c r="N124" s="837" t="s">
        <v>602</v>
      </c>
      <c r="O124" s="837" t="s">
        <v>602</v>
      </c>
      <c r="P124" s="837"/>
      <c r="Q124" s="837"/>
      <c r="R124" s="837" t="s">
        <v>602</v>
      </c>
      <c r="S124" s="837" t="s">
        <v>602</v>
      </c>
      <c r="T124" s="837" t="s">
        <v>602</v>
      </c>
      <c r="U124" s="837" t="s">
        <v>602</v>
      </c>
      <c r="V124" s="837" t="s">
        <v>602</v>
      </c>
      <c r="W124" s="837"/>
      <c r="X124" s="837"/>
      <c r="Y124" s="837" t="s">
        <v>602</v>
      </c>
      <c r="Z124" s="837" t="s">
        <v>602</v>
      </c>
      <c r="AA124" s="837" t="s">
        <v>602</v>
      </c>
      <c r="AB124" s="837" t="s">
        <v>602</v>
      </c>
      <c r="AC124" s="837" t="s">
        <v>602</v>
      </c>
      <c r="AD124" s="837"/>
      <c r="AE124" s="837"/>
      <c r="AF124" s="837" t="s">
        <v>602</v>
      </c>
      <c r="AG124" s="837"/>
      <c r="AH124" s="924">
        <v>259.75</v>
      </c>
      <c r="AI124" s="925">
        <v>37</v>
      </c>
    </row>
    <row r="125" spans="1:35" ht="21.95" customHeight="1">
      <c r="A125" s="576"/>
      <c r="B125" s="804" t="s">
        <v>622</v>
      </c>
      <c r="C125" s="837"/>
      <c r="D125" s="837" t="s">
        <v>604</v>
      </c>
      <c r="E125" s="837" t="s">
        <v>604</v>
      </c>
      <c r="F125" s="837" t="s">
        <v>604</v>
      </c>
      <c r="G125" s="837"/>
      <c r="H125" s="969" t="s">
        <v>604</v>
      </c>
      <c r="I125" s="837"/>
      <c r="J125" s="837"/>
      <c r="K125" s="837"/>
      <c r="L125" s="837" t="s">
        <v>604</v>
      </c>
      <c r="M125" s="837" t="s">
        <v>604</v>
      </c>
      <c r="N125" s="837" t="s">
        <v>604</v>
      </c>
      <c r="O125" s="837" t="s">
        <v>604</v>
      </c>
      <c r="P125" s="837"/>
      <c r="Q125" s="837"/>
      <c r="R125" s="837" t="s">
        <v>604</v>
      </c>
      <c r="S125" s="837" t="s">
        <v>604</v>
      </c>
      <c r="T125" s="837" t="s">
        <v>604</v>
      </c>
      <c r="U125" s="837" t="s">
        <v>604</v>
      </c>
      <c r="V125" s="969" t="s">
        <v>604</v>
      </c>
      <c r="W125" s="837"/>
      <c r="X125" s="837"/>
      <c r="Y125" s="837" t="s">
        <v>604</v>
      </c>
      <c r="Z125" s="837" t="s">
        <v>604</v>
      </c>
      <c r="AA125" s="837" t="s">
        <v>604</v>
      </c>
      <c r="AB125" s="837" t="s">
        <v>604</v>
      </c>
      <c r="AC125" s="837" t="s">
        <v>604</v>
      </c>
      <c r="AD125" s="837"/>
      <c r="AE125" s="837"/>
      <c r="AF125" s="837" t="s">
        <v>604</v>
      </c>
      <c r="AG125" s="837"/>
      <c r="AH125" s="924">
        <v>199.75</v>
      </c>
      <c r="AI125" s="925">
        <v>37</v>
      </c>
    </row>
    <row r="126" spans="1:35" ht="21.95" customHeight="1">
      <c r="A126" s="576"/>
      <c r="B126" s="804" t="s">
        <v>623</v>
      </c>
      <c r="C126" s="837"/>
      <c r="D126" s="837" t="s">
        <v>606</v>
      </c>
      <c r="E126" s="837" t="s">
        <v>606</v>
      </c>
      <c r="F126" s="837" t="s">
        <v>606</v>
      </c>
      <c r="G126" s="837"/>
      <c r="H126" s="837" t="s">
        <v>606</v>
      </c>
      <c r="I126" s="837"/>
      <c r="J126" s="837"/>
      <c r="K126" s="837"/>
      <c r="L126" s="837" t="s">
        <v>606</v>
      </c>
      <c r="M126" s="837" t="s">
        <v>606</v>
      </c>
      <c r="N126" s="837" t="s">
        <v>606</v>
      </c>
      <c r="O126" s="837" t="s">
        <v>606</v>
      </c>
      <c r="P126" s="837"/>
      <c r="Q126" s="837"/>
      <c r="R126" s="837" t="s">
        <v>606</v>
      </c>
      <c r="S126" s="837" t="s">
        <v>606</v>
      </c>
      <c r="T126" s="837" t="s">
        <v>606</v>
      </c>
      <c r="U126" s="837" t="s">
        <v>606</v>
      </c>
      <c r="V126" s="837" t="s">
        <v>606</v>
      </c>
      <c r="W126" s="837"/>
      <c r="X126" s="837"/>
      <c r="Y126" s="837" t="s">
        <v>606</v>
      </c>
      <c r="Z126" s="837" t="s">
        <v>606</v>
      </c>
      <c r="AA126" s="837" t="s">
        <v>606</v>
      </c>
      <c r="AB126" s="837" t="s">
        <v>606</v>
      </c>
      <c r="AC126" s="837" t="s">
        <v>606</v>
      </c>
      <c r="AD126" s="837"/>
      <c r="AE126" s="837"/>
      <c r="AF126" s="837" t="s">
        <v>606</v>
      </c>
      <c r="AG126" s="837"/>
      <c r="AH126" s="924">
        <v>185</v>
      </c>
      <c r="AI126" s="925">
        <v>37</v>
      </c>
    </row>
    <row r="127" spans="1:35" ht="21.95" customHeight="1">
      <c r="A127" s="576"/>
      <c r="B127" s="804" t="s">
        <v>624</v>
      </c>
      <c r="C127" s="837"/>
      <c r="D127" s="837" t="s">
        <v>607</v>
      </c>
      <c r="E127" s="837" t="s">
        <v>607</v>
      </c>
      <c r="F127" s="837" t="s">
        <v>607</v>
      </c>
      <c r="G127" s="837"/>
      <c r="H127" s="837" t="s">
        <v>607</v>
      </c>
      <c r="I127" s="837"/>
      <c r="J127" s="837"/>
      <c r="K127" s="837"/>
      <c r="L127" s="969" t="s">
        <v>607</v>
      </c>
      <c r="M127" s="969" t="s">
        <v>607</v>
      </c>
      <c r="N127" s="969" t="s">
        <v>607</v>
      </c>
      <c r="O127" s="969" t="s">
        <v>607</v>
      </c>
      <c r="P127" s="969"/>
      <c r="Q127" s="969"/>
      <c r="R127" s="969" t="s">
        <v>607</v>
      </c>
      <c r="S127" s="969" t="s">
        <v>607</v>
      </c>
      <c r="T127" s="969" t="s">
        <v>607</v>
      </c>
      <c r="U127" s="969" t="s">
        <v>607</v>
      </c>
      <c r="V127" s="969" t="s">
        <v>607</v>
      </c>
      <c r="W127" s="969"/>
      <c r="X127" s="969"/>
      <c r="Y127" s="969" t="s">
        <v>607</v>
      </c>
      <c r="Z127" s="969" t="s">
        <v>607</v>
      </c>
      <c r="AA127" s="969" t="s">
        <v>607</v>
      </c>
      <c r="AB127" s="969" t="s">
        <v>607</v>
      </c>
      <c r="AC127" s="969" t="s">
        <v>607</v>
      </c>
      <c r="AD127" s="969"/>
      <c r="AE127" s="969"/>
      <c r="AF127" s="969" t="s">
        <v>607</v>
      </c>
      <c r="AG127" s="837"/>
      <c r="AH127" s="924">
        <v>81.25</v>
      </c>
      <c r="AI127" s="925">
        <v>37</v>
      </c>
    </row>
    <row r="128" spans="1:35" ht="21.95" customHeight="1">
      <c r="A128" s="576"/>
      <c r="B128" s="804" t="s">
        <v>626</v>
      </c>
      <c r="C128" s="837"/>
      <c r="D128" s="837" t="s">
        <v>609</v>
      </c>
      <c r="E128" s="837" t="s">
        <v>609</v>
      </c>
      <c r="F128" s="837" t="s">
        <v>609</v>
      </c>
      <c r="G128" s="837"/>
      <c r="H128" s="837" t="s">
        <v>609</v>
      </c>
      <c r="I128" s="837"/>
      <c r="J128" s="837"/>
      <c r="K128" s="837"/>
      <c r="L128" s="837" t="s">
        <v>609</v>
      </c>
      <c r="M128" s="837" t="s">
        <v>609</v>
      </c>
      <c r="N128" s="837" t="s">
        <v>609</v>
      </c>
      <c r="O128" s="837" t="s">
        <v>609</v>
      </c>
      <c r="P128" s="837"/>
      <c r="Q128" s="837"/>
      <c r="R128" s="837" t="s">
        <v>609</v>
      </c>
      <c r="S128" s="837" t="s">
        <v>609</v>
      </c>
      <c r="T128" s="837" t="s">
        <v>609</v>
      </c>
      <c r="U128" s="837" t="s">
        <v>609</v>
      </c>
      <c r="V128" s="837" t="s">
        <v>609</v>
      </c>
      <c r="W128" s="837"/>
      <c r="X128" s="837"/>
      <c r="Y128" s="837" t="s">
        <v>609</v>
      </c>
      <c r="Z128" s="837" t="s">
        <v>609</v>
      </c>
      <c r="AA128" s="837" t="s">
        <v>609</v>
      </c>
      <c r="AB128" s="837" t="s">
        <v>609</v>
      </c>
      <c r="AC128" s="837" t="s">
        <v>609</v>
      </c>
      <c r="AD128" s="837"/>
      <c r="AE128" s="837"/>
      <c r="AF128" s="837" t="s">
        <v>609</v>
      </c>
      <c r="AG128" s="837"/>
      <c r="AH128" s="924">
        <v>185</v>
      </c>
      <c r="AI128" s="925">
        <v>37</v>
      </c>
    </row>
    <row r="129" spans="1:35" ht="21.95" customHeight="1">
      <c r="A129" s="576"/>
      <c r="B129" s="804" t="s">
        <v>627</v>
      </c>
      <c r="C129" s="837"/>
      <c r="D129" s="837" t="s">
        <v>611</v>
      </c>
      <c r="E129" s="837" t="s">
        <v>611</v>
      </c>
      <c r="F129" s="837" t="s">
        <v>611</v>
      </c>
      <c r="G129" s="837"/>
      <c r="H129" s="1125" t="s">
        <v>611</v>
      </c>
      <c r="I129" s="837"/>
      <c r="J129" s="837"/>
      <c r="K129" s="837"/>
      <c r="L129" s="837" t="s">
        <v>611</v>
      </c>
      <c r="M129" s="837" t="s">
        <v>611</v>
      </c>
      <c r="N129" s="837" t="s">
        <v>611</v>
      </c>
      <c r="O129" s="837" t="s">
        <v>611</v>
      </c>
      <c r="P129" s="837"/>
      <c r="Q129" s="837"/>
      <c r="R129" s="1023" t="s">
        <v>611</v>
      </c>
      <c r="S129" s="1023" t="s">
        <v>611</v>
      </c>
      <c r="T129" s="1023" t="s">
        <v>611</v>
      </c>
      <c r="U129" s="1023" t="s">
        <v>611</v>
      </c>
      <c r="V129" s="1023" t="s">
        <v>611</v>
      </c>
      <c r="W129" s="1023"/>
      <c r="X129" s="1023"/>
      <c r="Y129" s="1023" t="s">
        <v>611</v>
      </c>
      <c r="Z129" s="1023" t="s">
        <v>611</v>
      </c>
      <c r="AA129" s="1023" t="s">
        <v>611</v>
      </c>
      <c r="AB129" s="1023" t="s">
        <v>611</v>
      </c>
      <c r="AC129" s="1023" t="s">
        <v>611</v>
      </c>
      <c r="AD129" s="1023"/>
      <c r="AE129" s="1023"/>
      <c r="AF129" s="1023" t="s">
        <v>611</v>
      </c>
      <c r="AG129" s="837"/>
      <c r="AH129" s="924">
        <v>209.58</v>
      </c>
      <c r="AI129" s="925">
        <v>32</v>
      </c>
    </row>
    <row r="130" spans="1:35" ht="21.95" customHeight="1" thickBot="1">
      <c r="A130" s="576"/>
      <c r="B130" s="886" t="s">
        <v>629</v>
      </c>
      <c r="C130" s="887"/>
      <c r="D130" s="1064" t="s">
        <v>613</v>
      </c>
      <c r="E130" s="1064" t="s">
        <v>741</v>
      </c>
      <c r="F130" s="887" t="s">
        <v>613</v>
      </c>
      <c r="G130" s="887"/>
      <c r="H130" s="887" t="s">
        <v>613</v>
      </c>
      <c r="I130" s="887"/>
      <c r="J130" s="887"/>
      <c r="K130" s="887"/>
      <c r="L130" s="887" t="s">
        <v>613</v>
      </c>
      <c r="M130" s="887" t="s">
        <v>613</v>
      </c>
      <c r="N130" s="887" t="s">
        <v>613</v>
      </c>
      <c r="O130" s="887" t="s">
        <v>613</v>
      </c>
      <c r="P130" s="887"/>
      <c r="Q130" s="887"/>
      <c r="R130" s="887" t="s">
        <v>613</v>
      </c>
      <c r="S130" s="887" t="s">
        <v>613</v>
      </c>
      <c r="T130" s="887" t="s">
        <v>613</v>
      </c>
      <c r="U130" s="887" t="s">
        <v>613</v>
      </c>
      <c r="V130" s="887" t="s">
        <v>613</v>
      </c>
      <c r="W130" s="887"/>
      <c r="X130" s="887"/>
      <c r="Y130" s="887" t="s">
        <v>613</v>
      </c>
      <c r="Z130" s="887" t="s">
        <v>613</v>
      </c>
      <c r="AA130" s="887" t="s">
        <v>613</v>
      </c>
      <c r="AB130" s="887" t="s">
        <v>613</v>
      </c>
      <c r="AC130" s="887" t="s">
        <v>613</v>
      </c>
      <c r="AD130" s="887"/>
      <c r="AE130" s="887"/>
      <c r="AF130" s="887" t="s">
        <v>613</v>
      </c>
      <c r="AG130" s="887"/>
      <c r="AH130" s="868">
        <v>202.75</v>
      </c>
      <c r="AI130" s="869">
        <v>37</v>
      </c>
    </row>
    <row r="131" spans="1:35" ht="21.95" customHeight="1">
      <c r="A131" s="576"/>
      <c r="B131" s="847"/>
      <c r="C131" s="555"/>
      <c r="D131" s="555"/>
      <c r="E131" s="555"/>
      <c r="F131" s="555"/>
      <c r="G131" s="555"/>
      <c r="H131" s="555"/>
      <c r="I131" s="555"/>
      <c r="J131" s="555"/>
      <c r="K131" s="555"/>
      <c r="L131" s="555"/>
      <c r="M131" s="555"/>
      <c r="N131" s="555"/>
      <c r="O131" s="555"/>
      <c r="P131" s="555"/>
      <c r="Q131" s="555"/>
      <c r="R131" s="555"/>
      <c r="S131" s="555"/>
      <c r="T131" s="555"/>
      <c r="U131" s="555"/>
      <c r="V131" s="555"/>
      <c r="W131" s="555"/>
      <c r="X131" s="555"/>
      <c r="Y131" s="555"/>
      <c r="Z131" s="555"/>
      <c r="AA131" s="555"/>
      <c r="AB131" s="555"/>
      <c r="AC131" s="555"/>
      <c r="AD131" s="555"/>
      <c r="AE131" s="555"/>
      <c r="AF131" s="555"/>
      <c r="AG131" s="555"/>
      <c r="AH131" s="556"/>
      <c r="AI131" s="556"/>
    </row>
    <row r="132" spans="1:35" ht="21.95" customHeight="1" thickBot="1">
      <c r="A132" s="805" t="s">
        <v>630</v>
      </c>
      <c r="B132" s="538" t="s">
        <v>631</v>
      </c>
      <c r="C132" s="555"/>
      <c r="D132" s="538"/>
      <c r="E132" s="538"/>
      <c r="F132" s="538"/>
      <c r="G132" s="538"/>
      <c r="H132" s="538"/>
      <c r="I132" s="555"/>
      <c r="J132" s="555"/>
      <c r="K132" s="538"/>
      <c r="L132" s="538"/>
      <c r="M132" s="538"/>
      <c r="N132" s="538"/>
      <c r="O132" s="538"/>
      <c r="P132" s="538"/>
      <c r="Q132" s="555"/>
      <c r="R132" s="538"/>
      <c r="S132" s="538"/>
      <c r="T132" s="538"/>
      <c r="U132" s="538"/>
      <c r="V132" s="538"/>
      <c r="W132" s="555"/>
      <c r="X132" s="555"/>
      <c r="Y132" s="538"/>
      <c r="Z132" s="538"/>
      <c r="AA132" s="538"/>
      <c r="AB132" s="538"/>
      <c r="AC132" s="538"/>
      <c r="AD132" s="538"/>
      <c r="AE132" s="555"/>
      <c r="AF132" s="538"/>
      <c r="AG132" s="538"/>
      <c r="AH132" s="556"/>
      <c r="AI132" s="556"/>
    </row>
    <row r="133" spans="1:35" ht="21.95" customHeight="1">
      <c r="A133" s="576"/>
      <c r="B133" s="806" t="s">
        <v>589</v>
      </c>
      <c r="C133" s="814"/>
      <c r="D133" s="807" t="s">
        <v>2</v>
      </c>
      <c r="E133" s="808"/>
      <c r="F133" s="809"/>
      <c r="G133" s="810"/>
      <c r="H133" s="807" t="s">
        <v>3</v>
      </c>
      <c r="I133" s="808"/>
      <c r="J133" s="809"/>
      <c r="K133" s="810"/>
      <c r="L133" s="807" t="s">
        <v>4</v>
      </c>
      <c r="M133" s="808"/>
      <c r="N133" s="809"/>
      <c r="O133" s="810"/>
      <c r="P133" s="807" t="s">
        <v>5</v>
      </c>
      <c r="Q133" s="808"/>
      <c r="R133" s="809"/>
      <c r="S133" s="810"/>
      <c r="T133" s="807" t="s">
        <v>6</v>
      </c>
      <c r="U133" s="808"/>
      <c r="V133" s="809"/>
      <c r="W133" s="810"/>
      <c r="X133" s="807" t="s">
        <v>7</v>
      </c>
      <c r="Y133" s="808"/>
      <c r="Z133" s="809"/>
      <c r="AA133" s="810"/>
      <c r="AB133" s="807" t="s">
        <v>8</v>
      </c>
      <c r="AC133" s="808"/>
      <c r="AD133" s="808"/>
      <c r="AE133" s="811" t="s">
        <v>10</v>
      </c>
      <c r="AF133" s="808"/>
      <c r="AG133" s="808"/>
      <c r="AH133" s="808"/>
      <c r="AI133" s="812"/>
    </row>
    <row r="134" spans="1:35" ht="21.95" customHeight="1">
      <c r="A134" s="576"/>
      <c r="B134" s="832"/>
      <c r="C134" s="815"/>
      <c r="D134" s="831"/>
      <c r="E134" s="816"/>
      <c r="F134" s="813"/>
      <c r="G134" s="815"/>
      <c r="H134" s="831"/>
      <c r="I134" s="816"/>
      <c r="J134" s="813"/>
      <c r="K134" s="815"/>
      <c r="L134" s="831"/>
      <c r="M134" s="816"/>
      <c r="N134" s="813"/>
      <c r="O134" s="815"/>
      <c r="P134" s="831"/>
      <c r="Q134" s="816"/>
      <c r="R134" s="813"/>
      <c r="S134" s="815"/>
      <c r="T134" s="831"/>
      <c r="U134" s="816"/>
      <c r="V134" s="813"/>
      <c r="W134" s="815"/>
      <c r="X134" s="816"/>
      <c r="Y134" s="816"/>
      <c r="Z134" s="813"/>
      <c r="AA134" s="815"/>
      <c r="AB134" s="816"/>
      <c r="AC134" s="816"/>
      <c r="AD134" s="816"/>
      <c r="AE134" s="815"/>
      <c r="AF134" s="816"/>
      <c r="AG134" s="816"/>
      <c r="AH134" s="818"/>
      <c r="AI134" s="819"/>
    </row>
    <row r="135" spans="1:35" ht="21.95" customHeight="1">
      <c r="A135" s="576"/>
      <c r="B135" s="833"/>
      <c r="C135" s="815"/>
      <c r="D135" s="831"/>
      <c r="E135" s="816"/>
      <c r="F135" s="813"/>
      <c r="G135" s="815"/>
      <c r="H135" s="831"/>
      <c r="I135" s="816"/>
      <c r="J135" s="813"/>
      <c r="K135" s="815"/>
      <c r="L135" s="831"/>
      <c r="M135" s="816"/>
      <c r="N135" s="813"/>
      <c r="O135" s="815"/>
      <c r="P135" s="831"/>
      <c r="Q135" s="816"/>
      <c r="R135" s="813"/>
      <c r="S135" s="815"/>
      <c r="T135" s="831"/>
      <c r="U135" s="816"/>
      <c r="V135" s="813"/>
      <c r="W135" s="815"/>
      <c r="X135" s="816"/>
      <c r="Y135" s="816"/>
      <c r="Z135" s="813"/>
      <c r="AA135" s="815"/>
      <c r="AB135" s="816"/>
      <c r="AC135" s="816"/>
      <c r="AD135" s="816"/>
      <c r="AE135" s="815"/>
      <c r="AF135" s="816"/>
      <c r="AG135" s="816"/>
      <c r="AH135" s="818"/>
      <c r="AI135" s="819"/>
    </row>
    <row r="136" spans="1:35" ht="21.95" customHeight="1">
      <c r="A136" s="576"/>
      <c r="B136" s="833"/>
      <c r="C136" s="815"/>
      <c r="D136" s="831"/>
      <c r="E136" s="816"/>
      <c r="F136" s="813"/>
      <c r="G136" s="815"/>
      <c r="H136" s="831"/>
      <c r="I136" s="816"/>
      <c r="J136" s="813"/>
      <c r="K136" s="815"/>
      <c r="L136" s="831"/>
      <c r="M136" s="816"/>
      <c r="N136" s="813"/>
      <c r="O136" s="815"/>
      <c r="P136" s="831"/>
      <c r="Q136" s="816"/>
      <c r="R136" s="813"/>
      <c r="S136" s="815"/>
      <c r="T136" s="831"/>
      <c r="U136" s="816"/>
      <c r="V136" s="813"/>
      <c r="W136" s="815"/>
      <c r="X136" s="816"/>
      <c r="Y136" s="816"/>
      <c r="Z136" s="813"/>
      <c r="AA136" s="815"/>
      <c r="AB136" s="816"/>
      <c r="AC136" s="816"/>
      <c r="AD136" s="816"/>
      <c r="AE136" s="815"/>
      <c r="AF136" s="816"/>
      <c r="AG136" s="816"/>
      <c r="AH136" s="818"/>
      <c r="AI136" s="819"/>
    </row>
    <row r="137" spans="1:35" ht="21.75" customHeight="1" thickBot="1">
      <c r="A137" s="576"/>
      <c r="B137" s="847"/>
      <c r="C137" s="555"/>
      <c r="D137" s="555"/>
      <c r="E137" s="555"/>
      <c r="F137" s="555"/>
      <c r="G137" s="555"/>
      <c r="H137" s="555"/>
      <c r="I137" s="555"/>
      <c r="J137" s="555"/>
      <c r="K137" s="555"/>
      <c r="L137" s="555"/>
      <c r="M137" s="555"/>
      <c r="N137" s="555"/>
      <c r="O137" s="555"/>
      <c r="P137" s="555"/>
      <c r="Q137" s="555"/>
      <c r="R137" s="555"/>
      <c r="S137" s="555"/>
      <c r="T137" s="555"/>
      <c r="U137" s="555"/>
      <c r="V137" s="555"/>
      <c r="W137" s="555"/>
      <c r="X137" s="555"/>
      <c r="Y137" s="555"/>
      <c r="Z137" s="555"/>
      <c r="AA137" s="555"/>
      <c r="AB137" s="555"/>
      <c r="AC137" s="555"/>
      <c r="AD137" s="555"/>
      <c r="AE137" s="555"/>
      <c r="AF137" s="555"/>
      <c r="AG137" s="555"/>
      <c r="AH137" s="556"/>
      <c r="AI137" s="556"/>
    </row>
    <row r="138" spans="1:35" ht="21.95" customHeight="1" thickBot="1">
      <c r="A138" s="785"/>
      <c r="B138" s="883" t="s">
        <v>476</v>
      </c>
      <c r="C138" s="944">
        <v>1</v>
      </c>
      <c r="D138" s="863">
        <v>2</v>
      </c>
      <c r="E138" s="863">
        <v>3</v>
      </c>
      <c r="F138" s="863">
        <v>4</v>
      </c>
      <c r="G138" s="880">
        <v>5</v>
      </c>
      <c r="H138" s="863">
        <v>6</v>
      </c>
      <c r="I138" s="880">
        <v>7</v>
      </c>
      <c r="J138" s="880">
        <v>8</v>
      </c>
      <c r="K138" s="880">
        <v>9</v>
      </c>
      <c r="L138" s="863">
        <v>10</v>
      </c>
      <c r="M138" s="863">
        <v>11</v>
      </c>
      <c r="N138" s="863">
        <v>12</v>
      </c>
      <c r="O138" s="863">
        <v>13</v>
      </c>
      <c r="P138" s="880">
        <v>14</v>
      </c>
      <c r="Q138" s="880">
        <v>15</v>
      </c>
      <c r="R138" s="863">
        <v>16</v>
      </c>
      <c r="S138" s="863">
        <v>17</v>
      </c>
      <c r="T138" s="863">
        <v>18</v>
      </c>
      <c r="U138" s="863">
        <v>19</v>
      </c>
      <c r="V138" s="863">
        <v>20</v>
      </c>
      <c r="W138" s="880">
        <v>21</v>
      </c>
      <c r="X138" s="880">
        <v>22</v>
      </c>
      <c r="Y138" s="863">
        <v>23</v>
      </c>
      <c r="Z138" s="863">
        <v>24</v>
      </c>
      <c r="AA138" s="863">
        <v>25</v>
      </c>
      <c r="AB138" s="863">
        <v>26</v>
      </c>
      <c r="AC138" s="863">
        <v>27</v>
      </c>
      <c r="AD138" s="880">
        <v>28</v>
      </c>
      <c r="AE138" s="880">
        <v>29</v>
      </c>
      <c r="AF138" s="863">
        <v>30</v>
      </c>
      <c r="AG138" s="863"/>
      <c r="AH138" s="884" t="s">
        <v>477</v>
      </c>
      <c r="AI138" s="885" t="s">
        <v>478</v>
      </c>
    </row>
    <row r="139" spans="1:35" ht="21.95" customHeight="1">
      <c r="A139" s="576"/>
      <c r="B139" s="888" t="s">
        <v>632</v>
      </c>
      <c r="C139" s="768"/>
      <c r="D139" s="768" t="s">
        <v>491</v>
      </c>
      <c r="E139" s="768" t="s">
        <v>491</v>
      </c>
      <c r="F139" s="768" t="s">
        <v>491</v>
      </c>
      <c r="G139" s="768"/>
      <c r="H139" s="768" t="s">
        <v>491</v>
      </c>
      <c r="I139" s="768"/>
      <c r="J139" s="768"/>
      <c r="K139" s="768"/>
      <c r="L139" s="768" t="s">
        <v>491</v>
      </c>
      <c r="M139" s="768" t="s">
        <v>491</v>
      </c>
      <c r="N139" s="768" t="s">
        <v>491</v>
      </c>
      <c r="O139" s="768" t="s">
        <v>491</v>
      </c>
      <c r="P139" s="768"/>
      <c r="Q139" s="768"/>
      <c r="R139" s="768" t="s">
        <v>491</v>
      </c>
      <c r="S139" s="768" t="s">
        <v>491</v>
      </c>
      <c r="T139" s="768" t="s">
        <v>491</v>
      </c>
      <c r="U139" s="768" t="s">
        <v>491</v>
      </c>
      <c r="V139" s="768" t="s">
        <v>491</v>
      </c>
      <c r="W139" s="768"/>
      <c r="X139" s="768"/>
      <c r="Y139" s="768" t="s">
        <v>491</v>
      </c>
      <c r="Z139" s="768" t="s">
        <v>491</v>
      </c>
      <c r="AA139" s="768" t="s">
        <v>491</v>
      </c>
      <c r="AB139" s="768" t="s">
        <v>491</v>
      </c>
      <c r="AC139" s="768" t="s">
        <v>491</v>
      </c>
      <c r="AD139" s="768"/>
      <c r="AE139" s="768"/>
      <c r="AF139" s="768" t="s">
        <v>491</v>
      </c>
      <c r="AG139" s="768"/>
      <c r="AH139" s="510">
        <v>215.5</v>
      </c>
      <c r="AI139" s="511">
        <v>37</v>
      </c>
    </row>
    <row r="140" spans="1:35" ht="21.95" customHeight="1">
      <c r="A140" s="576"/>
      <c r="B140" s="858" t="s">
        <v>633</v>
      </c>
      <c r="C140" s="768"/>
      <c r="D140" s="768" t="s">
        <v>491</v>
      </c>
      <c r="E140" s="768" t="s">
        <v>491</v>
      </c>
      <c r="F140" s="768" t="s">
        <v>491</v>
      </c>
      <c r="G140" s="768"/>
      <c r="H140" s="768" t="s">
        <v>491</v>
      </c>
      <c r="I140" s="768"/>
      <c r="J140" s="768"/>
      <c r="K140" s="768"/>
      <c r="L140" s="768" t="s">
        <v>491</v>
      </c>
      <c r="M140" s="1038" t="s">
        <v>491</v>
      </c>
      <c r="N140" s="1038" t="s">
        <v>491</v>
      </c>
      <c r="O140" s="1038" t="s">
        <v>493</v>
      </c>
      <c r="P140" s="987"/>
      <c r="Q140" s="987"/>
      <c r="R140" s="768" t="s">
        <v>491</v>
      </c>
      <c r="S140" s="768" t="s">
        <v>491</v>
      </c>
      <c r="T140" s="768" t="s">
        <v>491</v>
      </c>
      <c r="U140" s="768" t="s">
        <v>491</v>
      </c>
      <c r="V140" s="768" t="s">
        <v>491</v>
      </c>
      <c r="W140" s="768"/>
      <c r="X140" s="768"/>
      <c r="Y140" s="768" t="s">
        <v>491</v>
      </c>
      <c r="Z140" s="768" t="s">
        <v>491</v>
      </c>
      <c r="AA140" s="768" t="s">
        <v>491</v>
      </c>
      <c r="AB140" s="768" t="s">
        <v>491</v>
      </c>
      <c r="AC140" s="768" t="s">
        <v>491</v>
      </c>
      <c r="AD140" s="768"/>
      <c r="AE140" s="768"/>
      <c r="AF140" s="970" t="s">
        <v>491</v>
      </c>
      <c r="AG140" s="768"/>
      <c r="AH140" s="924">
        <v>74</v>
      </c>
      <c r="AI140" s="925">
        <v>37</v>
      </c>
    </row>
    <row r="141" spans="1:35" ht="21.95" customHeight="1">
      <c r="A141" s="576"/>
      <c r="B141" s="858" t="s">
        <v>634</v>
      </c>
      <c r="C141" s="768"/>
      <c r="D141" s="768" t="s">
        <v>491</v>
      </c>
      <c r="E141" s="768" t="s">
        <v>491</v>
      </c>
      <c r="F141" s="768" t="s">
        <v>491</v>
      </c>
      <c r="G141" s="768"/>
      <c r="H141" s="768" t="s">
        <v>491</v>
      </c>
      <c r="I141" s="768"/>
      <c r="J141" s="768"/>
      <c r="K141" s="768"/>
      <c r="L141" s="768" t="s">
        <v>491</v>
      </c>
      <c r="M141" s="987" t="s">
        <v>491</v>
      </c>
      <c r="N141" s="987" t="s">
        <v>491</v>
      </c>
      <c r="O141" s="987" t="s">
        <v>491</v>
      </c>
      <c r="P141" s="987"/>
      <c r="Q141" s="987"/>
      <c r="R141" s="768" t="s">
        <v>491</v>
      </c>
      <c r="S141" s="768" t="s">
        <v>491</v>
      </c>
      <c r="T141" s="768" t="s">
        <v>491</v>
      </c>
      <c r="U141" s="768" t="s">
        <v>491</v>
      </c>
      <c r="V141" s="768" t="s">
        <v>491</v>
      </c>
      <c r="W141" s="768"/>
      <c r="X141" s="768"/>
      <c r="Y141" s="768" t="s">
        <v>491</v>
      </c>
      <c r="Z141" s="768" t="s">
        <v>491</v>
      </c>
      <c r="AA141" s="768" t="s">
        <v>491</v>
      </c>
      <c r="AB141" s="768" t="s">
        <v>491</v>
      </c>
      <c r="AC141" s="768" t="s">
        <v>491</v>
      </c>
      <c r="AD141" s="768"/>
      <c r="AE141" s="768"/>
      <c r="AF141" s="768" t="s">
        <v>491</v>
      </c>
      <c r="AG141" s="768"/>
      <c r="AH141" s="924">
        <v>185</v>
      </c>
      <c r="AI141" s="925">
        <v>37</v>
      </c>
    </row>
    <row r="142" spans="1:35" ht="21.95" customHeight="1">
      <c r="A142" s="576"/>
      <c r="B142" s="859" t="s">
        <v>638</v>
      </c>
      <c r="C142" s="768" t="s">
        <v>28</v>
      </c>
      <c r="D142" s="768" t="s">
        <v>491</v>
      </c>
      <c r="E142" s="768" t="s">
        <v>491</v>
      </c>
      <c r="F142" s="768" t="s">
        <v>491</v>
      </c>
      <c r="G142" s="768"/>
      <c r="H142" s="768" t="s">
        <v>491</v>
      </c>
      <c r="I142" s="768"/>
      <c r="J142" s="768"/>
      <c r="K142" s="768"/>
      <c r="L142" s="768" t="s">
        <v>491</v>
      </c>
      <c r="M142" s="768" t="s">
        <v>491</v>
      </c>
      <c r="N142" s="768" t="s">
        <v>491</v>
      </c>
      <c r="O142" s="768" t="s">
        <v>491</v>
      </c>
      <c r="P142" s="768"/>
      <c r="Q142" s="768"/>
      <c r="R142" s="970" t="s">
        <v>491</v>
      </c>
      <c r="S142" s="970" t="s">
        <v>491</v>
      </c>
      <c r="T142" s="970" t="s">
        <v>491</v>
      </c>
      <c r="U142" s="970" t="s">
        <v>491</v>
      </c>
      <c r="V142" s="970" t="s">
        <v>491</v>
      </c>
      <c r="W142" s="970"/>
      <c r="X142" s="970"/>
      <c r="Y142" s="970" t="s">
        <v>491</v>
      </c>
      <c r="Z142" s="970" t="s">
        <v>491</v>
      </c>
      <c r="AA142" s="970" t="s">
        <v>491</v>
      </c>
      <c r="AB142" s="970" t="s">
        <v>491</v>
      </c>
      <c r="AC142" s="970" t="s">
        <v>491</v>
      </c>
      <c r="AD142" s="970"/>
      <c r="AE142" s="970"/>
      <c r="AF142" s="970" t="s">
        <v>491</v>
      </c>
      <c r="AG142" s="768"/>
      <c r="AH142" s="924">
        <v>74</v>
      </c>
      <c r="AI142" s="925">
        <v>37</v>
      </c>
    </row>
    <row r="143" spans="1:35" ht="21.95" customHeight="1">
      <c r="A143" s="576"/>
      <c r="B143" s="994" t="s">
        <v>635</v>
      </c>
      <c r="C143" s="768"/>
      <c r="D143" s="768" t="s">
        <v>491</v>
      </c>
      <c r="E143" s="768" t="s">
        <v>491</v>
      </c>
      <c r="F143" s="768" t="s">
        <v>491</v>
      </c>
      <c r="G143" s="768"/>
      <c r="H143" s="768" t="s">
        <v>491</v>
      </c>
      <c r="I143" s="768"/>
      <c r="J143" s="768"/>
      <c r="K143" s="768"/>
      <c r="L143" s="768" t="s">
        <v>491</v>
      </c>
      <c r="M143" s="768" t="s">
        <v>491</v>
      </c>
      <c r="N143" s="768" t="s">
        <v>491</v>
      </c>
      <c r="O143" s="768" t="s">
        <v>491</v>
      </c>
      <c r="P143" s="768"/>
      <c r="Q143" s="768"/>
      <c r="R143" s="768" t="s">
        <v>491</v>
      </c>
      <c r="S143" s="768" t="s">
        <v>491</v>
      </c>
      <c r="T143" s="768" t="s">
        <v>491</v>
      </c>
      <c r="U143" s="768" t="s">
        <v>491</v>
      </c>
      <c r="V143" s="768" t="s">
        <v>491</v>
      </c>
      <c r="W143" s="768"/>
      <c r="X143" s="768"/>
      <c r="Y143" s="768" t="s">
        <v>491</v>
      </c>
      <c r="Z143" s="768" t="s">
        <v>491</v>
      </c>
      <c r="AA143" s="768" t="s">
        <v>491</v>
      </c>
      <c r="AB143" s="768" t="s">
        <v>491</v>
      </c>
      <c r="AC143" s="768" t="s">
        <v>491</v>
      </c>
      <c r="AD143" s="768"/>
      <c r="AE143" s="768"/>
      <c r="AF143" s="768" t="s">
        <v>491</v>
      </c>
      <c r="AG143" s="768"/>
      <c r="AH143" s="924">
        <v>185</v>
      </c>
      <c r="AI143" s="925">
        <v>37</v>
      </c>
    </row>
    <row r="144" spans="1:35" ht="21.95" customHeight="1">
      <c r="A144" s="576"/>
      <c r="B144" s="1085" t="s">
        <v>637</v>
      </c>
      <c r="C144" s="772"/>
      <c r="D144" s="772" t="s">
        <v>491</v>
      </c>
      <c r="E144" s="772" t="s">
        <v>491</v>
      </c>
      <c r="F144" s="1086" t="s">
        <v>491</v>
      </c>
      <c r="G144" s="772"/>
      <c r="H144" s="1086" t="s">
        <v>491</v>
      </c>
      <c r="I144" s="772"/>
      <c r="J144" s="772"/>
      <c r="K144" s="772"/>
      <c r="L144" s="1086" t="s">
        <v>491</v>
      </c>
      <c r="M144" s="1086" t="s">
        <v>491</v>
      </c>
      <c r="N144" s="1086" t="s">
        <v>491</v>
      </c>
      <c r="O144" s="1086" t="s">
        <v>491</v>
      </c>
      <c r="P144" s="772"/>
      <c r="Q144" s="772"/>
      <c r="R144" s="1086" t="s">
        <v>491</v>
      </c>
      <c r="S144" s="1086" t="s">
        <v>491</v>
      </c>
      <c r="T144" s="1086" t="s">
        <v>491</v>
      </c>
      <c r="U144" s="1086" t="s">
        <v>491</v>
      </c>
      <c r="V144" s="1086" t="s">
        <v>491</v>
      </c>
      <c r="W144" s="772"/>
      <c r="X144" s="772"/>
      <c r="Y144" s="772" t="s">
        <v>491</v>
      </c>
      <c r="Z144" s="772" t="s">
        <v>491</v>
      </c>
      <c r="AA144" s="772" t="s">
        <v>491</v>
      </c>
      <c r="AB144" s="772" t="s">
        <v>491</v>
      </c>
      <c r="AC144" s="772" t="s">
        <v>491</v>
      </c>
      <c r="AD144" s="772"/>
      <c r="AE144" s="772"/>
      <c r="AF144" s="772" t="s">
        <v>491</v>
      </c>
      <c r="AG144" s="772"/>
      <c r="AH144" s="597">
        <v>141</v>
      </c>
      <c r="AI144" s="598">
        <v>37</v>
      </c>
    </row>
    <row r="145" spans="1:36" ht="21.95" customHeight="1">
      <c r="A145" s="576"/>
      <c r="B145" s="993" t="s">
        <v>636</v>
      </c>
      <c r="C145" s="851"/>
      <c r="D145" s="768" t="s">
        <v>491</v>
      </c>
      <c r="E145" s="1038" t="s">
        <v>491</v>
      </c>
      <c r="F145" s="1038" t="s">
        <v>491</v>
      </c>
      <c r="G145" s="1038"/>
      <c r="H145" s="1038" t="s">
        <v>491</v>
      </c>
      <c r="I145" s="1038"/>
      <c r="J145" s="1038"/>
      <c r="K145" s="1038"/>
      <c r="L145" s="1038" t="s">
        <v>491</v>
      </c>
      <c r="M145" s="1038" t="s">
        <v>491</v>
      </c>
      <c r="N145" s="1038" t="s">
        <v>491</v>
      </c>
      <c r="O145" s="1038" t="s">
        <v>491</v>
      </c>
      <c r="P145" s="1038"/>
      <c r="Q145" s="1038"/>
      <c r="R145" s="1038" t="s">
        <v>491</v>
      </c>
      <c r="S145" s="1038" t="s">
        <v>491</v>
      </c>
      <c r="T145" s="1038" t="s">
        <v>491</v>
      </c>
      <c r="U145" s="1038" t="s">
        <v>491</v>
      </c>
      <c r="V145" s="1038" t="s">
        <v>491</v>
      </c>
      <c r="W145" s="1038"/>
      <c r="X145" s="1038"/>
      <c r="Y145" s="1038" t="s">
        <v>491</v>
      </c>
      <c r="Z145" s="1038" t="s">
        <v>491</v>
      </c>
      <c r="AA145" s="1038" t="s">
        <v>491</v>
      </c>
      <c r="AB145" s="1038" t="s">
        <v>491</v>
      </c>
      <c r="AC145" s="1038" t="s">
        <v>491</v>
      </c>
      <c r="AD145" s="1038"/>
      <c r="AE145" s="1038"/>
      <c r="AF145" s="1038" t="s">
        <v>491</v>
      </c>
      <c r="AG145" s="851"/>
      <c r="AH145" s="998"/>
      <c r="AI145" s="998"/>
    </row>
    <row r="146" spans="1:36" ht="21.95" customHeight="1" thickBot="1">
      <c r="A146" s="805" t="s">
        <v>639</v>
      </c>
      <c r="B146" s="538"/>
      <c r="C146" s="555"/>
      <c r="D146" s="538"/>
      <c r="E146" s="538"/>
      <c r="F146" s="538"/>
      <c r="G146" s="538"/>
      <c r="H146" s="538"/>
      <c r="I146" s="555"/>
      <c r="J146" s="555"/>
      <c r="K146" s="538"/>
      <c r="L146" s="538"/>
      <c r="M146" s="538"/>
      <c r="N146" s="538"/>
      <c r="O146" s="538"/>
      <c r="P146" s="538"/>
      <c r="Q146" s="555"/>
      <c r="R146" s="538"/>
      <c r="S146" s="538"/>
      <c r="T146" s="538"/>
      <c r="U146" s="538"/>
      <c r="V146" s="538"/>
      <c r="W146" s="555"/>
      <c r="X146" s="555"/>
      <c r="Y146" s="538"/>
      <c r="Z146" s="538"/>
      <c r="AA146" s="538"/>
      <c r="AB146" s="538"/>
      <c r="AC146" s="538"/>
      <c r="AD146" s="538"/>
      <c r="AE146" s="555"/>
      <c r="AF146" s="538"/>
      <c r="AG146" s="538"/>
      <c r="AH146" s="556"/>
      <c r="AI146" s="556"/>
    </row>
    <row r="147" spans="1:36" ht="21.95" customHeight="1">
      <c r="A147" s="576"/>
      <c r="B147" s="806" t="s">
        <v>589</v>
      </c>
      <c r="C147" s="814"/>
      <c r="D147" s="807" t="s">
        <v>2</v>
      </c>
      <c r="E147" s="808"/>
      <c r="F147" s="809"/>
      <c r="G147" s="810"/>
      <c r="H147" s="807" t="s">
        <v>3</v>
      </c>
      <c r="I147" s="808"/>
      <c r="J147" s="809"/>
      <c r="K147" s="810"/>
      <c r="L147" s="807" t="s">
        <v>4</v>
      </c>
      <c r="M147" s="808"/>
      <c r="N147" s="809"/>
      <c r="O147" s="810"/>
      <c r="P147" s="807" t="s">
        <v>5</v>
      </c>
      <c r="Q147" s="808"/>
      <c r="R147" s="809"/>
      <c r="S147" s="810"/>
      <c r="T147" s="807" t="s">
        <v>6</v>
      </c>
      <c r="U147" s="808"/>
      <c r="V147" s="809"/>
      <c r="W147" s="810"/>
      <c r="X147" s="807" t="s">
        <v>7</v>
      </c>
      <c r="Y147" s="808"/>
      <c r="Z147" s="809"/>
      <c r="AA147" s="810"/>
      <c r="AB147" s="807" t="s">
        <v>8</v>
      </c>
      <c r="AC147" s="808"/>
      <c r="AD147" s="808"/>
      <c r="AE147" s="811" t="s">
        <v>10</v>
      </c>
      <c r="AF147" s="808"/>
      <c r="AG147" s="808"/>
      <c r="AH147" s="808"/>
      <c r="AI147" s="812"/>
    </row>
    <row r="148" spans="1:36" ht="21.95" customHeight="1">
      <c r="A148" s="576"/>
      <c r="B148" s="832"/>
      <c r="C148" s="815"/>
      <c r="D148" s="831"/>
      <c r="E148" s="816"/>
      <c r="F148" s="813"/>
      <c r="G148" s="815"/>
      <c r="H148" s="831"/>
      <c r="I148" s="816"/>
      <c r="J148" s="813"/>
      <c r="K148" s="815"/>
      <c r="L148" s="831"/>
      <c r="M148" s="816"/>
      <c r="N148" s="813"/>
      <c r="O148" s="815"/>
      <c r="P148" s="831"/>
      <c r="Q148" s="816"/>
      <c r="R148" s="813"/>
      <c r="S148" s="815"/>
      <c r="T148" s="831"/>
      <c r="U148" s="816"/>
      <c r="V148" s="813"/>
      <c r="W148" s="815"/>
      <c r="X148" s="816"/>
      <c r="Y148" s="816"/>
      <c r="Z148" s="813"/>
      <c r="AA148" s="815"/>
      <c r="AB148" s="816"/>
      <c r="AC148" s="816"/>
      <c r="AD148" s="816"/>
      <c r="AE148" s="815"/>
      <c r="AF148" s="816"/>
      <c r="AG148" s="816"/>
      <c r="AH148" s="818"/>
      <c r="AI148" s="819"/>
    </row>
    <row r="149" spans="1:36" ht="21.95" customHeight="1">
      <c r="A149" s="576"/>
      <c r="B149" s="833"/>
      <c r="C149" s="815"/>
      <c r="D149" s="831"/>
      <c r="E149" s="816"/>
      <c r="F149" s="813"/>
      <c r="G149" s="815"/>
      <c r="H149" s="831"/>
      <c r="I149" s="816"/>
      <c r="J149" s="813"/>
      <c r="K149" s="815"/>
      <c r="L149" s="831"/>
      <c r="M149" s="816"/>
      <c r="N149" s="813"/>
      <c r="O149" s="815"/>
      <c r="P149" s="831"/>
      <c r="Q149" s="816"/>
      <c r="R149" s="813"/>
      <c r="S149" s="815"/>
      <c r="T149" s="831"/>
      <c r="U149" s="816"/>
      <c r="V149" s="813"/>
      <c r="W149" s="815"/>
      <c r="X149" s="816"/>
      <c r="Y149" s="816"/>
      <c r="Z149" s="813"/>
      <c r="AA149" s="815"/>
      <c r="AB149" s="816"/>
      <c r="AC149" s="816"/>
      <c r="AD149" s="816"/>
      <c r="AE149" s="815"/>
      <c r="AF149" s="816"/>
      <c r="AG149" s="816"/>
      <c r="AH149" s="818"/>
      <c r="AI149" s="819"/>
    </row>
    <row r="150" spans="1:36" ht="21.95" customHeight="1">
      <c r="A150" s="576"/>
      <c r="B150" s="833"/>
      <c r="C150" s="815"/>
      <c r="D150" s="831"/>
      <c r="E150" s="816"/>
      <c r="F150" s="813"/>
      <c r="G150" s="815"/>
      <c r="H150" s="831"/>
      <c r="I150" s="816"/>
      <c r="J150" s="813"/>
      <c r="K150" s="815"/>
      <c r="L150" s="831"/>
      <c r="M150" s="816"/>
      <c r="N150" s="813"/>
      <c r="O150" s="815"/>
      <c r="P150" s="831"/>
      <c r="Q150" s="816"/>
      <c r="R150" s="813"/>
      <c r="S150" s="815"/>
      <c r="T150" s="831"/>
      <c r="U150" s="816"/>
      <c r="V150" s="813"/>
      <c r="W150" s="815"/>
      <c r="X150" s="816"/>
      <c r="Y150" s="816"/>
      <c r="Z150" s="813"/>
      <c r="AA150" s="815"/>
      <c r="AB150" s="816"/>
      <c r="AC150" s="816"/>
      <c r="AD150" s="816"/>
      <c r="AE150" s="815"/>
      <c r="AF150" s="816"/>
      <c r="AG150" s="816"/>
      <c r="AH150" s="818"/>
      <c r="AI150" s="819"/>
    </row>
    <row r="151" spans="1:36" ht="21.95" customHeight="1" thickBot="1">
      <c r="A151" s="576"/>
      <c r="B151" s="847"/>
      <c r="C151" s="555"/>
      <c r="D151" s="555"/>
      <c r="E151" s="555"/>
      <c r="F151" s="555"/>
      <c r="G151" s="555"/>
      <c r="H151" s="555"/>
      <c r="I151" s="555"/>
      <c r="J151" s="555"/>
      <c r="K151" s="555"/>
      <c r="L151" s="555"/>
      <c r="M151" s="555"/>
      <c r="N151" s="555"/>
      <c r="O151" s="555"/>
      <c r="P151" s="555"/>
      <c r="Q151" s="555"/>
      <c r="R151" s="555"/>
      <c r="S151" s="555"/>
      <c r="T151" s="555"/>
      <c r="U151" s="555"/>
      <c r="V151" s="555"/>
      <c r="W151" s="555"/>
      <c r="X151" s="555"/>
      <c r="Y151" s="555"/>
      <c r="Z151" s="555"/>
      <c r="AA151" s="555"/>
      <c r="AB151" s="555"/>
      <c r="AC151" s="555"/>
      <c r="AD151" s="555"/>
      <c r="AE151" s="555"/>
      <c r="AF151" s="555"/>
      <c r="AG151" s="555"/>
      <c r="AH151" s="556"/>
      <c r="AI151" s="556"/>
    </row>
    <row r="152" spans="1:36" ht="21.95" customHeight="1" thickBot="1">
      <c r="A152" s="785"/>
      <c r="B152" s="883" t="s">
        <v>476</v>
      </c>
      <c r="C152" s="944">
        <v>1</v>
      </c>
      <c r="D152" s="863">
        <v>2</v>
      </c>
      <c r="E152" s="863">
        <v>3</v>
      </c>
      <c r="F152" s="863">
        <v>4</v>
      </c>
      <c r="G152" s="880">
        <v>5</v>
      </c>
      <c r="H152" s="863">
        <v>6</v>
      </c>
      <c r="I152" s="880">
        <v>7</v>
      </c>
      <c r="J152" s="880">
        <v>8</v>
      </c>
      <c r="K152" s="880">
        <v>9</v>
      </c>
      <c r="L152" s="863">
        <v>10</v>
      </c>
      <c r="M152" s="863">
        <v>11</v>
      </c>
      <c r="N152" s="863">
        <v>12</v>
      </c>
      <c r="O152" s="863">
        <v>13</v>
      </c>
      <c r="P152" s="880">
        <v>14</v>
      </c>
      <c r="Q152" s="880">
        <v>15</v>
      </c>
      <c r="R152" s="863">
        <v>16</v>
      </c>
      <c r="S152" s="863">
        <v>17</v>
      </c>
      <c r="T152" s="863">
        <v>18</v>
      </c>
      <c r="U152" s="863">
        <v>19</v>
      </c>
      <c r="V152" s="863">
        <v>20</v>
      </c>
      <c r="W152" s="880">
        <v>21</v>
      </c>
      <c r="X152" s="880">
        <v>22</v>
      </c>
      <c r="Y152" s="863">
        <v>23</v>
      </c>
      <c r="Z152" s="863">
        <v>24</v>
      </c>
      <c r="AA152" s="863">
        <v>25</v>
      </c>
      <c r="AB152" s="863">
        <v>26</v>
      </c>
      <c r="AC152" s="863">
        <v>27</v>
      </c>
      <c r="AD152" s="880">
        <v>28</v>
      </c>
      <c r="AE152" s="880">
        <v>29</v>
      </c>
      <c r="AF152" s="863">
        <v>30</v>
      </c>
      <c r="AG152" s="945"/>
      <c r="AH152" s="884" t="s">
        <v>477</v>
      </c>
      <c r="AI152" s="885" t="s">
        <v>478</v>
      </c>
    </row>
    <row r="153" spans="1:36" ht="21.95" customHeight="1">
      <c r="A153" s="576"/>
      <c r="B153" s="890" t="s">
        <v>640</v>
      </c>
      <c r="C153" s="764" t="s">
        <v>28</v>
      </c>
      <c r="D153" s="764" t="s">
        <v>491</v>
      </c>
      <c r="E153" s="764" t="s">
        <v>491</v>
      </c>
      <c r="F153" s="764" t="s">
        <v>491</v>
      </c>
      <c r="G153" s="764"/>
      <c r="H153" s="764" t="s">
        <v>491</v>
      </c>
      <c r="I153" s="764"/>
      <c r="J153" s="764"/>
      <c r="K153" s="764"/>
      <c r="L153" s="764" t="s">
        <v>491</v>
      </c>
      <c r="M153" s="764" t="s">
        <v>491</v>
      </c>
      <c r="N153" s="764" t="s">
        <v>491</v>
      </c>
      <c r="O153" s="764" t="s">
        <v>491</v>
      </c>
      <c r="P153" s="764"/>
      <c r="Q153" s="764"/>
      <c r="R153" s="764" t="s">
        <v>491</v>
      </c>
      <c r="S153" s="764" t="s">
        <v>491</v>
      </c>
      <c r="T153" s="764" t="s">
        <v>491</v>
      </c>
      <c r="U153" s="764" t="s">
        <v>491</v>
      </c>
      <c r="V153" s="764" t="s">
        <v>491</v>
      </c>
      <c r="W153" s="764"/>
      <c r="X153" s="764"/>
      <c r="Y153" s="764" t="s">
        <v>491</v>
      </c>
      <c r="Z153" s="764" t="s">
        <v>491</v>
      </c>
      <c r="AA153" s="764" t="s">
        <v>491</v>
      </c>
      <c r="AB153" s="764" t="s">
        <v>491</v>
      </c>
      <c r="AC153" s="764" t="s">
        <v>491</v>
      </c>
      <c r="AD153" s="764"/>
      <c r="AE153" s="764"/>
      <c r="AF153" s="764" t="s">
        <v>491</v>
      </c>
      <c r="AG153" s="764"/>
      <c r="AH153" s="510">
        <v>148</v>
      </c>
      <c r="AI153" s="511">
        <v>37</v>
      </c>
    </row>
    <row r="154" spans="1:36" ht="21.95" customHeight="1">
      <c r="A154" s="576"/>
      <c r="B154" s="859" t="s">
        <v>742</v>
      </c>
      <c r="C154" s="768" t="s">
        <v>28</v>
      </c>
      <c r="D154" s="768" t="s">
        <v>491</v>
      </c>
      <c r="E154" s="768" t="s">
        <v>491</v>
      </c>
      <c r="F154" s="768" t="s">
        <v>491</v>
      </c>
      <c r="G154" s="768"/>
      <c r="H154" s="768" t="s">
        <v>491</v>
      </c>
      <c r="I154" s="768"/>
      <c r="J154" s="768"/>
      <c r="K154" s="768"/>
      <c r="L154" s="768" t="s">
        <v>491</v>
      </c>
      <c r="M154" s="768" t="s">
        <v>491</v>
      </c>
      <c r="N154" s="768" t="s">
        <v>491</v>
      </c>
      <c r="O154" s="768" t="s">
        <v>491</v>
      </c>
      <c r="P154" s="768"/>
      <c r="Q154" s="768"/>
      <c r="R154" s="768" t="s">
        <v>491</v>
      </c>
      <c r="S154" s="768" t="s">
        <v>491</v>
      </c>
      <c r="T154" s="768" t="s">
        <v>491</v>
      </c>
      <c r="U154" s="768" t="s">
        <v>491</v>
      </c>
      <c r="V154" s="768" t="s">
        <v>491</v>
      </c>
      <c r="W154" s="768"/>
      <c r="X154" s="768"/>
      <c r="Y154" s="768" t="s">
        <v>491</v>
      </c>
      <c r="Z154" s="768" t="s">
        <v>491</v>
      </c>
      <c r="AA154" s="768" t="s">
        <v>491</v>
      </c>
      <c r="AB154" s="768" t="s">
        <v>491</v>
      </c>
      <c r="AC154" s="768" t="s">
        <v>491</v>
      </c>
      <c r="AD154" s="768"/>
      <c r="AE154" s="768"/>
      <c r="AF154" s="768" t="s">
        <v>491</v>
      </c>
      <c r="AG154" s="768"/>
      <c r="AH154" s="924">
        <v>185</v>
      </c>
      <c r="AI154" s="925">
        <v>37</v>
      </c>
    </row>
    <row r="155" spans="1:36" ht="21.95" customHeight="1">
      <c r="A155" s="576"/>
      <c r="B155" s="821" t="s">
        <v>641</v>
      </c>
      <c r="C155" s="768" t="s">
        <v>28</v>
      </c>
      <c r="D155" s="970" t="s">
        <v>491</v>
      </c>
      <c r="E155" s="768" t="s">
        <v>491</v>
      </c>
      <c r="F155" s="768" t="s">
        <v>491</v>
      </c>
      <c r="G155" s="768"/>
      <c r="H155" s="970" t="s">
        <v>491</v>
      </c>
      <c r="I155" s="768"/>
      <c r="J155" s="768"/>
      <c r="K155" s="768"/>
      <c r="L155" s="768" t="s">
        <v>491</v>
      </c>
      <c r="M155" s="768" t="s">
        <v>491</v>
      </c>
      <c r="N155" s="768" t="s">
        <v>491</v>
      </c>
      <c r="O155" s="768" t="s">
        <v>491</v>
      </c>
      <c r="P155" s="768"/>
      <c r="Q155" s="768"/>
      <c r="R155" s="1038" t="s">
        <v>491</v>
      </c>
      <c r="S155" s="1038" t="s">
        <v>491</v>
      </c>
      <c r="T155" s="1038" t="s">
        <v>491</v>
      </c>
      <c r="U155" s="1038" t="s">
        <v>491</v>
      </c>
      <c r="V155" s="1038" t="s">
        <v>714</v>
      </c>
      <c r="W155" s="768"/>
      <c r="X155" s="768"/>
      <c r="Y155" s="768" t="s">
        <v>491</v>
      </c>
      <c r="Z155" s="768" t="s">
        <v>491</v>
      </c>
      <c r="AA155" s="768" t="s">
        <v>491</v>
      </c>
      <c r="AB155" s="768" t="s">
        <v>491</v>
      </c>
      <c r="AC155" s="768" t="s">
        <v>491</v>
      </c>
      <c r="AD155" s="768"/>
      <c r="AE155" s="768"/>
      <c r="AF155" s="768" t="s">
        <v>491</v>
      </c>
      <c r="AG155" s="768"/>
      <c r="AH155" s="924">
        <v>156</v>
      </c>
      <c r="AI155" s="925">
        <v>37</v>
      </c>
    </row>
    <row r="156" spans="1:36" ht="21.95" customHeight="1">
      <c r="A156" s="576"/>
      <c r="B156" s="821" t="s">
        <v>642</v>
      </c>
      <c r="C156" s="768" t="s">
        <v>28</v>
      </c>
      <c r="D156" s="768" t="s">
        <v>491</v>
      </c>
      <c r="E156" s="768" t="s">
        <v>491</v>
      </c>
      <c r="F156" s="768" t="s">
        <v>491</v>
      </c>
      <c r="G156" s="768"/>
      <c r="H156" s="768" t="s">
        <v>491</v>
      </c>
      <c r="I156" s="768"/>
      <c r="J156" s="768"/>
      <c r="K156" s="768"/>
      <c r="L156" s="768" t="s">
        <v>491</v>
      </c>
      <c r="M156" s="768" t="s">
        <v>491</v>
      </c>
      <c r="N156" s="768" t="s">
        <v>491</v>
      </c>
      <c r="O156" s="768" t="s">
        <v>491</v>
      </c>
      <c r="P156" s="768"/>
      <c r="Q156" s="768"/>
      <c r="R156" s="768" t="s">
        <v>491</v>
      </c>
      <c r="S156" s="768" t="s">
        <v>491</v>
      </c>
      <c r="T156" s="768" t="s">
        <v>491</v>
      </c>
      <c r="U156" s="768" t="s">
        <v>491</v>
      </c>
      <c r="V156" s="768" t="s">
        <v>491</v>
      </c>
      <c r="W156" s="768"/>
      <c r="X156" s="768"/>
      <c r="Y156" s="768" t="s">
        <v>491</v>
      </c>
      <c r="Z156" s="768" t="s">
        <v>491</v>
      </c>
      <c r="AA156" s="768" t="s">
        <v>491</v>
      </c>
      <c r="AB156" s="768" t="s">
        <v>491</v>
      </c>
      <c r="AC156" s="768" t="s">
        <v>491</v>
      </c>
      <c r="AD156" s="768"/>
      <c r="AE156" s="768"/>
      <c r="AF156" s="768" t="s">
        <v>491</v>
      </c>
      <c r="AG156" s="768"/>
      <c r="AH156" s="924">
        <v>200</v>
      </c>
      <c r="AI156" s="925">
        <v>37</v>
      </c>
    </row>
    <row r="157" spans="1:36" ht="21.95" customHeight="1">
      <c r="A157" s="576"/>
      <c r="B157" s="821" t="s">
        <v>643</v>
      </c>
      <c r="C157" s="768" t="s">
        <v>28</v>
      </c>
      <c r="D157" s="768" t="s">
        <v>491</v>
      </c>
      <c r="E157" s="768" t="s">
        <v>491</v>
      </c>
      <c r="F157" s="768" t="s">
        <v>491</v>
      </c>
      <c r="G157" s="768"/>
      <c r="H157" s="970" t="s">
        <v>491</v>
      </c>
      <c r="I157" s="768"/>
      <c r="J157" s="768"/>
      <c r="K157" s="768"/>
      <c r="L157" s="768" t="s">
        <v>491</v>
      </c>
      <c r="M157" s="768" t="s">
        <v>491</v>
      </c>
      <c r="N157" s="768" t="s">
        <v>491</v>
      </c>
      <c r="O157" s="768" t="s">
        <v>491</v>
      </c>
      <c r="P157" s="768"/>
      <c r="Q157" s="768"/>
      <c r="R157" s="768" t="s">
        <v>491</v>
      </c>
      <c r="S157" s="768" t="s">
        <v>491</v>
      </c>
      <c r="T157" s="768" t="s">
        <v>491</v>
      </c>
      <c r="U157" s="768" t="s">
        <v>491</v>
      </c>
      <c r="V157" s="768" t="s">
        <v>491</v>
      </c>
      <c r="W157" s="768"/>
      <c r="X157" s="768"/>
      <c r="Y157" s="768" t="s">
        <v>491</v>
      </c>
      <c r="Z157" s="768" t="s">
        <v>491</v>
      </c>
      <c r="AA157" s="768" t="s">
        <v>491</v>
      </c>
      <c r="AB157" s="768" t="s">
        <v>491</v>
      </c>
      <c r="AC157" s="768" t="s">
        <v>491</v>
      </c>
      <c r="AD157" s="768"/>
      <c r="AE157" s="768"/>
      <c r="AF157" s="970" t="s">
        <v>491</v>
      </c>
      <c r="AG157" s="768"/>
      <c r="AH157" s="924">
        <v>74.5</v>
      </c>
      <c r="AI157" s="925">
        <v>37</v>
      </c>
    </row>
    <row r="158" spans="1:36" ht="21.95" customHeight="1" thickBot="1">
      <c r="A158" s="576"/>
      <c r="B158" s="891"/>
      <c r="C158" s="768" t="s">
        <v>28</v>
      </c>
      <c r="D158" s="768" t="s">
        <v>491</v>
      </c>
      <c r="E158" s="768" t="s">
        <v>491</v>
      </c>
      <c r="F158" s="768" t="s">
        <v>491</v>
      </c>
      <c r="G158" s="768"/>
      <c r="H158" s="768" t="s">
        <v>491</v>
      </c>
      <c r="I158" s="768"/>
      <c r="J158" s="768"/>
      <c r="K158" s="768"/>
      <c r="L158" s="768" t="s">
        <v>491</v>
      </c>
      <c r="M158" s="768" t="s">
        <v>491</v>
      </c>
      <c r="N158" s="768" t="s">
        <v>491</v>
      </c>
      <c r="O158" s="768" t="s">
        <v>491</v>
      </c>
      <c r="P158" s="768"/>
      <c r="Q158" s="768"/>
      <c r="R158" s="768" t="s">
        <v>491</v>
      </c>
      <c r="S158" s="768" t="s">
        <v>491</v>
      </c>
      <c r="T158" s="768" t="s">
        <v>491</v>
      </c>
      <c r="U158" s="768" t="s">
        <v>491</v>
      </c>
      <c r="V158" s="768" t="s">
        <v>491</v>
      </c>
      <c r="W158" s="768"/>
      <c r="X158" s="768"/>
      <c r="Y158" s="768" t="s">
        <v>491</v>
      </c>
      <c r="Z158" s="768" t="s">
        <v>491</v>
      </c>
      <c r="AA158" s="768" t="s">
        <v>491</v>
      </c>
      <c r="AB158" s="768" t="s">
        <v>491</v>
      </c>
      <c r="AC158" s="768" t="s">
        <v>491</v>
      </c>
      <c r="AD158" s="768"/>
      <c r="AE158" s="768"/>
      <c r="AF158" s="768" t="s">
        <v>491</v>
      </c>
      <c r="AG158" s="768"/>
      <c r="AH158" s="868">
        <v>185</v>
      </c>
      <c r="AI158" s="869">
        <v>37</v>
      </c>
    </row>
    <row r="159" spans="1:36" ht="21.95" customHeight="1">
      <c r="A159" s="576"/>
      <c r="B159" s="847"/>
      <c r="C159" s="555"/>
      <c r="D159" s="555"/>
      <c r="E159" s="555"/>
      <c r="F159" s="555"/>
      <c r="G159" s="555"/>
      <c r="H159" s="555"/>
      <c r="I159" s="555"/>
      <c r="J159" s="555"/>
      <c r="K159" s="555"/>
      <c r="L159" s="555"/>
      <c r="M159" s="555"/>
      <c r="N159" s="555"/>
      <c r="O159" s="555"/>
      <c r="P159" s="555"/>
      <c r="Q159" s="555"/>
      <c r="R159" s="555"/>
      <c r="S159" s="555"/>
      <c r="T159" s="555"/>
      <c r="U159" s="555"/>
      <c r="V159" s="555"/>
      <c r="W159" s="555"/>
      <c r="X159" s="555"/>
      <c r="Y159" s="555"/>
      <c r="Z159" s="555"/>
      <c r="AA159" s="555"/>
      <c r="AB159" s="555"/>
      <c r="AC159" s="555"/>
      <c r="AD159" s="555"/>
      <c r="AE159" s="555"/>
      <c r="AF159" s="555"/>
      <c r="AG159" s="555"/>
      <c r="AH159" s="556"/>
      <c r="AI159" s="556"/>
    </row>
    <row r="160" spans="1:36" ht="21.95" customHeight="1">
      <c r="A160" s="312" t="s">
        <v>644</v>
      </c>
      <c r="C160" s="555"/>
      <c r="D160" s="555"/>
      <c r="E160" s="555"/>
      <c r="F160" s="555"/>
      <c r="G160" s="555"/>
      <c r="H160" s="555"/>
      <c r="I160" s="555"/>
      <c r="J160" s="555"/>
      <c r="K160" s="555"/>
      <c r="L160" s="555"/>
      <c r="M160" s="555"/>
      <c r="N160" s="555"/>
      <c r="O160" s="555"/>
      <c r="P160" s="555"/>
      <c r="Q160" s="555"/>
      <c r="R160" s="555"/>
      <c r="S160" s="555"/>
      <c r="T160" s="555"/>
      <c r="U160" s="555"/>
      <c r="V160" s="555"/>
      <c r="W160" s="555"/>
      <c r="X160" s="555"/>
      <c r="Y160" s="555"/>
      <c r="Z160" s="555"/>
      <c r="AA160" s="555"/>
      <c r="AB160" s="555"/>
      <c r="AC160" s="555"/>
      <c r="AD160" s="555"/>
      <c r="AE160" s="555"/>
      <c r="AF160" s="555"/>
      <c r="AG160" s="555"/>
      <c r="AH160" s="556"/>
      <c r="AI160" s="556"/>
      <c r="AJ160" s="361"/>
    </row>
    <row r="161" spans="1:37" ht="21.95" customHeight="1">
      <c r="A161" s="299" t="s">
        <v>475</v>
      </c>
      <c r="B161" s="299"/>
      <c r="C161" s="153"/>
      <c r="D161" s="299" t="s">
        <v>2</v>
      </c>
      <c r="E161" s="186"/>
      <c r="F161" s="153"/>
      <c r="G161" s="299" t="s">
        <v>3</v>
      </c>
      <c r="H161" s="186"/>
      <c r="I161" s="153"/>
      <c r="J161" s="299" t="s">
        <v>4</v>
      </c>
      <c r="K161" s="186"/>
      <c r="L161" s="153"/>
      <c r="M161" s="299" t="s">
        <v>5</v>
      </c>
      <c r="N161" s="186"/>
      <c r="O161" s="153"/>
      <c r="P161" s="299" t="s">
        <v>6</v>
      </c>
      <c r="Q161" s="186"/>
      <c r="R161" s="134"/>
      <c r="S161" s="199" t="s">
        <v>7</v>
      </c>
      <c r="T161" s="186"/>
      <c r="U161" s="153"/>
      <c r="V161" s="299" t="s">
        <v>8</v>
      </c>
      <c r="W161" s="186"/>
      <c r="X161" s="585" t="s">
        <v>10</v>
      </c>
      <c r="Y161" s="186"/>
      <c r="Z161" s="186"/>
      <c r="AA161" s="561"/>
      <c r="AB161" s="483"/>
      <c r="AC161" s="483"/>
      <c r="AD161" s="483"/>
      <c r="AE161" s="483"/>
      <c r="AF161" s="483"/>
      <c r="AG161" s="484"/>
      <c r="AH161" s="361"/>
      <c r="AI161" s="361"/>
      <c r="AJ161" s="361"/>
    </row>
    <row r="162" spans="1:37" ht="21.95" customHeight="1">
      <c r="A162" s="130">
        <v>8517</v>
      </c>
      <c r="B162" s="500" t="s">
        <v>645</v>
      </c>
      <c r="C162" s="584" t="s">
        <v>124</v>
      </c>
      <c r="D162" s="581"/>
      <c r="E162" s="586"/>
      <c r="F162" s="584" t="s">
        <v>124</v>
      </c>
      <c r="G162" s="587"/>
      <c r="H162" s="586"/>
      <c r="I162" s="121" t="s">
        <v>124</v>
      </c>
      <c r="J162" s="565"/>
      <c r="K162" s="588"/>
      <c r="L162" s="121" t="s">
        <v>124</v>
      </c>
      <c r="M162" s="565"/>
      <c r="N162" s="588"/>
      <c r="O162" s="121" t="s">
        <v>125</v>
      </c>
      <c r="P162" s="565"/>
      <c r="Q162" s="477"/>
      <c r="R162" s="589" t="s">
        <v>28</v>
      </c>
      <c r="S162" s="565"/>
      <c r="T162" s="588"/>
      <c r="U162" s="565" t="s">
        <v>28</v>
      </c>
      <c r="V162" s="565"/>
      <c r="W162" s="477"/>
      <c r="X162" s="145" t="s">
        <v>28</v>
      </c>
      <c r="Y162" s="361"/>
      <c r="Z162" s="361"/>
      <c r="AA162" s="361"/>
      <c r="AB162" s="361"/>
      <c r="AC162" s="361"/>
      <c r="AD162" s="361"/>
      <c r="AE162" s="361"/>
      <c r="AF162" s="361"/>
      <c r="AG162" s="590"/>
      <c r="AH162" s="361"/>
      <c r="AI162" s="361"/>
      <c r="AJ162" s="361"/>
    </row>
    <row r="163" spans="1:37" ht="21.95" customHeight="1">
      <c r="A163" s="591">
        <v>8502</v>
      </c>
      <c r="B163" s="592" t="s">
        <v>646</v>
      </c>
      <c r="C163" s="121" t="s">
        <v>11</v>
      </c>
      <c r="D163" s="565"/>
      <c r="E163" s="477"/>
      <c r="F163" s="121" t="s">
        <v>11</v>
      </c>
      <c r="G163" s="565"/>
      <c r="H163" s="588"/>
      <c r="I163" s="121" t="s">
        <v>11</v>
      </c>
      <c r="J163" s="565"/>
      <c r="K163" s="588"/>
      <c r="L163" s="121" t="s">
        <v>11</v>
      </c>
      <c r="M163" s="565"/>
      <c r="N163" s="588"/>
      <c r="O163" s="121" t="s">
        <v>12</v>
      </c>
      <c r="P163" s="565"/>
      <c r="Q163" s="477"/>
      <c r="R163" s="593"/>
      <c r="S163" s="594"/>
      <c r="T163" s="588"/>
      <c r="U163" s="565"/>
      <c r="V163" s="565"/>
      <c r="W163" s="477"/>
      <c r="X163" s="476"/>
      <c r="Y163" s="483"/>
      <c r="Z163" s="483"/>
      <c r="AA163" s="483"/>
      <c r="AB163" s="483"/>
      <c r="AC163" s="483"/>
      <c r="AD163" s="483"/>
      <c r="AE163" s="483"/>
      <c r="AF163" s="483"/>
      <c r="AG163" s="484"/>
      <c r="AH163" s="361"/>
      <c r="AI163" s="361"/>
      <c r="AJ163" s="361"/>
    </row>
    <row r="164" spans="1:37" ht="21.95" customHeight="1" thickBot="1">
      <c r="A164" s="274"/>
      <c r="B164" s="516"/>
      <c r="C164" s="354"/>
      <c r="D164" s="354"/>
      <c r="E164" s="73"/>
      <c r="F164" s="354"/>
      <c r="G164" s="354"/>
      <c r="H164" s="73"/>
      <c r="I164" s="354"/>
      <c r="J164" s="354"/>
      <c r="K164" s="73"/>
      <c r="L164" s="354"/>
      <c r="M164" s="354"/>
      <c r="N164" s="73"/>
      <c r="O164" s="354"/>
      <c r="P164" s="354"/>
      <c r="Q164" s="73"/>
      <c r="R164" s="168"/>
      <c r="S164" s="354"/>
      <c r="T164" s="73"/>
      <c r="U164" s="354"/>
      <c r="V164" s="354"/>
      <c r="W164" s="73"/>
      <c r="X164" s="73"/>
      <c r="Y164" s="361"/>
      <c r="Z164" s="361"/>
      <c r="AA164" s="361"/>
      <c r="AB164" s="361"/>
      <c r="AC164" s="361"/>
      <c r="AD164" s="361"/>
      <c r="AE164" s="361"/>
      <c r="AF164" s="361"/>
      <c r="AG164" s="361"/>
      <c r="AH164" s="361"/>
      <c r="AI164" s="361"/>
    </row>
    <row r="165" spans="1:37" ht="21.95" customHeight="1" thickBot="1">
      <c r="A165" s="595"/>
      <c r="B165" s="862" t="s">
        <v>476</v>
      </c>
      <c r="C165" s="880">
        <v>1</v>
      </c>
      <c r="D165" s="863">
        <v>2</v>
      </c>
      <c r="E165" s="863">
        <v>3</v>
      </c>
      <c r="F165" s="863">
        <v>4</v>
      </c>
      <c r="G165" s="880">
        <v>5</v>
      </c>
      <c r="H165" s="863">
        <v>6</v>
      </c>
      <c r="I165" s="880">
        <v>7</v>
      </c>
      <c r="J165" s="880">
        <v>8</v>
      </c>
      <c r="K165" s="880">
        <v>9</v>
      </c>
      <c r="L165" s="863">
        <v>10</v>
      </c>
      <c r="M165" s="863">
        <v>11</v>
      </c>
      <c r="N165" s="863">
        <v>12</v>
      </c>
      <c r="O165" s="863">
        <v>13</v>
      </c>
      <c r="P165" s="880">
        <v>14</v>
      </c>
      <c r="Q165" s="880">
        <v>15</v>
      </c>
      <c r="R165" s="863">
        <v>16</v>
      </c>
      <c r="S165" s="863">
        <v>17</v>
      </c>
      <c r="T165" s="863">
        <v>18</v>
      </c>
      <c r="U165" s="863">
        <v>19</v>
      </c>
      <c r="V165" s="863">
        <v>20</v>
      </c>
      <c r="W165" s="880">
        <v>21</v>
      </c>
      <c r="X165" s="880">
        <v>22</v>
      </c>
      <c r="Y165" s="863">
        <v>23</v>
      </c>
      <c r="Z165" s="863">
        <v>24</v>
      </c>
      <c r="AA165" s="863">
        <v>25</v>
      </c>
      <c r="AB165" s="863">
        <v>26</v>
      </c>
      <c r="AC165" s="863">
        <v>27</v>
      </c>
      <c r="AD165" s="880">
        <v>28</v>
      </c>
      <c r="AE165" s="880">
        <v>29</v>
      </c>
      <c r="AF165" s="863">
        <v>30</v>
      </c>
      <c r="AG165" s="943"/>
      <c r="AH165" s="864" t="s">
        <v>477</v>
      </c>
      <c r="AI165" s="865" t="s">
        <v>478</v>
      </c>
    </row>
    <row r="166" spans="1:37" ht="21.95" customHeight="1">
      <c r="A166" s="596">
        <v>1</v>
      </c>
      <c r="B166" s="54" t="s">
        <v>647</v>
      </c>
      <c r="C166" s="1038" t="s">
        <v>28</v>
      </c>
      <c r="D166" s="1038" t="s">
        <v>491</v>
      </c>
      <c r="E166" s="1038" t="s">
        <v>491</v>
      </c>
      <c r="F166" s="1038" t="s">
        <v>491</v>
      </c>
      <c r="G166" s="1038"/>
      <c r="H166" s="1038" t="s">
        <v>491</v>
      </c>
      <c r="I166" s="1038"/>
      <c r="J166" s="1038"/>
      <c r="K166" s="1038"/>
      <c r="L166" s="1038" t="s">
        <v>491</v>
      </c>
      <c r="M166" s="1038" t="s">
        <v>491</v>
      </c>
      <c r="N166" s="1038" t="s">
        <v>491</v>
      </c>
      <c r="O166" s="1038" t="s">
        <v>491</v>
      </c>
      <c r="P166" s="1038"/>
      <c r="Q166" s="1038"/>
      <c r="R166" s="1038" t="s">
        <v>491</v>
      </c>
      <c r="S166" s="1038" t="s">
        <v>491</v>
      </c>
      <c r="T166" s="1038" t="s">
        <v>491</v>
      </c>
      <c r="U166" s="1038" t="s">
        <v>491</v>
      </c>
      <c r="V166" s="1038" t="s">
        <v>491</v>
      </c>
      <c r="W166" s="1038"/>
      <c r="X166" s="1038"/>
      <c r="Y166" s="1038" t="s">
        <v>491</v>
      </c>
      <c r="Z166" s="1038" t="s">
        <v>491</v>
      </c>
      <c r="AA166" s="1038" t="s">
        <v>491</v>
      </c>
      <c r="AB166" s="1038" t="s">
        <v>491</v>
      </c>
      <c r="AC166" s="1038" t="s">
        <v>491</v>
      </c>
      <c r="AD166" s="1038"/>
      <c r="AE166" s="1038"/>
      <c r="AF166" s="1038" t="s">
        <v>493</v>
      </c>
      <c r="AG166" s="768"/>
      <c r="AH166" s="892">
        <v>185</v>
      </c>
      <c r="AI166" s="893">
        <v>37</v>
      </c>
    </row>
    <row r="167" spans="1:37" ht="21.95" customHeight="1">
      <c r="A167" s="596">
        <v>2</v>
      </c>
      <c r="B167" s="153" t="s">
        <v>648</v>
      </c>
      <c r="C167" s="768" t="s">
        <v>28</v>
      </c>
      <c r="D167" s="768" t="s">
        <v>583</v>
      </c>
      <c r="E167" s="768" t="s">
        <v>583</v>
      </c>
      <c r="F167" s="768" t="s">
        <v>583</v>
      </c>
      <c r="G167" s="768" t="s">
        <v>583</v>
      </c>
      <c r="H167" s="768" t="s">
        <v>583</v>
      </c>
      <c r="I167" s="768" t="s">
        <v>583</v>
      </c>
      <c r="J167" s="768"/>
      <c r="K167" s="768"/>
      <c r="L167" s="764" t="s">
        <v>583</v>
      </c>
      <c r="M167" s="768" t="s">
        <v>583</v>
      </c>
      <c r="N167" s="768" t="s">
        <v>583</v>
      </c>
      <c r="O167" s="768" t="s">
        <v>583</v>
      </c>
      <c r="P167" s="768"/>
      <c r="Q167" s="768"/>
      <c r="R167" s="768" t="s">
        <v>583</v>
      </c>
      <c r="S167" s="764">
        <v>6</v>
      </c>
      <c r="T167" s="764">
        <v>6</v>
      </c>
      <c r="U167" s="764">
        <v>6</v>
      </c>
      <c r="V167" s="768" t="s">
        <v>583</v>
      </c>
      <c r="W167" s="768"/>
      <c r="X167" s="768"/>
      <c r="Y167" s="768" t="s">
        <v>553</v>
      </c>
      <c r="Z167" s="768" t="s">
        <v>553</v>
      </c>
      <c r="AA167" s="768" t="s">
        <v>553</v>
      </c>
      <c r="AB167" s="768" t="s">
        <v>554</v>
      </c>
      <c r="AC167" s="764" t="s">
        <v>554</v>
      </c>
      <c r="AD167" s="768"/>
      <c r="AE167" s="768"/>
      <c r="AF167" s="764" t="s">
        <v>583</v>
      </c>
      <c r="AG167" s="768"/>
      <c r="AH167" s="822">
        <v>185</v>
      </c>
      <c r="AI167" s="823">
        <v>37</v>
      </c>
    </row>
    <row r="168" spans="1:37" ht="21.95" customHeight="1">
      <c r="A168" s="596">
        <v>3</v>
      </c>
      <c r="B168" s="542" t="s">
        <v>516</v>
      </c>
      <c r="C168" s="970" t="s">
        <v>28</v>
      </c>
      <c r="D168" s="970" t="s">
        <v>491</v>
      </c>
      <c r="E168" s="970" t="s">
        <v>491</v>
      </c>
      <c r="F168" s="970" t="s">
        <v>491</v>
      </c>
      <c r="G168" s="970" t="s">
        <v>491</v>
      </c>
      <c r="H168" s="970" t="s">
        <v>491</v>
      </c>
      <c r="I168" s="970" t="s">
        <v>491</v>
      </c>
      <c r="J168" s="970" t="s">
        <v>491</v>
      </c>
      <c r="K168" s="970"/>
      <c r="L168" s="970" t="s">
        <v>491</v>
      </c>
      <c r="M168" s="970" t="s">
        <v>491</v>
      </c>
      <c r="N168" s="970" t="s">
        <v>491</v>
      </c>
      <c r="O168" s="970" t="s">
        <v>491</v>
      </c>
      <c r="P168" s="970"/>
      <c r="Q168" s="970"/>
      <c r="R168" s="1062" t="s">
        <v>485</v>
      </c>
      <c r="S168" s="768">
        <v>3</v>
      </c>
      <c r="T168" s="768" t="s">
        <v>485</v>
      </c>
      <c r="U168" s="1062" t="s">
        <v>485</v>
      </c>
      <c r="V168" s="768" t="s">
        <v>485</v>
      </c>
      <c r="W168" s="987"/>
      <c r="X168" s="768"/>
      <c r="Y168" s="1088" t="s">
        <v>743</v>
      </c>
      <c r="Z168" s="1060" t="s">
        <v>585</v>
      </c>
      <c r="AA168" s="768" t="s">
        <v>744</v>
      </c>
      <c r="AB168" s="1060" t="s">
        <v>585</v>
      </c>
      <c r="AC168" s="768" t="s">
        <v>585</v>
      </c>
      <c r="AD168" s="768"/>
      <c r="AE168" s="768"/>
      <c r="AF168" s="1040" t="s">
        <v>491</v>
      </c>
      <c r="AG168" s="768"/>
      <c r="AH168" s="822">
        <v>124.75</v>
      </c>
      <c r="AI168" s="823">
        <v>37</v>
      </c>
    </row>
    <row r="169" spans="1:37" ht="21.95" customHeight="1">
      <c r="A169" s="596">
        <v>4</v>
      </c>
      <c r="B169" s="601" t="s">
        <v>651</v>
      </c>
      <c r="C169" s="768" t="s">
        <v>28</v>
      </c>
      <c r="D169" s="768" t="s">
        <v>540</v>
      </c>
      <c r="E169" s="768" t="s">
        <v>540</v>
      </c>
      <c r="F169" s="768" t="s">
        <v>540</v>
      </c>
      <c r="G169" s="768"/>
      <c r="H169" s="768" t="s">
        <v>540</v>
      </c>
      <c r="I169" s="768"/>
      <c r="J169" s="768"/>
      <c r="K169" s="768"/>
      <c r="L169" s="768" t="s">
        <v>540</v>
      </c>
      <c r="M169" s="768" t="s">
        <v>540</v>
      </c>
      <c r="N169" s="768" t="s">
        <v>540</v>
      </c>
      <c r="O169" s="768" t="s">
        <v>540</v>
      </c>
      <c r="P169" s="768"/>
      <c r="Q169" s="768"/>
      <c r="R169" s="768" t="s">
        <v>540</v>
      </c>
      <c r="S169" s="768" t="s">
        <v>540</v>
      </c>
      <c r="T169" s="768" t="s">
        <v>540</v>
      </c>
      <c r="U169" s="768" t="s">
        <v>540</v>
      </c>
      <c r="V169" s="768" t="s">
        <v>540</v>
      </c>
      <c r="W169" s="768"/>
      <c r="X169" s="768"/>
      <c r="Y169" s="768" t="s">
        <v>540</v>
      </c>
      <c r="Z169" s="768" t="s">
        <v>540</v>
      </c>
      <c r="AA169" s="768" t="s">
        <v>540</v>
      </c>
      <c r="AB169" s="768" t="s">
        <v>540</v>
      </c>
      <c r="AC169" s="768" t="s">
        <v>540</v>
      </c>
      <c r="AD169" s="768"/>
      <c r="AE169" s="768"/>
      <c r="AF169" s="768" t="s">
        <v>652</v>
      </c>
      <c r="AG169" s="768"/>
      <c r="AH169" s="822">
        <v>185.5</v>
      </c>
      <c r="AI169" s="823">
        <v>37</v>
      </c>
    </row>
    <row r="170" spans="1:37" ht="21.95" customHeight="1">
      <c r="A170" s="596">
        <v>5</v>
      </c>
      <c r="B170" s="319" t="s">
        <v>654</v>
      </c>
      <c r="C170" s="1038" t="s">
        <v>28</v>
      </c>
      <c r="D170" s="1038" t="s">
        <v>554</v>
      </c>
      <c r="E170" s="1038" t="s">
        <v>554</v>
      </c>
      <c r="F170" s="1038" t="s">
        <v>554</v>
      </c>
      <c r="G170" s="1038"/>
      <c r="H170" s="1038" t="s">
        <v>745</v>
      </c>
      <c r="I170" s="987"/>
      <c r="J170" s="768"/>
      <c r="K170" s="768"/>
      <c r="L170" s="768">
        <v>1</v>
      </c>
      <c r="M170" s="768">
        <v>1</v>
      </c>
      <c r="N170" s="768">
        <v>1</v>
      </c>
      <c r="O170" s="768">
        <v>1</v>
      </c>
      <c r="P170" s="768"/>
      <c r="Q170" s="768"/>
      <c r="R170" s="768">
        <v>3</v>
      </c>
      <c r="S170" s="768">
        <v>3</v>
      </c>
      <c r="T170" s="768">
        <v>3</v>
      </c>
      <c r="U170" s="768">
        <v>3</v>
      </c>
      <c r="V170" s="768">
        <v>3</v>
      </c>
      <c r="W170" s="768"/>
      <c r="X170" s="768"/>
      <c r="Y170" s="768">
        <v>10</v>
      </c>
      <c r="Z170" s="768">
        <v>10</v>
      </c>
      <c r="AA170" s="768">
        <v>10</v>
      </c>
      <c r="AB170" s="768">
        <v>10</v>
      </c>
      <c r="AC170" s="768">
        <v>10</v>
      </c>
      <c r="AD170" s="768" t="s">
        <v>514</v>
      </c>
      <c r="AE170" s="768" t="s">
        <v>514</v>
      </c>
      <c r="AF170" s="768" t="s">
        <v>481</v>
      </c>
      <c r="AG170" s="768"/>
      <c r="AH170" s="824">
        <v>185</v>
      </c>
      <c r="AI170" s="825">
        <v>37</v>
      </c>
    </row>
    <row r="171" spans="1:37" ht="21.95" customHeight="1">
      <c r="A171" s="596">
        <v>6</v>
      </c>
      <c r="B171" s="153" t="s">
        <v>655</v>
      </c>
      <c r="C171" s="768" t="s">
        <v>28</v>
      </c>
      <c r="D171" s="768" t="s">
        <v>491</v>
      </c>
      <c r="E171" s="1038" t="s">
        <v>554</v>
      </c>
      <c r="F171" s="1038" t="s">
        <v>493</v>
      </c>
      <c r="G171" s="768"/>
      <c r="H171" s="768">
        <v>3</v>
      </c>
      <c r="I171" s="768"/>
      <c r="J171" s="768"/>
      <c r="K171" s="768"/>
      <c r="L171" s="768" t="s">
        <v>607</v>
      </c>
      <c r="M171" s="768" t="s">
        <v>607</v>
      </c>
      <c r="N171" s="768" t="s">
        <v>607</v>
      </c>
      <c r="O171" s="768" t="s">
        <v>607</v>
      </c>
      <c r="P171" s="768"/>
      <c r="Q171" s="768"/>
      <c r="R171" s="970" t="s">
        <v>491</v>
      </c>
      <c r="S171" s="970" t="s">
        <v>491</v>
      </c>
      <c r="T171" s="970" t="s">
        <v>491</v>
      </c>
      <c r="U171" s="970" t="s">
        <v>491</v>
      </c>
      <c r="V171" s="970" t="s">
        <v>491</v>
      </c>
      <c r="W171" s="970"/>
      <c r="X171" s="970"/>
      <c r="Y171" s="970" t="s">
        <v>491</v>
      </c>
      <c r="Z171" s="970" t="s">
        <v>491</v>
      </c>
      <c r="AA171" s="970" t="s">
        <v>491</v>
      </c>
      <c r="AB171" s="970" t="s">
        <v>491</v>
      </c>
      <c r="AC171" s="970" t="s">
        <v>491</v>
      </c>
      <c r="AD171" s="970"/>
      <c r="AE171" s="970"/>
      <c r="AF171" s="970" t="s">
        <v>491</v>
      </c>
      <c r="AG171" s="768"/>
      <c r="AH171" s="826">
        <v>74</v>
      </c>
      <c r="AI171" s="827">
        <v>37</v>
      </c>
    </row>
    <row r="172" spans="1:37" ht="21.95" customHeight="1">
      <c r="A172" s="596">
        <v>7</v>
      </c>
      <c r="B172" s="793" t="s">
        <v>656</v>
      </c>
      <c r="C172" s="768" t="s">
        <v>28</v>
      </c>
      <c r="D172" s="1060" t="s">
        <v>553</v>
      </c>
      <c r="E172" s="1060" t="s">
        <v>553</v>
      </c>
      <c r="F172" s="1060" t="s">
        <v>553</v>
      </c>
      <c r="G172" s="768"/>
      <c r="H172" s="768">
        <v>8</v>
      </c>
      <c r="I172" s="768"/>
      <c r="J172" s="768"/>
      <c r="K172" s="768">
        <v>9</v>
      </c>
      <c r="L172" s="768">
        <v>9</v>
      </c>
      <c r="M172" s="768">
        <v>9</v>
      </c>
      <c r="N172" s="768">
        <v>9</v>
      </c>
      <c r="O172" s="768">
        <v>9</v>
      </c>
      <c r="P172" s="768" t="s">
        <v>519</v>
      </c>
      <c r="Q172" s="768" t="s">
        <v>514</v>
      </c>
      <c r="R172" s="768" t="s">
        <v>481</v>
      </c>
      <c r="S172" s="768" t="s">
        <v>481</v>
      </c>
      <c r="T172" s="768" t="s">
        <v>481</v>
      </c>
      <c r="U172" s="768" t="s">
        <v>481</v>
      </c>
      <c r="V172" s="768" t="s">
        <v>481</v>
      </c>
      <c r="W172" s="768"/>
      <c r="X172" s="768"/>
      <c r="Y172" s="768">
        <v>1</v>
      </c>
      <c r="Z172" s="768">
        <v>1</v>
      </c>
      <c r="AA172" s="1038">
        <v>1</v>
      </c>
      <c r="AB172" s="1038">
        <v>1</v>
      </c>
      <c r="AC172" s="1038" t="s">
        <v>732</v>
      </c>
      <c r="AD172" s="768"/>
      <c r="AE172" s="768"/>
      <c r="AF172" s="768">
        <v>1</v>
      </c>
      <c r="AG172" s="768"/>
      <c r="AH172" s="826">
        <v>148</v>
      </c>
      <c r="AI172" s="827">
        <v>37</v>
      </c>
    </row>
    <row r="173" spans="1:37" ht="21.95" customHeight="1">
      <c r="A173" s="596">
        <v>8</v>
      </c>
      <c r="B173" s="601" t="s">
        <v>657</v>
      </c>
      <c r="C173" s="898"/>
      <c r="D173" s="898" t="s">
        <v>553</v>
      </c>
      <c r="E173" s="898" t="s">
        <v>553</v>
      </c>
      <c r="F173" s="898" t="s">
        <v>553</v>
      </c>
      <c r="G173" s="898" t="s">
        <v>28</v>
      </c>
      <c r="H173" s="898" t="s">
        <v>554</v>
      </c>
      <c r="I173" s="898"/>
      <c r="J173" s="898"/>
      <c r="K173" s="898" t="s">
        <v>481</v>
      </c>
      <c r="L173" s="898" t="s">
        <v>553</v>
      </c>
      <c r="M173" s="898" t="s">
        <v>553</v>
      </c>
      <c r="N173" s="898" t="s">
        <v>481</v>
      </c>
      <c r="O173" s="898" t="s">
        <v>481</v>
      </c>
      <c r="P173" s="898"/>
      <c r="Q173" s="898"/>
      <c r="R173" s="898" t="s">
        <v>553</v>
      </c>
      <c r="S173" s="898" t="s">
        <v>553</v>
      </c>
      <c r="T173" s="898" t="s">
        <v>553</v>
      </c>
      <c r="U173" s="898" t="s">
        <v>554</v>
      </c>
      <c r="V173" s="1063" t="s">
        <v>554</v>
      </c>
      <c r="W173" s="898" t="s">
        <v>514</v>
      </c>
      <c r="X173" s="898" t="s">
        <v>514</v>
      </c>
      <c r="Y173" s="11" t="s">
        <v>481</v>
      </c>
      <c r="Z173" s="11" t="s">
        <v>481</v>
      </c>
      <c r="AA173" s="11" t="s">
        <v>481</v>
      </c>
      <c r="AB173" s="1053" t="s">
        <v>701</v>
      </c>
      <c r="AC173" s="1053" t="s">
        <v>701</v>
      </c>
      <c r="AD173" s="1053" t="s">
        <v>555</v>
      </c>
      <c r="AE173" s="1053"/>
      <c r="AF173" s="1053" t="s">
        <v>746</v>
      </c>
      <c r="AG173" s="769"/>
      <c r="AH173" s="826">
        <v>185</v>
      </c>
      <c r="AI173" s="827">
        <v>37</v>
      </c>
    </row>
    <row r="174" spans="1:37" ht="21.95" customHeight="1">
      <c r="A174" s="596">
        <v>9</v>
      </c>
      <c r="B174" s="153"/>
      <c r="C174" s="768"/>
      <c r="D174" s="768"/>
      <c r="E174" s="768"/>
      <c r="F174" s="768"/>
      <c r="G174" s="768"/>
      <c r="H174" s="768"/>
      <c r="I174" s="768"/>
      <c r="J174" s="768"/>
      <c r="K174" s="768"/>
      <c r="L174" s="768"/>
      <c r="M174" s="768"/>
      <c r="N174" s="768"/>
      <c r="O174" s="768"/>
      <c r="P174" s="768"/>
      <c r="Q174" s="768"/>
      <c r="R174" s="768"/>
      <c r="S174" s="768"/>
      <c r="T174" s="768"/>
      <c r="U174" s="768"/>
      <c r="V174" s="768"/>
      <c r="W174" s="768"/>
      <c r="X174" s="768"/>
      <c r="Y174" s="768"/>
      <c r="Z174" s="768"/>
      <c r="AA174" s="768"/>
      <c r="AB174" s="768"/>
      <c r="AC174" s="768"/>
      <c r="AD174" s="768"/>
      <c r="AE174" s="768"/>
      <c r="AF174" s="768"/>
      <c r="AG174" s="769"/>
      <c r="AH174" s="826">
        <v>185</v>
      </c>
      <c r="AI174" s="827">
        <v>37</v>
      </c>
      <c r="AK174" t="s">
        <v>28</v>
      </c>
    </row>
    <row r="175" spans="1:37" ht="21.95" customHeight="1">
      <c r="A175" s="596">
        <v>10</v>
      </c>
      <c r="B175" s="153"/>
      <c r="C175" s="766"/>
      <c r="D175" s="766"/>
      <c r="E175" s="766"/>
      <c r="F175" s="766"/>
      <c r="G175" s="766"/>
      <c r="H175" s="766"/>
      <c r="I175" s="766"/>
      <c r="J175" s="766"/>
      <c r="K175" s="766"/>
      <c r="L175" s="766"/>
      <c r="M175" s="766"/>
      <c r="N175" s="766"/>
      <c r="O175" s="766"/>
      <c r="P175" s="766"/>
      <c r="Q175" s="766"/>
      <c r="R175" s="766"/>
      <c r="S175" s="766"/>
      <c r="T175" s="766"/>
      <c r="U175" s="766"/>
      <c r="V175" s="766"/>
      <c r="W175" s="768"/>
      <c r="X175" s="766"/>
      <c r="Y175" s="766"/>
      <c r="Z175" s="766"/>
      <c r="AA175" s="766"/>
      <c r="AB175" s="766"/>
      <c r="AC175" s="766"/>
      <c r="AD175" s="766"/>
      <c r="AE175" s="766"/>
      <c r="AF175" s="766"/>
      <c r="AG175" s="783"/>
      <c r="AH175" s="826">
        <v>185</v>
      </c>
      <c r="AI175" s="827">
        <v>37</v>
      </c>
    </row>
    <row r="176" spans="1:37" ht="21.95" customHeight="1">
      <c r="A176" s="596">
        <v>11</v>
      </c>
      <c r="B176" s="153"/>
      <c r="C176" s="766"/>
      <c r="D176" s="766"/>
      <c r="E176" s="766"/>
      <c r="F176" s="766"/>
      <c r="G176" s="766"/>
      <c r="H176" s="766"/>
      <c r="I176" s="766"/>
      <c r="J176" s="766"/>
      <c r="K176" s="766"/>
      <c r="L176" s="766"/>
      <c r="M176" s="766"/>
      <c r="N176" s="766"/>
      <c r="O176" s="766"/>
      <c r="P176" s="766"/>
      <c r="Q176" s="766"/>
      <c r="R176" s="766"/>
      <c r="S176" s="766"/>
      <c r="T176" s="766"/>
      <c r="U176" s="766"/>
      <c r="V176" s="766"/>
      <c r="W176" s="768"/>
      <c r="X176" s="766"/>
      <c r="Y176" s="766"/>
      <c r="Z176" s="766"/>
      <c r="AA176" s="766"/>
      <c r="AB176" s="766"/>
      <c r="AC176" s="766"/>
      <c r="AD176" s="766"/>
      <c r="AE176" s="766"/>
      <c r="AF176" s="766"/>
      <c r="AG176" s="783"/>
      <c r="AH176" s="826">
        <v>185</v>
      </c>
      <c r="AI176" s="827">
        <v>37</v>
      </c>
    </row>
    <row r="177" spans="1:35" ht="21.95" customHeight="1" thickBot="1">
      <c r="A177" s="894">
        <v>12</v>
      </c>
      <c r="B177" s="895"/>
      <c r="C177" s="863"/>
      <c r="D177" s="863"/>
      <c r="E177" s="863"/>
      <c r="F177" s="863"/>
      <c r="G177" s="863"/>
      <c r="H177" s="863"/>
      <c r="I177" s="863"/>
      <c r="J177" s="863"/>
      <c r="K177" s="863"/>
      <c r="L177" s="863"/>
      <c r="M177" s="863"/>
      <c r="N177" s="863"/>
      <c r="O177" s="863"/>
      <c r="P177" s="863"/>
      <c r="Q177" s="863"/>
      <c r="R177" s="863"/>
      <c r="S177" s="863"/>
      <c r="T177" s="863"/>
      <c r="U177" s="863"/>
      <c r="V177" s="863"/>
      <c r="W177" s="867"/>
      <c r="X177" s="863"/>
      <c r="Y177" s="863"/>
      <c r="Z177" s="863"/>
      <c r="AA177" s="863"/>
      <c r="AB177" s="863"/>
      <c r="AC177" s="863"/>
      <c r="AD177" s="863"/>
      <c r="AE177" s="863"/>
      <c r="AF177" s="863"/>
      <c r="AG177" s="896"/>
      <c r="AH177" s="828">
        <v>185</v>
      </c>
      <c r="AI177" s="829">
        <v>37</v>
      </c>
    </row>
    <row r="178" spans="1:35" ht="21" customHeight="1">
      <c r="A178" s="312" t="s">
        <v>659</v>
      </c>
    </row>
    <row r="179" spans="1:35" ht="21" customHeight="1" thickBot="1">
      <c r="A179" s="861"/>
      <c r="B179" s="862" t="s">
        <v>476</v>
      </c>
      <c r="C179" s="788">
        <v>1</v>
      </c>
      <c r="D179" s="787">
        <v>2</v>
      </c>
      <c r="E179" s="787">
        <v>3</v>
      </c>
      <c r="F179" s="787">
        <v>4</v>
      </c>
      <c r="G179" s="788">
        <v>5</v>
      </c>
      <c r="H179" s="787">
        <v>6</v>
      </c>
      <c r="I179" s="788">
        <v>7</v>
      </c>
      <c r="J179" s="788">
        <v>8</v>
      </c>
      <c r="K179" s="788">
        <v>9</v>
      </c>
      <c r="L179" s="787">
        <v>10</v>
      </c>
      <c r="M179" s="787">
        <v>11</v>
      </c>
      <c r="N179" s="787">
        <v>12</v>
      </c>
      <c r="O179" s="787">
        <v>13</v>
      </c>
      <c r="P179" s="788">
        <v>14</v>
      </c>
      <c r="Q179" s="788">
        <v>15</v>
      </c>
      <c r="R179" s="787">
        <v>16</v>
      </c>
      <c r="S179" s="787">
        <v>17</v>
      </c>
      <c r="T179" s="787">
        <v>18</v>
      </c>
      <c r="U179" s="787">
        <v>19</v>
      </c>
      <c r="V179" s="787">
        <v>20</v>
      </c>
      <c r="W179" s="788">
        <v>21</v>
      </c>
      <c r="X179" s="788">
        <v>22</v>
      </c>
      <c r="Y179" s="787">
        <v>23</v>
      </c>
      <c r="Z179" s="787">
        <v>24</v>
      </c>
      <c r="AA179" s="787">
        <v>25</v>
      </c>
      <c r="AB179" s="787">
        <v>26</v>
      </c>
      <c r="AC179" s="787">
        <v>27</v>
      </c>
      <c r="AD179" s="788">
        <v>28</v>
      </c>
      <c r="AE179" s="788">
        <v>29</v>
      </c>
      <c r="AF179" s="787">
        <v>30</v>
      </c>
      <c r="AG179" s="787"/>
      <c r="AH179" s="600"/>
    </row>
    <row r="180" spans="1:35" ht="21" customHeight="1">
      <c r="A180" s="897">
        <v>1</v>
      </c>
      <c r="B180" s="1076" t="s">
        <v>660</v>
      </c>
      <c r="C180" s="782"/>
      <c r="D180" s="782" t="s">
        <v>481</v>
      </c>
      <c r="E180" s="782" t="s">
        <v>481</v>
      </c>
      <c r="F180" s="782" t="s">
        <v>481</v>
      </c>
      <c r="G180" s="782"/>
      <c r="H180" s="782" t="s">
        <v>604</v>
      </c>
      <c r="I180" s="782"/>
      <c r="J180" s="782"/>
      <c r="K180" s="782"/>
      <c r="L180" s="782">
        <v>10</v>
      </c>
      <c r="M180" s="782">
        <v>10</v>
      </c>
      <c r="N180" s="782">
        <v>10</v>
      </c>
      <c r="O180" s="782">
        <v>10</v>
      </c>
      <c r="P180" s="782" t="s">
        <v>514</v>
      </c>
      <c r="Q180" s="782" t="s">
        <v>514</v>
      </c>
      <c r="R180" s="782" t="s">
        <v>481</v>
      </c>
      <c r="S180" s="782" t="s">
        <v>481</v>
      </c>
      <c r="T180" s="782" t="s">
        <v>481</v>
      </c>
      <c r="U180" s="782">
        <v>8</v>
      </c>
      <c r="V180" s="782">
        <v>8</v>
      </c>
      <c r="W180" s="782" t="s">
        <v>513</v>
      </c>
      <c r="X180" s="782" t="s">
        <v>513</v>
      </c>
      <c r="Y180" s="782" t="s">
        <v>481</v>
      </c>
      <c r="Z180" s="782" t="s">
        <v>481</v>
      </c>
      <c r="AA180" s="782" t="s">
        <v>481</v>
      </c>
      <c r="AB180" s="782" t="s">
        <v>481</v>
      </c>
      <c r="AC180" s="782" t="s">
        <v>481</v>
      </c>
      <c r="AD180" s="782"/>
      <c r="AE180" s="782"/>
      <c r="AF180" s="1017" t="s">
        <v>553</v>
      </c>
      <c r="AG180" s="782"/>
      <c r="AH180" s="600"/>
    </row>
    <row r="181" spans="1:35" ht="21" customHeight="1">
      <c r="A181" s="552">
        <v>2</v>
      </c>
      <c r="B181" s="601" t="s">
        <v>661</v>
      </c>
      <c r="C181" s="1049"/>
      <c r="D181" s="1049"/>
      <c r="E181" s="1049"/>
      <c r="F181" s="1049"/>
      <c r="G181" s="1049"/>
      <c r="H181" s="1049"/>
      <c r="I181" s="1049"/>
      <c r="J181" s="1049"/>
      <c r="K181" s="1049"/>
      <c r="L181" s="1049"/>
      <c r="M181" s="1049"/>
      <c r="N181" s="1049"/>
      <c r="O181" s="1049"/>
      <c r="P181" s="1049"/>
      <c r="Q181" s="1049"/>
      <c r="R181" s="1049"/>
      <c r="S181" s="1049"/>
      <c r="T181" s="1049"/>
      <c r="U181" s="1049" t="s">
        <v>485</v>
      </c>
      <c r="V181" s="1049">
        <v>6</v>
      </c>
      <c r="W181" s="1049" t="s">
        <v>512</v>
      </c>
      <c r="X181" s="1049" t="s">
        <v>513</v>
      </c>
      <c r="Y181" s="1049">
        <v>7</v>
      </c>
      <c r="Z181" s="1049">
        <v>7</v>
      </c>
      <c r="AA181" s="1049" t="s">
        <v>485</v>
      </c>
      <c r="AB181" s="1049">
        <v>1</v>
      </c>
      <c r="AC181" s="1049">
        <v>1</v>
      </c>
      <c r="AD181" s="1049"/>
      <c r="AE181" s="1049"/>
      <c r="AF181" s="1049" t="s">
        <v>554</v>
      </c>
      <c r="AG181" s="1049"/>
      <c r="AH181" s="600"/>
    </row>
    <row r="182" spans="1:35" ht="21" customHeight="1">
      <c r="A182" s="552">
        <v>3</v>
      </c>
      <c r="B182" s="566" t="s">
        <v>747</v>
      </c>
      <c r="C182" s="1049"/>
      <c r="D182" s="1049"/>
      <c r="E182" s="1049"/>
      <c r="F182" s="1049"/>
      <c r="G182" s="1049"/>
      <c r="H182" s="1049"/>
      <c r="I182" s="1049"/>
      <c r="J182" s="1049"/>
      <c r="K182" s="1049"/>
      <c r="L182" s="1049"/>
      <c r="M182" s="1049"/>
      <c r="N182" s="1049"/>
      <c r="O182" s="1049"/>
      <c r="P182" s="1049"/>
      <c r="Q182" s="1049"/>
      <c r="R182" s="1049"/>
      <c r="S182" s="1049"/>
      <c r="T182" s="1049"/>
      <c r="U182" s="1049"/>
      <c r="V182" s="1049"/>
      <c r="W182" s="1049"/>
      <c r="X182" s="1049"/>
      <c r="Y182" s="1049"/>
      <c r="Z182" s="1049"/>
      <c r="AA182" s="1049"/>
      <c r="AB182" s="1216">
        <v>3</v>
      </c>
      <c r="AC182" s="1049">
        <v>3</v>
      </c>
      <c r="AD182" s="1049"/>
      <c r="AE182" s="1049"/>
      <c r="AF182" s="1049">
        <v>10</v>
      </c>
      <c r="AG182" s="1049"/>
      <c r="AH182" s="600"/>
    </row>
    <row r="183" spans="1:35" ht="21" customHeight="1">
      <c r="A183" s="552">
        <v>4</v>
      </c>
      <c r="B183" s="601" t="s">
        <v>662</v>
      </c>
      <c r="C183" s="1050"/>
      <c r="D183" s="1050"/>
      <c r="E183" s="1050"/>
      <c r="F183" s="1050"/>
      <c r="G183" s="1050"/>
      <c r="H183" s="1050"/>
      <c r="I183" s="1050"/>
      <c r="J183" s="1050"/>
      <c r="K183" s="1050"/>
      <c r="L183" s="1050"/>
      <c r="M183" s="1050"/>
      <c r="N183" s="1050"/>
      <c r="O183" s="1050"/>
      <c r="P183" s="1050"/>
      <c r="Q183" s="1050"/>
      <c r="R183" s="1050"/>
      <c r="S183" s="1050"/>
      <c r="T183" s="1050"/>
      <c r="U183" s="1050"/>
      <c r="V183" s="1050"/>
      <c r="W183" s="1050"/>
      <c r="X183" s="1050"/>
      <c r="Y183" s="1050"/>
      <c r="Z183" s="1050"/>
      <c r="AA183" s="1050"/>
      <c r="AB183" s="1050"/>
      <c r="AC183" s="1050"/>
      <c r="AD183" s="1050"/>
      <c r="AE183" s="1050"/>
      <c r="AF183" s="1050"/>
      <c r="AG183" s="1049"/>
      <c r="AH183" s="600"/>
    </row>
    <row r="184" spans="1:35" ht="21" customHeight="1" thickBot="1">
      <c r="A184" s="861">
        <v>5</v>
      </c>
      <c r="B184" s="1048"/>
      <c r="C184" s="1050"/>
      <c r="D184" s="1050"/>
      <c r="E184" s="1050"/>
      <c r="F184" s="1050"/>
      <c r="G184" s="1050"/>
      <c r="H184" s="1050"/>
      <c r="I184" s="1050"/>
      <c r="J184" s="1050"/>
      <c r="K184" s="1050"/>
      <c r="L184" s="1050"/>
      <c r="M184" s="1050"/>
      <c r="N184" s="1050"/>
      <c r="O184" s="1050"/>
      <c r="P184" s="1050"/>
      <c r="Q184" s="1050"/>
      <c r="R184" s="1050"/>
      <c r="S184" s="1050"/>
      <c r="T184" s="1050"/>
      <c r="U184" s="1050"/>
      <c r="V184" s="1050"/>
      <c r="W184" s="1050"/>
      <c r="X184" s="1050"/>
      <c r="Y184" s="1050"/>
      <c r="Z184" s="1050"/>
      <c r="AA184" s="1050"/>
      <c r="AB184" s="1050"/>
      <c r="AC184" s="1050"/>
      <c r="AD184" s="1050"/>
      <c r="AE184" s="1050"/>
      <c r="AF184" s="1050"/>
      <c r="AG184" s="1049"/>
      <c r="AH184" s="600"/>
    </row>
    <row r="185" spans="1:35" ht="21" customHeight="1">
      <c r="A185" s="785"/>
      <c r="B185" s="354"/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  <c r="M185" s="139"/>
      <c r="N185" s="786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600"/>
    </row>
    <row r="186" spans="1:35" ht="21.95" customHeight="1" thickBot="1">
      <c r="A186" s="1" t="s">
        <v>663</v>
      </c>
      <c r="B186" s="274"/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</row>
    <row r="187" spans="1:35" ht="21.95" customHeight="1">
      <c r="A187" s="1"/>
      <c r="B187" s="796" t="s">
        <v>664</v>
      </c>
      <c r="C187" s="51" t="s">
        <v>2</v>
      </c>
      <c r="D187" s="51"/>
      <c r="E187" s="51"/>
      <c r="F187" s="51"/>
      <c r="G187" s="798" t="s">
        <v>3</v>
      </c>
      <c r="H187" s="51"/>
      <c r="I187" s="51"/>
      <c r="J187" s="51"/>
      <c r="K187" s="798" t="s">
        <v>4</v>
      </c>
      <c r="L187" s="51"/>
      <c r="M187" s="51"/>
      <c r="N187" s="51"/>
      <c r="O187" s="798" t="s">
        <v>5</v>
      </c>
      <c r="P187" s="51"/>
      <c r="Q187" s="51"/>
      <c r="R187" s="51"/>
      <c r="S187" s="798" t="s">
        <v>6</v>
      </c>
      <c r="T187" s="51"/>
      <c r="U187" s="51"/>
      <c r="V187" s="51"/>
      <c r="W187" s="51"/>
      <c r="X187" s="802" t="s">
        <v>7</v>
      </c>
      <c r="Y187" s="51"/>
      <c r="Z187" s="548"/>
      <c r="AA187" s="7"/>
      <c r="AB187" s="522" t="s">
        <v>8</v>
      </c>
      <c r="AC187" s="51"/>
      <c r="AD187" s="51"/>
      <c r="AE187" s="425" t="s">
        <v>10</v>
      </c>
      <c r="AF187" s="51"/>
      <c r="AG187" s="51"/>
      <c r="AH187" s="51"/>
      <c r="AI187" s="523"/>
    </row>
    <row r="188" spans="1:35" ht="21.95" customHeight="1">
      <c r="A188" s="1"/>
      <c r="B188" s="796">
        <v>3701</v>
      </c>
      <c r="C188" s="55" t="s">
        <v>665</v>
      </c>
      <c r="D188" s="55"/>
      <c r="E188" s="55"/>
      <c r="F188" s="55"/>
      <c r="G188" s="799" t="s">
        <v>124</v>
      </c>
      <c r="H188" s="55"/>
      <c r="I188" s="55"/>
      <c r="J188" s="55"/>
      <c r="K188" s="799" t="s">
        <v>124</v>
      </c>
      <c r="L188" s="55"/>
      <c r="M188" s="55"/>
      <c r="N188" s="55"/>
      <c r="O188" s="799" t="s">
        <v>124</v>
      </c>
      <c r="P188" s="55"/>
      <c r="Q188" s="55"/>
      <c r="R188" s="55"/>
      <c r="S188" s="799" t="s">
        <v>125</v>
      </c>
      <c r="T188" s="55"/>
      <c r="U188" s="55"/>
      <c r="V188" s="55"/>
      <c r="W188" s="55"/>
      <c r="X188" s="803"/>
      <c r="Y188" s="55"/>
      <c r="Z188" s="602"/>
      <c r="AA188" s="14"/>
      <c r="AB188" s="603"/>
      <c r="AC188" s="55"/>
      <c r="AD188" s="55"/>
      <c r="AE188" s="604"/>
      <c r="AF188" s="55"/>
      <c r="AG188" s="55"/>
      <c r="AH188" s="55"/>
      <c r="AI188" s="605"/>
    </row>
    <row r="189" spans="1:35" ht="21.95" customHeight="1">
      <c r="B189" s="796">
        <v>3700</v>
      </c>
      <c r="C189" s="157" t="s">
        <v>535</v>
      </c>
      <c r="D189" s="157"/>
      <c r="E189" s="157"/>
      <c r="F189" s="157"/>
      <c r="G189" s="712" t="s">
        <v>535</v>
      </c>
      <c r="H189" s="157"/>
      <c r="I189" s="157"/>
      <c r="J189" s="157"/>
      <c r="K189" s="712" t="s">
        <v>535</v>
      </c>
      <c r="L189" s="157"/>
      <c r="M189" s="157"/>
      <c r="N189" s="157"/>
      <c r="O189" s="712" t="s">
        <v>535</v>
      </c>
      <c r="P189" s="157"/>
      <c r="Q189" s="157"/>
      <c r="R189" s="157"/>
      <c r="S189" s="712" t="s">
        <v>116</v>
      </c>
      <c r="T189" s="157"/>
      <c r="U189" s="157"/>
      <c r="V189" s="157"/>
      <c r="W189" s="157"/>
      <c r="X189" s="712"/>
      <c r="Y189" s="157"/>
      <c r="Z189" s="564"/>
      <c r="AA189" s="563"/>
      <c r="AB189" s="157"/>
      <c r="AC189" s="157"/>
      <c r="AD189" s="565"/>
      <c r="AE189" s="607"/>
      <c r="AF189" s="157"/>
      <c r="AG189" s="157" t="s">
        <v>28</v>
      </c>
      <c r="AH189" s="565"/>
      <c r="AI189" s="490"/>
    </row>
    <row r="190" spans="1:35" ht="21.95" customHeight="1">
      <c r="A190" s="1"/>
      <c r="B190" s="796">
        <v>8514</v>
      </c>
      <c r="C190" s="157" t="s">
        <v>124</v>
      </c>
      <c r="D190" s="157"/>
      <c r="E190" s="157"/>
      <c r="F190" s="157"/>
      <c r="G190" s="712" t="s">
        <v>124</v>
      </c>
      <c r="H190" s="157"/>
      <c r="I190" s="157"/>
      <c r="J190" s="157"/>
      <c r="K190" s="712" t="s">
        <v>124</v>
      </c>
      <c r="L190" s="157"/>
      <c r="M190" s="157"/>
      <c r="N190" s="157"/>
      <c r="O190" s="712" t="s">
        <v>124</v>
      </c>
      <c r="P190" s="157"/>
      <c r="Q190" s="157"/>
      <c r="R190" s="157"/>
      <c r="S190" s="712" t="s">
        <v>666</v>
      </c>
      <c r="T190" s="157"/>
      <c r="U190" s="157"/>
      <c r="V190" s="157"/>
      <c r="W190" s="157"/>
      <c r="X190" s="712"/>
      <c r="Y190" s="157"/>
      <c r="Z190" s="564"/>
      <c r="AA190" s="121"/>
      <c r="AB190" s="157"/>
      <c r="AC190" s="157"/>
      <c r="AD190" s="565"/>
      <c r="AE190" s="121"/>
      <c r="AF190" s="157"/>
      <c r="AG190" s="157"/>
      <c r="AH190" s="565"/>
      <c r="AI190" s="490"/>
    </row>
    <row r="191" spans="1:35" ht="21.95" customHeight="1">
      <c r="A191" s="1"/>
      <c r="B191" s="796">
        <v>8500</v>
      </c>
      <c r="C191" s="55" t="s">
        <v>11</v>
      </c>
      <c r="D191" s="55"/>
      <c r="E191" s="55"/>
      <c r="F191" s="55"/>
      <c r="G191" s="799" t="s">
        <v>11</v>
      </c>
      <c r="H191" s="55"/>
      <c r="I191" s="55"/>
      <c r="J191" s="55"/>
      <c r="K191" s="799" t="s">
        <v>11</v>
      </c>
      <c r="L191" s="55"/>
      <c r="M191" s="55"/>
      <c r="N191" s="55"/>
      <c r="O191" s="799" t="s">
        <v>11</v>
      </c>
      <c r="P191" s="55"/>
      <c r="Q191" s="55"/>
      <c r="R191" s="55"/>
      <c r="S191" s="799" t="s">
        <v>12</v>
      </c>
      <c r="T191" s="55"/>
      <c r="U191" s="55"/>
      <c r="V191" s="55"/>
      <c r="W191" s="55"/>
      <c r="X191" s="799"/>
      <c r="Y191" s="55"/>
      <c r="Z191" s="609"/>
      <c r="AA191" s="608"/>
      <c r="AB191" s="55"/>
      <c r="AC191" s="55"/>
      <c r="AD191" s="609"/>
      <c r="AE191" s="608"/>
      <c r="AF191" s="55"/>
      <c r="AG191" s="55"/>
      <c r="AH191" s="594"/>
      <c r="AI191" s="605"/>
    </row>
    <row r="192" spans="1:35" ht="21.95" customHeight="1">
      <c r="A192" s="1"/>
      <c r="B192" s="796">
        <v>8514</v>
      </c>
      <c r="C192" s="610" t="s">
        <v>124</v>
      </c>
      <c r="D192" s="610"/>
      <c r="E192" s="610"/>
      <c r="F192" s="610"/>
      <c r="G192" s="800" t="s">
        <v>124</v>
      </c>
      <c r="H192" s="610"/>
      <c r="I192" s="610"/>
      <c r="J192" s="610"/>
      <c r="K192" s="800" t="s">
        <v>124</v>
      </c>
      <c r="L192" s="610"/>
      <c r="M192" s="610"/>
      <c r="N192" s="610"/>
      <c r="O192" s="800" t="s">
        <v>124</v>
      </c>
      <c r="P192" s="610"/>
      <c r="Q192" s="610"/>
      <c r="R192" s="610"/>
      <c r="S192" s="800" t="s">
        <v>666</v>
      </c>
      <c r="T192" s="610"/>
      <c r="U192" s="610"/>
      <c r="V192" s="610"/>
      <c r="W192" s="610"/>
      <c r="X192" s="803"/>
      <c r="Y192" s="55"/>
      <c r="Z192" s="602"/>
      <c r="AA192" s="14"/>
      <c r="AB192" s="603"/>
      <c r="AC192" s="55"/>
      <c r="AD192" s="55"/>
      <c r="AE192" s="604"/>
      <c r="AF192" s="55"/>
      <c r="AG192" s="55"/>
      <c r="AH192" s="55"/>
      <c r="AI192" s="605"/>
    </row>
    <row r="193" spans="1:35" ht="21.95" customHeight="1" thickBot="1">
      <c r="A193" s="1"/>
      <c r="B193" s="797" t="s">
        <v>667</v>
      </c>
      <c r="C193" s="53" t="s">
        <v>668</v>
      </c>
      <c r="D193" s="53"/>
      <c r="E193" s="53"/>
      <c r="F193" s="53"/>
      <c r="G193" s="801" t="s">
        <v>668</v>
      </c>
      <c r="H193" s="53"/>
      <c r="I193" s="53"/>
      <c r="J193" s="53"/>
      <c r="K193" s="53" t="s">
        <v>668</v>
      </c>
      <c r="L193" s="53"/>
      <c r="M193" s="53"/>
      <c r="N193" s="53"/>
      <c r="O193" s="801" t="s">
        <v>668</v>
      </c>
      <c r="P193" s="53"/>
      <c r="Q193" s="53"/>
      <c r="R193" s="53"/>
      <c r="S193" s="801" t="s">
        <v>669</v>
      </c>
      <c r="T193" s="53"/>
      <c r="U193" s="53"/>
      <c r="V193" s="53"/>
      <c r="W193" s="53"/>
      <c r="X193" s="801"/>
      <c r="Y193" s="53"/>
      <c r="Z193" s="571"/>
      <c r="AA193" s="570"/>
      <c r="AB193" s="53"/>
      <c r="AC193" s="53"/>
      <c r="AD193" s="573"/>
      <c r="AE193" s="612"/>
      <c r="AF193" s="53"/>
      <c r="AG193" s="53" t="s">
        <v>28</v>
      </c>
      <c r="AH193" s="573"/>
      <c r="AI193" s="536"/>
    </row>
    <row r="194" spans="1:35" ht="21.95" customHeight="1">
      <c r="A194" s="1"/>
      <c r="B194" s="72"/>
      <c r="C194" s="312"/>
      <c r="F194" s="354"/>
      <c r="G194" s="312"/>
      <c r="J194" s="354"/>
      <c r="K194" s="312"/>
      <c r="N194" s="354"/>
      <c r="O194" s="312"/>
      <c r="R194" s="354"/>
      <c r="S194" s="312"/>
      <c r="V194" s="354"/>
      <c r="W194" s="354"/>
      <c r="Z194" s="354"/>
      <c r="AA194" s="354"/>
      <c r="AD194" s="354"/>
      <c r="AE194" s="354"/>
      <c r="AH194" s="354"/>
    </row>
    <row r="195" spans="1:35" ht="21.95" customHeight="1" thickBot="1">
      <c r="A195" s="1" t="s">
        <v>670</v>
      </c>
      <c r="B195" s="72"/>
      <c r="C195" s="312"/>
      <c r="F195" s="354"/>
      <c r="G195" s="312"/>
      <c r="J195" s="354"/>
      <c r="K195" s="312"/>
      <c r="N195" s="354"/>
      <c r="O195" s="312"/>
      <c r="R195" s="354"/>
      <c r="S195" s="312"/>
      <c r="V195" s="354"/>
      <c r="W195" s="354"/>
      <c r="Z195" s="354"/>
      <c r="AA195" s="354"/>
      <c r="AD195" s="354"/>
      <c r="AE195" s="354"/>
      <c r="AH195" s="354"/>
    </row>
    <row r="196" spans="1:35" ht="21.95" customHeight="1" thickBot="1">
      <c r="A196" s="861"/>
      <c r="B196" s="862" t="s">
        <v>476</v>
      </c>
      <c r="C196" s="880">
        <v>1</v>
      </c>
      <c r="D196" s="863">
        <v>2</v>
      </c>
      <c r="E196" s="863">
        <v>3</v>
      </c>
      <c r="F196" s="863">
        <v>4</v>
      </c>
      <c r="G196" s="880">
        <v>5</v>
      </c>
      <c r="H196" s="863">
        <v>6</v>
      </c>
      <c r="I196" s="880">
        <v>7</v>
      </c>
      <c r="J196" s="880">
        <v>8</v>
      </c>
      <c r="K196" s="880">
        <v>9</v>
      </c>
      <c r="L196" s="863">
        <v>10</v>
      </c>
      <c r="M196" s="863">
        <v>11</v>
      </c>
      <c r="N196" s="863">
        <v>12</v>
      </c>
      <c r="O196" s="863">
        <v>13</v>
      </c>
      <c r="P196" s="880">
        <v>14</v>
      </c>
      <c r="Q196" s="880">
        <v>15</v>
      </c>
      <c r="R196" s="863">
        <v>16</v>
      </c>
      <c r="S196" s="863">
        <v>17</v>
      </c>
      <c r="T196" s="863">
        <v>18</v>
      </c>
      <c r="U196" s="863">
        <v>19</v>
      </c>
      <c r="V196" s="863">
        <v>20</v>
      </c>
      <c r="W196" s="880">
        <v>21</v>
      </c>
      <c r="X196" s="880">
        <v>22</v>
      </c>
      <c r="Y196" s="863">
        <v>23</v>
      </c>
      <c r="Z196" s="863">
        <v>24</v>
      </c>
      <c r="AA196" s="863">
        <v>25</v>
      </c>
      <c r="AB196" s="863">
        <v>26</v>
      </c>
      <c r="AC196" s="863">
        <v>27</v>
      </c>
      <c r="AD196" s="880">
        <v>28</v>
      </c>
      <c r="AE196" s="880">
        <v>29</v>
      </c>
      <c r="AF196" s="863">
        <v>30</v>
      </c>
      <c r="AG196" s="943"/>
      <c r="AH196" s="864" t="s">
        <v>477</v>
      </c>
      <c r="AI196" s="865" t="s">
        <v>478</v>
      </c>
    </row>
    <row r="197" spans="1:35" ht="21.95" customHeight="1">
      <c r="A197" s="897"/>
      <c r="B197" s="900" t="s">
        <v>671</v>
      </c>
      <c r="C197" s="768" t="s">
        <v>28</v>
      </c>
      <c r="D197" s="768" t="s">
        <v>491</v>
      </c>
      <c r="E197" s="768" t="s">
        <v>491</v>
      </c>
      <c r="F197" s="768" t="s">
        <v>491</v>
      </c>
      <c r="G197" s="768"/>
      <c r="H197" s="768" t="s">
        <v>491</v>
      </c>
      <c r="I197" s="768"/>
      <c r="J197" s="768"/>
      <c r="K197" s="768"/>
      <c r="L197" s="768" t="s">
        <v>491</v>
      </c>
      <c r="M197" s="768" t="s">
        <v>491</v>
      </c>
      <c r="N197" s="768" t="s">
        <v>491</v>
      </c>
      <c r="O197" s="768" t="s">
        <v>491</v>
      </c>
      <c r="P197" s="768"/>
      <c r="Q197" s="768"/>
      <c r="R197" s="768" t="s">
        <v>491</v>
      </c>
      <c r="S197" s="768" t="s">
        <v>491</v>
      </c>
      <c r="T197" s="768" t="s">
        <v>491</v>
      </c>
      <c r="U197" s="768" t="s">
        <v>491</v>
      </c>
      <c r="V197" s="768" t="s">
        <v>491</v>
      </c>
      <c r="W197" s="768"/>
      <c r="X197" s="768"/>
      <c r="Y197" s="768" t="s">
        <v>491</v>
      </c>
      <c r="Z197" s="768" t="s">
        <v>491</v>
      </c>
      <c r="AA197" s="768" t="s">
        <v>491</v>
      </c>
      <c r="AB197" s="768" t="s">
        <v>491</v>
      </c>
      <c r="AC197" s="768" t="s">
        <v>491</v>
      </c>
      <c r="AD197" s="768"/>
      <c r="AE197" s="768"/>
      <c r="AF197" s="970" t="s">
        <v>491</v>
      </c>
      <c r="AG197" s="768"/>
      <c r="AH197" s="901">
        <v>74</v>
      </c>
      <c r="AI197" s="902">
        <v>37</v>
      </c>
    </row>
    <row r="198" spans="1:35" ht="21.95" customHeight="1">
      <c r="A198" s="614">
        <v>8500</v>
      </c>
      <c r="B198" s="790" t="s">
        <v>156</v>
      </c>
      <c r="C198" s="768" t="s">
        <v>28</v>
      </c>
      <c r="D198" s="768" t="s">
        <v>491</v>
      </c>
      <c r="E198" s="768" t="s">
        <v>491</v>
      </c>
      <c r="F198" s="768" t="s">
        <v>491</v>
      </c>
      <c r="G198" s="768"/>
      <c r="H198" s="977" t="s">
        <v>491</v>
      </c>
      <c r="I198" s="768"/>
      <c r="J198" s="768"/>
      <c r="K198" s="768"/>
      <c r="L198" s="768" t="s">
        <v>491</v>
      </c>
      <c r="M198" s="768" t="s">
        <v>491</v>
      </c>
      <c r="N198" s="768" t="s">
        <v>491</v>
      </c>
      <c r="O198" s="768" t="s">
        <v>491</v>
      </c>
      <c r="P198" s="768"/>
      <c r="Q198" s="768"/>
      <c r="R198" s="768" t="s">
        <v>491</v>
      </c>
      <c r="S198" s="768" t="s">
        <v>491</v>
      </c>
      <c r="T198" s="768" t="s">
        <v>491</v>
      </c>
      <c r="U198" s="768" t="s">
        <v>491</v>
      </c>
      <c r="V198" s="768" t="s">
        <v>491</v>
      </c>
      <c r="W198" s="768"/>
      <c r="X198" s="768"/>
      <c r="Y198" s="977" t="s">
        <v>491</v>
      </c>
      <c r="Z198" s="977" t="s">
        <v>491</v>
      </c>
      <c r="AA198" s="977" t="s">
        <v>491</v>
      </c>
      <c r="AB198" s="977" t="s">
        <v>491</v>
      </c>
      <c r="AC198" s="977" t="s">
        <v>491</v>
      </c>
      <c r="AD198" s="768"/>
      <c r="AE198" s="768"/>
      <c r="AF198" s="970" t="s">
        <v>491</v>
      </c>
      <c r="AG198" s="768"/>
      <c r="AH198" s="597">
        <v>37</v>
      </c>
      <c r="AI198" s="598">
        <v>37</v>
      </c>
    </row>
    <row r="199" spans="1:35" ht="21" customHeight="1">
      <c r="A199" s="442"/>
      <c r="B199" s="789" t="s">
        <v>672</v>
      </c>
      <c r="C199" s="768" t="s">
        <v>28</v>
      </c>
      <c r="D199" s="768" t="s">
        <v>491</v>
      </c>
      <c r="E199" s="768" t="s">
        <v>491</v>
      </c>
      <c r="F199" s="768" t="s">
        <v>491</v>
      </c>
      <c r="G199" s="768"/>
      <c r="H199" s="970" t="s">
        <v>491</v>
      </c>
      <c r="I199" s="768"/>
      <c r="J199" s="768"/>
      <c r="K199" s="768"/>
      <c r="L199" s="768" t="s">
        <v>491</v>
      </c>
      <c r="M199" s="768" t="s">
        <v>491</v>
      </c>
      <c r="N199" s="768" t="s">
        <v>491</v>
      </c>
      <c r="O199" s="768" t="s">
        <v>491</v>
      </c>
      <c r="P199" s="768"/>
      <c r="Q199" s="768"/>
      <c r="R199" s="768" t="s">
        <v>491</v>
      </c>
      <c r="S199" s="768" t="s">
        <v>491</v>
      </c>
      <c r="T199" s="768" t="s">
        <v>491</v>
      </c>
      <c r="U199" s="768" t="s">
        <v>491</v>
      </c>
      <c r="V199" s="768" t="s">
        <v>491</v>
      </c>
      <c r="W199" s="768"/>
      <c r="X199" s="768"/>
      <c r="Y199" s="768" t="s">
        <v>491</v>
      </c>
      <c r="Z199" s="768" t="s">
        <v>491</v>
      </c>
      <c r="AA199" s="768" t="s">
        <v>491</v>
      </c>
      <c r="AB199" s="768" t="s">
        <v>491</v>
      </c>
      <c r="AC199" s="768" t="s">
        <v>491</v>
      </c>
      <c r="AD199" s="768"/>
      <c r="AE199" s="768"/>
      <c r="AF199" s="768" t="s">
        <v>491</v>
      </c>
      <c r="AG199" s="768"/>
      <c r="AH199" s="597">
        <v>178</v>
      </c>
      <c r="AI199" s="598">
        <v>37</v>
      </c>
    </row>
    <row r="200" spans="1:35" ht="21" customHeight="1">
      <c r="A200" s="442">
        <v>8521</v>
      </c>
      <c r="B200" s="789" t="s">
        <v>673</v>
      </c>
      <c r="C200" s="768" t="s">
        <v>28</v>
      </c>
      <c r="D200" s="977" t="s">
        <v>491</v>
      </c>
      <c r="E200" s="977" t="s">
        <v>491</v>
      </c>
      <c r="F200" s="977" t="s">
        <v>491</v>
      </c>
      <c r="G200" s="768"/>
      <c r="H200" s="977" t="s">
        <v>491</v>
      </c>
      <c r="I200" s="768"/>
      <c r="J200" s="768"/>
      <c r="K200" s="768"/>
      <c r="L200" s="977" t="s">
        <v>491</v>
      </c>
      <c r="M200" s="977" t="s">
        <v>491</v>
      </c>
      <c r="N200" s="768" t="s">
        <v>491</v>
      </c>
      <c r="O200" s="768" t="s">
        <v>491</v>
      </c>
      <c r="P200" s="768"/>
      <c r="Q200" s="768"/>
      <c r="R200" s="977" t="s">
        <v>491</v>
      </c>
      <c r="S200" s="768" t="s">
        <v>491</v>
      </c>
      <c r="T200" s="768" t="s">
        <v>491</v>
      </c>
      <c r="U200" s="768" t="s">
        <v>491</v>
      </c>
      <c r="V200" s="768" t="s">
        <v>491</v>
      </c>
      <c r="W200" s="768"/>
      <c r="X200" s="768"/>
      <c r="Y200" s="977" t="s">
        <v>491</v>
      </c>
      <c r="Z200" s="768" t="s">
        <v>491</v>
      </c>
      <c r="AA200" s="768" t="s">
        <v>491</v>
      </c>
      <c r="AB200" s="768" t="s">
        <v>491</v>
      </c>
      <c r="AC200" s="768" t="s">
        <v>491</v>
      </c>
      <c r="AD200" s="768"/>
      <c r="AE200" s="768"/>
      <c r="AF200" s="1007" t="s">
        <v>491</v>
      </c>
      <c r="AG200" s="768"/>
      <c r="AH200" s="597">
        <v>222</v>
      </c>
      <c r="AI200" s="598">
        <v>37</v>
      </c>
    </row>
    <row r="201" spans="1:35" ht="21" customHeight="1">
      <c r="A201" s="442"/>
      <c r="B201" s="791" t="s">
        <v>674</v>
      </c>
      <c r="C201" s="768" t="s">
        <v>28</v>
      </c>
      <c r="D201" s="768" t="s">
        <v>491</v>
      </c>
      <c r="E201" s="768" t="s">
        <v>491</v>
      </c>
      <c r="F201" s="768" t="s">
        <v>491</v>
      </c>
      <c r="G201" s="768"/>
      <c r="H201" s="977" t="s">
        <v>491</v>
      </c>
      <c r="I201" s="768"/>
      <c r="J201" s="768"/>
      <c r="K201" s="768"/>
      <c r="L201" s="768" t="s">
        <v>491</v>
      </c>
      <c r="M201" s="768" t="s">
        <v>491</v>
      </c>
      <c r="N201" s="768" t="s">
        <v>491</v>
      </c>
      <c r="O201" s="768" t="s">
        <v>491</v>
      </c>
      <c r="P201" s="768"/>
      <c r="Q201" s="768"/>
      <c r="R201" s="768" t="s">
        <v>491</v>
      </c>
      <c r="S201" s="768" t="s">
        <v>491</v>
      </c>
      <c r="T201" s="768" t="s">
        <v>491</v>
      </c>
      <c r="U201" s="768" t="s">
        <v>491</v>
      </c>
      <c r="V201" s="768" t="s">
        <v>491</v>
      </c>
      <c r="W201" s="768"/>
      <c r="X201" s="768"/>
      <c r="Y201" s="768" t="s">
        <v>491</v>
      </c>
      <c r="Z201" s="1038" t="s">
        <v>491</v>
      </c>
      <c r="AA201" s="1038" t="s">
        <v>714</v>
      </c>
      <c r="AB201" s="768" t="s">
        <v>491</v>
      </c>
      <c r="AC201" s="768" t="s">
        <v>491</v>
      </c>
      <c r="AD201" s="768"/>
      <c r="AE201" s="768"/>
      <c r="AF201" s="768" t="s">
        <v>491</v>
      </c>
      <c r="AG201" s="768"/>
      <c r="AH201" s="597">
        <v>185</v>
      </c>
      <c r="AI201" s="598">
        <v>37</v>
      </c>
    </row>
    <row r="202" spans="1:35" ht="21" customHeight="1">
      <c r="A202" s="442">
        <v>8514</v>
      </c>
      <c r="B202" s="542" t="s">
        <v>675</v>
      </c>
      <c r="C202" s="768" t="s">
        <v>28</v>
      </c>
      <c r="D202" s="768" t="s">
        <v>491</v>
      </c>
      <c r="E202" s="768" t="s">
        <v>491</v>
      </c>
      <c r="F202" s="768" t="s">
        <v>491</v>
      </c>
      <c r="G202" s="768"/>
      <c r="H202" s="768" t="s">
        <v>491</v>
      </c>
      <c r="I202" s="768"/>
      <c r="J202" s="768"/>
      <c r="K202" s="768"/>
      <c r="L202" s="768" t="s">
        <v>491</v>
      </c>
      <c r="M202" s="768" t="s">
        <v>491</v>
      </c>
      <c r="N202" s="768" t="s">
        <v>491</v>
      </c>
      <c r="O202" s="768" t="s">
        <v>491</v>
      </c>
      <c r="P202" s="768"/>
      <c r="Q202" s="768"/>
      <c r="R202" s="768" t="s">
        <v>491</v>
      </c>
      <c r="S202" s="768" t="s">
        <v>491</v>
      </c>
      <c r="T202" s="768" t="s">
        <v>491</v>
      </c>
      <c r="U202" s="768" t="s">
        <v>491</v>
      </c>
      <c r="V202" s="768" t="s">
        <v>491</v>
      </c>
      <c r="W202" s="768"/>
      <c r="X202" s="768"/>
      <c r="Y202" s="768" t="s">
        <v>491</v>
      </c>
      <c r="Z202" s="768" t="s">
        <v>491</v>
      </c>
      <c r="AA202" s="768" t="s">
        <v>491</v>
      </c>
      <c r="AB202" s="768" t="s">
        <v>491</v>
      </c>
      <c r="AC202" s="768" t="s">
        <v>491</v>
      </c>
      <c r="AD202" s="768"/>
      <c r="AE202" s="768"/>
      <c r="AF202" s="768" t="s">
        <v>491</v>
      </c>
      <c r="AG202" s="768"/>
      <c r="AH202" s="597">
        <v>186</v>
      </c>
      <c r="AI202" s="598">
        <v>37</v>
      </c>
    </row>
    <row r="203" spans="1:35" ht="21.95" customHeight="1">
      <c r="A203" s="442">
        <v>3701</v>
      </c>
      <c r="B203" s="789" t="s">
        <v>433</v>
      </c>
      <c r="C203" s="768" t="s">
        <v>28</v>
      </c>
      <c r="D203" s="768" t="s">
        <v>491</v>
      </c>
      <c r="E203" s="768" t="s">
        <v>491</v>
      </c>
      <c r="F203" s="768" t="s">
        <v>491</v>
      </c>
      <c r="G203" s="768"/>
      <c r="H203" s="768" t="s">
        <v>491</v>
      </c>
      <c r="I203" s="768"/>
      <c r="J203" s="768"/>
      <c r="K203" s="768"/>
      <c r="L203" s="768" t="s">
        <v>491</v>
      </c>
      <c r="M203" s="768" t="s">
        <v>491</v>
      </c>
      <c r="N203" s="768" t="s">
        <v>491</v>
      </c>
      <c r="O203" s="768" t="s">
        <v>491</v>
      </c>
      <c r="P203" s="768"/>
      <c r="Q203" s="768"/>
      <c r="R203" s="768" t="s">
        <v>491</v>
      </c>
      <c r="S203" s="768" t="s">
        <v>491</v>
      </c>
      <c r="T203" s="768" t="s">
        <v>491</v>
      </c>
      <c r="U203" s="768" t="s">
        <v>491</v>
      </c>
      <c r="V203" s="768" t="s">
        <v>491</v>
      </c>
      <c r="W203" s="768"/>
      <c r="X203" s="768"/>
      <c r="Y203" s="768" t="s">
        <v>491</v>
      </c>
      <c r="Z203" s="768" t="s">
        <v>491</v>
      </c>
      <c r="AA203" s="768" t="s">
        <v>491</v>
      </c>
      <c r="AB203" s="768" t="s">
        <v>491</v>
      </c>
      <c r="AC203" s="768" t="s">
        <v>491</v>
      </c>
      <c r="AD203" s="768"/>
      <c r="AE203" s="768"/>
      <c r="AF203" s="768" t="s">
        <v>491</v>
      </c>
      <c r="AG203" s="768"/>
      <c r="AH203" s="597">
        <v>185</v>
      </c>
      <c r="AI203" s="598">
        <v>37</v>
      </c>
    </row>
    <row r="204" spans="1:35" ht="21.95" customHeight="1">
      <c r="A204" s="442">
        <v>3701</v>
      </c>
      <c r="B204" s="789" t="s">
        <v>676</v>
      </c>
      <c r="C204" s="768" t="s">
        <v>28</v>
      </c>
      <c r="D204" s="768" t="s">
        <v>491</v>
      </c>
      <c r="E204" s="768" t="s">
        <v>491</v>
      </c>
      <c r="F204" s="768" t="s">
        <v>491</v>
      </c>
      <c r="G204" s="768"/>
      <c r="H204" s="768" t="s">
        <v>491</v>
      </c>
      <c r="I204" s="768"/>
      <c r="J204" s="768"/>
      <c r="K204" s="768"/>
      <c r="L204" s="768" t="s">
        <v>491</v>
      </c>
      <c r="M204" s="768" t="s">
        <v>491</v>
      </c>
      <c r="N204" s="768" t="s">
        <v>491</v>
      </c>
      <c r="O204" s="768" t="s">
        <v>491</v>
      </c>
      <c r="P204" s="768"/>
      <c r="Q204" s="768"/>
      <c r="R204" s="1038" t="s">
        <v>491</v>
      </c>
      <c r="S204" s="1038" t="s">
        <v>493</v>
      </c>
      <c r="T204" s="987" t="s">
        <v>491</v>
      </c>
      <c r="U204" s="987" t="s">
        <v>491</v>
      </c>
      <c r="V204" s="987" t="s">
        <v>491</v>
      </c>
      <c r="W204" s="987"/>
      <c r="X204" s="987"/>
      <c r="Y204" s="1038" t="s">
        <v>491</v>
      </c>
      <c r="Z204" s="1038" t="s">
        <v>491</v>
      </c>
      <c r="AA204" s="1038" t="s">
        <v>491</v>
      </c>
      <c r="AB204" s="1038" t="s">
        <v>491</v>
      </c>
      <c r="AC204" s="1038" t="s">
        <v>491</v>
      </c>
      <c r="AD204" s="768"/>
      <c r="AE204" s="768"/>
      <c r="AF204" s="1038" t="s">
        <v>491</v>
      </c>
      <c r="AG204" s="768"/>
      <c r="AH204" s="597">
        <v>185</v>
      </c>
      <c r="AI204" s="598">
        <v>37</v>
      </c>
    </row>
    <row r="205" spans="1:35" ht="21.95" customHeight="1">
      <c r="A205" s="442">
        <v>3701</v>
      </c>
      <c r="B205" s="789" t="s">
        <v>438</v>
      </c>
      <c r="C205" s="768" t="s">
        <v>28</v>
      </c>
      <c r="D205" s="1038" t="s">
        <v>491</v>
      </c>
      <c r="E205" s="1038" t="s">
        <v>493</v>
      </c>
      <c r="F205" s="987" t="s">
        <v>491</v>
      </c>
      <c r="G205" s="987"/>
      <c r="H205" s="987" t="s">
        <v>491</v>
      </c>
      <c r="I205" s="768"/>
      <c r="J205" s="768"/>
      <c r="K205" s="768"/>
      <c r="L205" s="768" t="s">
        <v>491</v>
      </c>
      <c r="M205" s="768" t="s">
        <v>491</v>
      </c>
      <c r="N205" s="768" t="s">
        <v>491</v>
      </c>
      <c r="O205" s="768" t="s">
        <v>491</v>
      </c>
      <c r="P205" s="768"/>
      <c r="Q205" s="768"/>
      <c r="R205" s="764">
        <v>19</v>
      </c>
      <c r="S205" s="764">
        <v>19</v>
      </c>
      <c r="T205" s="764">
        <v>19</v>
      </c>
      <c r="U205" s="764">
        <v>19</v>
      </c>
      <c r="V205" s="768">
        <v>19</v>
      </c>
      <c r="W205" s="768"/>
      <c r="X205" s="768"/>
      <c r="Y205" s="768" t="s">
        <v>491</v>
      </c>
      <c r="Z205" s="768" t="s">
        <v>491</v>
      </c>
      <c r="AA205" s="768" t="s">
        <v>491</v>
      </c>
      <c r="AB205" s="768" t="s">
        <v>491</v>
      </c>
      <c r="AC205" s="768" t="s">
        <v>491</v>
      </c>
      <c r="AD205" s="768"/>
      <c r="AE205" s="768"/>
      <c r="AF205" s="970" t="s">
        <v>491</v>
      </c>
      <c r="AG205" s="768"/>
      <c r="AH205" s="597">
        <v>75.75</v>
      </c>
      <c r="AI205" s="598">
        <v>37</v>
      </c>
    </row>
    <row r="206" spans="1:35" ht="21.95" customHeight="1">
      <c r="A206" s="442">
        <v>3701</v>
      </c>
      <c r="B206" s="789" t="s">
        <v>439</v>
      </c>
      <c r="C206" s="768" t="s">
        <v>28</v>
      </c>
      <c r="D206" s="768" t="s">
        <v>491</v>
      </c>
      <c r="E206" s="768" t="s">
        <v>491</v>
      </c>
      <c r="F206" s="768" t="s">
        <v>491</v>
      </c>
      <c r="G206" s="768"/>
      <c r="H206" s="977" t="s">
        <v>491</v>
      </c>
      <c r="I206" s="768"/>
      <c r="J206" s="768"/>
      <c r="K206" s="768"/>
      <c r="L206" s="768" t="s">
        <v>491</v>
      </c>
      <c r="M206" s="768" t="s">
        <v>491</v>
      </c>
      <c r="N206" s="768" t="s">
        <v>491</v>
      </c>
      <c r="O206" s="768" t="s">
        <v>491</v>
      </c>
      <c r="P206" s="768"/>
      <c r="Q206" s="768"/>
      <c r="R206" s="768" t="s">
        <v>491</v>
      </c>
      <c r="S206" s="768" t="s">
        <v>491</v>
      </c>
      <c r="T206" s="768" t="s">
        <v>491</v>
      </c>
      <c r="U206" s="768" t="s">
        <v>491</v>
      </c>
      <c r="V206" s="764" t="s">
        <v>485</v>
      </c>
      <c r="W206" s="768"/>
      <c r="X206" s="768"/>
      <c r="Y206" s="768" t="s">
        <v>491</v>
      </c>
      <c r="Z206" s="768" t="s">
        <v>491</v>
      </c>
      <c r="AA206" s="768" t="s">
        <v>491</v>
      </c>
      <c r="AB206" s="768" t="s">
        <v>491</v>
      </c>
      <c r="AC206" s="768" t="s">
        <v>491</v>
      </c>
      <c r="AD206" s="768"/>
      <c r="AE206" s="768"/>
      <c r="AF206" s="970">
        <v>19</v>
      </c>
      <c r="AG206" s="768"/>
      <c r="AH206" s="597">
        <v>76.5</v>
      </c>
      <c r="AI206" s="598">
        <v>37</v>
      </c>
    </row>
    <row r="207" spans="1:35" ht="21.95" customHeight="1">
      <c r="A207" s="442">
        <v>3701</v>
      </c>
      <c r="B207" s="789" t="s">
        <v>677</v>
      </c>
      <c r="C207" s="768" t="s">
        <v>28</v>
      </c>
      <c r="D207" s="768" t="s">
        <v>491</v>
      </c>
      <c r="E207" s="768" t="s">
        <v>491</v>
      </c>
      <c r="F207" s="768" t="s">
        <v>491</v>
      </c>
      <c r="G207" s="768"/>
      <c r="H207" s="768" t="s">
        <v>491</v>
      </c>
      <c r="I207" s="768"/>
      <c r="J207" s="768"/>
      <c r="K207" s="768"/>
      <c r="L207" s="970" t="s">
        <v>491</v>
      </c>
      <c r="M207" s="970" t="s">
        <v>491</v>
      </c>
      <c r="N207" s="970" t="s">
        <v>491</v>
      </c>
      <c r="O207" s="970" t="s">
        <v>491</v>
      </c>
      <c r="P207" s="970"/>
      <c r="Q207" s="970"/>
      <c r="R207" s="970" t="s">
        <v>491</v>
      </c>
      <c r="S207" s="970" t="s">
        <v>491</v>
      </c>
      <c r="T207" s="970" t="s">
        <v>491</v>
      </c>
      <c r="U207" s="970" t="s">
        <v>491</v>
      </c>
      <c r="V207" s="970" t="s">
        <v>491</v>
      </c>
      <c r="W207" s="970"/>
      <c r="X207" s="970"/>
      <c r="Y207" s="972">
        <v>19</v>
      </c>
      <c r="Z207" s="972">
        <v>19</v>
      </c>
      <c r="AA207" s="972">
        <v>19</v>
      </c>
      <c r="AB207" s="972">
        <v>19</v>
      </c>
      <c r="AC207" s="970">
        <v>19</v>
      </c>
      <c r="AD207" s="970"/>
      <c r="AE207" s="970"/>
      <c r="AF207" s="970" t="s">
        <v>485</v>
      </c>
      <c r="AG207" s="768"/>
      <c r="AH207" s="597">
        <v>84.25</v>
      </c>
      <c r="AI207" s="598">
        <v>37</v>
      </c>
    </row>
    <row r="208" spans="1:35" ht="21.95" customHeight="1">
      <c r="A208" s="442">
        <v>3701</v>
      </c>
      <c r="B208" s="542" t="s">
        <v>678</v>
      </c>
      <c r="C208" s="768" t="s">
        <v>28</v>
      </c>
      <c r="D208" s="764">
        <v>19</v>
      </c>
      <c r="E208" s="764">
        <v>19</v>
      </c>
      <c r="F208" s="764">
        <v>19</v>
      </c>
      <c r="G208" s="764"/>
      <c r="H208" s="964">
        <v>19</v>
      </c>
      <c r="I208" s="768"/>
      <c r="J208" s="768"/>
      <c r="K208" s="768"/>
      <c r="L208" s="768" t="s">
        <v>491</v>
      </c>
      <c r="M208" s="768" t="s">
        <v>491</v>
      </c>
      <c r="N208" s="768" t="s">
        <v>491</v>
      </c>
      <c r="O208" s="768" t="s">
        <v>491</v>
      </c>
      <c r="P208" s="768"/>
      <c r="Q208" s="768"/>
      <c r="R208" s="768" t="s">
        <v>491</v>
      </c>
      <c r="S208" s="768" t="s">
        <v>491</v>
      </c>
      <c r="T208" s="768" t="s">
        <v>491</v>
      </c>
      <c r="U208" s="768" t="s">
        <v>491</v>
      </c>
      <c r="V208" s="768" t="s">
        <v>491</v>
      </c>
      <c r="W208" s="768"/>
      <c r="X208" s="768"/>
      <c r="Y208" s="768" t="s">
        <v>491</v>
      </c>
      <c r="Z208" s="768" t="s">
        <v>491</v>
      </c>
      <c r="AA208" s="768" t="s">
        <v>491</v>
      </c>
      <c r="AB208" s="768" t="s">
        <v>491</v>
      </c>
      <c r="AC208" s="768" t="s">
        <v>491</v>
      </c>
      <c r="AD208" s="768"/>
      <c r="AE208" s="768"/>
      <c r="AF208" s="768" t="s">
        <v>491</v>
      </c>
      <c r="AG208" s="768"/>
      <c r="AH208" s="597">
        <v>185</v>
      </c>
      <c r="AI208" s="598">
        <v>37</v>
      </c>
    </row>
    <row r="209" spans="1:35" ht="21.95" customHeight="1">
      <c r="A209" s="442">
        <v>3701</v>
      </c>
      <c r="B209" s="821" t="s">
        <v>679</v>
      </c>
      <c r="C209" s="768" t="s">
        <v>28</v>
      </c>
      <c r="D209" s="768" t="s">
        <v>491</v>
      </c>
      <c r="E209" s="768" t="s">
        <v>491</v>
      </c>
      <c r="F209" s="768" t="s">
        <v>491</v>
      </c>
      <c r="G209" s="768"/>
      <c r="H209" s="768" t="s">
        <v>491</v>
      </c>
      <c r="I209" s="768"/>
      <c r="J209" s="768"/>
      <c r="K209" s="768"/>
      <c r="L209" s="764">
        <v>19</v>
      </c>
      <c r="M209" s="764">
        <v>19</v>
      </c>
      <c r="N209" s="764">
        <v>19</v>
      </c>
      <c r="O209" s="764">
        <v>19</v>
      </c>
      <c r="P209" s="764"/>
      <c r="Q209" s="768"/>
      <c r="R209" s="768" t="s">
        <v>491</v>
      </c>
      <c r="S209" s="768" t="s">
        <v>491</v>
      </c>
      <c r="T209" s="768" t="s">
        <v>491</v>
      </c>
      <c r="U209" s="768" t="s">
        <v>491</v>
      </c>
      <c r="V209" s="768" t="s">
        <v>491</v>
      </c>
      <c r="W209" s="768"/>
      <c r="X209" s="768"/>
      <c r="Y209" s="768" t="s">
        <v>491</v>
      </c>
      <c r="Z209" s="768" t="s">
        <v>491</v>
      </c>
      <c r="AA209" s="768" t="s">
        <v>491</v>
      </c>
      <c r="AB209" s="768" t="s">
        <v>491</v>
      </c>
      <c r="AC209" s="768" t="s">
        <v>491</v>
      </c>
      <c r="AD209" s="768"/>
      <c r="AE209" s="768"/>
      <c r="AF209" s="970" t="s">
        <v>491</v>
      </c>
      <c r="AG209" s="768"/>
      <c r="AH209" s="597">
        <v>78.25</v>
      </c>
      <c r="AI209" s="598">
        <v>37</v>
      </c>
    </row>
    <row r="210" spans="1:35" ht="21.95" customHeight="1">
      <c r="A210" s="820">
        <v>3701</v>
      </c>
      <c r="B210" s="792" t="s">
        <v>680</v>
      </c>
      <c r="C210" s="768" t="s">
        <v>28</v>
      </c>
      <c r="D210" s="768" t="s">
        <v>491</v>
      </c>
      <c r="E210" s="768" t="s">
        <v>491</v>
      </c>
      <c r="F210" s="768" t="s">
        <v>491</v>
      </c>
      <c r="G210" s="768"/>
      <c r="H210" s="768" t="s">
        <v>491</v>
      </c>
      <c r="I210" s="768"/>
      <c r="J210" s="768"/>
      <c r="K210" s="768"/>
      <c r="L210" s="1038" t="s">
        <v>491</v>
      </c>
      <c r="M210" s="1038" t="s">
        <v>493</v>
      </c>
      <c r="N210" s="1071" t="s">
        <v>491</v>
      </c>
      <c r="O210" s="1071" t="s">
        <v>491</v>
      </c>
      <c r="P210" s="768"/>
      <c r="Q210" s="768"/>
      <c r="R210" s="768" t="s">
        <v>491</v>
      </c>
      <c r="S210" s="768" t="s">
        <v>491</v>
      </c>
      <c r="T210" s="768" t="s">
        <v>491</v>
      </c>
      <c r="U210" s="768" t="s">
        <v>491</v>
      </c>
      <c r="V210" s="768" t="s">
        <v>491</v>
      </c>
      <c r="W210" s="768"/>
      <c r="X210" s="768"/>
      <c r="Y210" s="768" t="s">
        <v>491</v>
      </c>
      <c r="Z210" s="768" t="s">
        <v>491</v>
      </c>
      <c r="AA210" s="768" t="s">
        <v>491</v>
      </c>
      <c r="AB210" s="768" t="s">
        <v>491</v>
      </c>
      <c r="AC210" s="768" t="s">
        <v>491</v>
      </c>
      <c r="AD210" s="768"/>
      <c r="AE210" s="768"/>
      <c r="AF210" s="970" t="s">
        <v>491</v>
      </c>
      <c r="AG210" s="768"/>
      <c r="AH210" s="597">
        <v>111</v>
      </c>
      <c r="AI210" s="598">
        <v>37</v>
      </c>
    </row>
    <row r="211" spans="1:35" ht="21.95" customHeight="1" thickBot="1">
      <c r="A211" s="442">
        <v>3701</v>
      </c>
      <c r="B211" s="904" t="s">
        <v>681</v>
      </c>
      <c r="C211" s="768" t="s">
        <v>28</v>
      </c>
      <c r="D211" s="768" t="s">
        <v>491</v>
      </c>
      <c r="E211" s="768" t="s">
        <v>491</v>
      </c>
      <c r="F211" s="768" t="s">
        <v>491</v>
      </c>
      <c r="G211" s="768"/>
      <c r="H211" s="768" t="s">
        <v>491</v>
      </c>
      <c r="I211" s="768"/>
      <c r="J211" s="768"/>
      <c r="K211" s="768"/>
      <c r="L211" s="768" t="s">
        <v>491</v>
      </c>
      <c r="M211" s="768" t="s">
        <v>491</v>
      </c>
      <c r="N211" s="768" t="s">
        <v>491</v>
      </c>
      <c r="O211" s="768" t="s">
        <v>491</v>
      </c>
      <c r="P211" s="768"/>
      <c r="Q211" s="768"/>
      <c r="R211" s="768" t="s">
        <v>491</v>
      </c>
      <c r="S211" s="768" t="s">
        <v>491</v>
      </c>
      <c r="T211" s="768" t="s">
        <v>491</v>
      </c>
      <c r="U211" s="768" t="s">
        <v>491</v>
      </c>
      <c r="V211" s="768" t="s">
        <v>491</v>
      </c>
      <c r="W211" s="768"/>
      <c r="X211" s="768"/>
      <c r="Y211" s="768" t="s">
        <v>491</v>
      </c>
      <c r="Z211" s="768" t="s">
        <v>491</v>
      </c>
      <c r="AA211" s="768" t="s">
        <v>491</v>
      </c>
      <c r="AB211" s="768" t="s">
        <v>491</v>
      </c>
      <c r="AC211" s="768" t="s">
        <v>491</v>
      </c>
      <c r="AD211" s="768"/>
      <c r="AE211" s="768"/>
      <c r="AF211" s="988" t="s">
        <v>491</v>
      </c>
      <c r="AG211" s="768"/>
      <c r="AH211" s="597">
        <v>185</v>
      </c>
      <c r="AI211" s="598">
        <v>37</v>
      </c>
    </row>
    <row r="212" spans="1:35" ht="21.95" customHeight="1">
      <c r="A212" s="442">
        <v>3701</v>
      </c>
      <c r="B212" s="789" t="s">
        <v>436</v>
      </c>
      <c r="C212" s="768" t="s">
        <v>28</v>
      </c>
      <c r="D212" s="768" t="s">
        <v>491</v>
      </c>
      <c r="E212" s="768" t="s">
        <v>491</v>
      </c>
      <c r="F212" s="768" t="s">
        <v>491</v>
      </c>
      <c r="G212" s="768"/>
      <c r="H212" s="768" t="s">
        <v>491</v>
      </c>
      <c r="I212" s="768"/>
      <c r="J212" s="768"/>
      <c r="K212" s="768"/>
      <c r="L212" s="768" t="s">
        <v>491</v>
      </c>
      <c r="M212" s="768" t="s">
        <v>491</v>
      </c>
      <c r="N212" s="768" t="s">
        <v>491</v>
      </c>
      <c r="O212" s="768" t="s">
        <v>491</v>
      </c>
      <c r="P212" s="768"/>
      <c r="Q212" s="768"/>
      <c r="R212" s="970" t="s">
        <v>491</v>
      </c>
      <c r="S212" s="970" t="s">
        <v>491</v>
      </c>
      <c r="T212" s="970" t="s">
        <v>491</v>
      </c>
      <c r="U212" s="970" t="s">
        <v>491</v>
      </c>
      <c r="V212" s="970" t="s">
        <v>491</v>
      </c>
      <c r="W212" s="970"/>
      <c r="X212" s="970"/>
      <c r="Y212" s="768" t="s">
        <v>491</v>
      </c>
      <c r="Z212" s="768" t="s">
        <v>491</v>
      </c>
      <c r="AA212" s="768" t="s">
        <v>491</v>
      </c>
      <c r="AB212" s="768" t="s">
        <v>491</v>
      </c>
      <c r="AC212" s="768" t="s">
        <v>491</v>
      </c>
      <c r="AD212" s="768"/>
      <c r="AE212" s="768"/>
      <c r="AF212" s="768" t="s">
        <v>491</v>
      </c>
      <c r="AG212" s="768"/>
      <c r="AH212" s="597">
        <v>185</v>
      </c>
      <c r="AI212" s="598">
        <v>37</v>
      </c>
    </row>
    <row r="213" spans="1:35" ht="21.95" customHeight="1" thickBot="1">
      <c r="A213" s="442">
        <v>3701</v>
      </c>
      <c r="B213" s="904"/>
      <c r="C213" s="768"/>
      <c r="D213" s="768"/>
      <c r="E213" s="768"/>
      <c r="F213" s="768"/>
      <c r="G213" s="768"/>
      <c r="H213" s="768"/>
      <c r="I213" s="768"/>
      <c r="J213" s="768"/>
      <c r="K213" s="768"/>
      <c r="L213" s="768"/>
      <c r="M213" s="768"/>
      <c r="N213" s="768"/>
      <c r="O213" s="768"/>
      <c r="P213" s="768"/>
      <c r="Q213" s="768"/>
      <c r="R213" s="768"/>
      <c r="S213" s="768"/>
      <c r="T213" s="768"/>
      <c r="U213" s="768"/>
      <c r="V213" s="768"/>
      <c r="W213" s="768"/>
      <c r="X213" s="768"/>
      <c r="Y213" s="768"/>
      <c r="Z213" s="768"/>
      <c r="AA213" s="768"/>
      <c r="AB213" s="768"/>
      <c r="AC213" s="768"/>
      <c r="AD213" s="768"/>
      <c r="AE213" s="768"/>
      <c r="AF213" s="768"/>
      <c r="AG213" s="768"/>
      <c r="AH213" s="597">
        <v>148</v>
      </c>
      <c r="AI213" s="598">
        <v>37</v>
      </c>
    </row>
    <row r="214" spans="1:35" ht="21.95" customHeight="1" thickBot="1">
      <c r="A214" s="903">
        <v>3701</v>
      </c>
      <c r="B214" s="904"/>
      <c r="C214" s="768"/>
      <c r="D214" s="768"/>
      <c r="E214" s="768"/>
      <c r="F214" s="768"/>
      <c r="G214" s="768"/>
      <c r="H214" s="768"/>
      <c r="I214" s="768"/>
      <c r="J214" s="768"/>
      <c r="K214" s="768"/>
      <c r="L214" s="768"/>
      <c r="M214" s="768"/>
      <c r="N214" s="768"/>
      <c r="O214" s="768"/>
      <c r="P214" s="768"/>
      <c r="Q214" s="768"/>
      <c r="R214" s="768"/>
      <c r="S214" s="768"/>
      <c r="T214" s="768"/>
      <c r="U214" s="768"/>
      <c r="V214" s="768"/>
      <c r="W214" s="768"/>
      <c r="X214" s="768"/>
      <c r="Y214" s="768"/>
      <c r="Z214" s="768"/>
      <c r="AA214" s="768"/>
      <c r="AB214" s="768"/>
      <c r="AC214" s="768"/>
      <c r="AD214" s="768"/>
      <c r="AE214" s="768"/>
      <c r="AF214" s="768"/>
      <c r="AG214" s="768"/>
      <c r="AH214" s="868"/>
      <c r="AI214" s="869"/>
    </row>
    <row r="215" spans="1:35" ht="21.95" customHeight="1">
      <c r="A215" s="574"/>
      <c r="B215" s="615"/>
      <c r="C215" s="555"/>
      <c r="D215" s="555"/>
      <c r="E215" s="555"/>
      <c r="F215" s="555"/>
      <c r="G215" s="555"/>
      <c r="H215" s="555"/>
      <c r="I215" s="555"/>
      <c r="J215" s="555"/>
      <c r="K215" s="517"/>
      <c r="L215" s="555"/>
      <c r="M215" s="555"/>
      <c r="N215" s="555"/>
      <c r="O215" s="555"/>
      <c r="P215" s="538"/>
      <c r="Q215" s="538"/>
      <c r="R215" s="538"/>
      <c r="S215" s="555"/>
      <c r="T215" s="555"/>
      <c r="U215" s="555"/>
      <c r="V215" s="555"/>
      <c r="W215" s="555"/>
      <c r="X215" s="555"/>
      <c r="Y215" s="555"/>
      <c r="Z215" s="555"/>
      <c r="AA215" s="555"/>
      <c r="AB215" s="555"/>
      <c r="AC215" s="555"/>
      <c r="AD215" s="555"/>
      <c r="AE215" s="555"/>
      <c r="AF215" s="555"/>
      <c r="AG215" s="555"/>
      <c r="AH215" s="556"/>
      <c r="AI215" s="556"/>
    </row>
    <row r="216" spans="1:35" ht="21" customHeight="1" thickBot="1">
      <c r="A216" s="1" t="s">
        <v>682</v>
      </c>
    </row>
    <row r="217" spans="1:35" ht="21" customHeight="1">
      <c r="B217" s="201" t="s">
        <v>664</v>
      </c>
      <c r="C217" s="7"/>
      <c r="D217" s="522" t="s">
        <v>2</v>
      </c>
      <c r="E217" s="51"/>
      <c r="F217" s="548"/>
      <c r="G217" s="7"/>
      <c r="H217" s="522" t="s">
        <v>3</v>
      </c>
      <c r="I217" s="51"/>
      <c r="J217" s="548"/>
      <c r="K217" s="7"/>
      <c r="L217" s="522" t="s">
        <v>4</v>
      </c>
      <c r="M217" s="51"/>
      <c r="N217" s="548"/>
      <c r="O217" s="7"/>
      <c r="P217" s="522" t="s">
        <v>5</v>
      </c>
      <c r="Q217" s="51"/>
      <c r="R217" s="548"/>
      <c r="S217" s="7"/>
      <c r="T217" s="522" t="s">
        <v>6</v>
      </c>
      <c r="U217" s="51"/>
      <c r="V217" s="548"/>
      <c r="W217" s="7"/>
      <c r="X217" s="522" t="s">
        <v>7</v>
      </c>
      <c r="Y217" s="51"/>
      <c r="Z217" s="548"/>
      <c r="AA217" s="7"/>
      <c r="AB217" s="522" t="s">
        <v>8</v>
      </c>
      <c r="AC217" s="51"/>
      <c r="AD217" s="51"/>
      <c r="AE217" s="425" t="s">
        <v>10</v>
      </c>
      <c r="AF217" s="51"/>
      <c r="AG217" s="51"/>
      <c r="AH217" s="51"/>
      <c r="AI217" s="523"/>
    </row>
    <row r="218" spans="1:35" ht="21" customHeight="1">
      <c r="B218" s="9">
        <v>8502</v>
      </c>
      <c r="C218" s="14" t="s">
        <v>11</v>
      </c>
      <c r="D218" s="603"/>
      <c r="E218" s="55"/>
      <c r="F218" s="602"/>
      <c r="G218" s="14" t="s">
        <v>11</v>
      </c>
      <c r="H218" s="603"/>
      <c r="I218" s="55"/>
      <c r="J218" s="602"/>
      <c r="K218" s="14" t="s">
        <v>11</v>
      </c>
      <c r="L218" s="603"/>
      <c r="M218" s="55"/>
      <c r="N218" s="602"/>
      <c r="O218" s="14" t="s">
        <v>11</v>
      </c>
      <c r="P218" s="603"/>
      <c r="Q218" s="55"/>
      <c r="R218" s="602"/>
      <c r="S218" s="14" t="s">
        <v>12</v>
      </c>
      <c r="T218" s="603"/>
      <c r="U218" s="55"/>
      <c r="V218" s="602"/>
      <c r="W218" s="14"/>
      <c r="X218" s="603"/>
      <c r="Y218" s="55"/>
      <c r="Z218" s="602"/>
      <c r="AA218" s="14"/>
      <c r="AB218" s="603"/>
      <c r="AC218" s="55"/>
      <c r="AD218" s="55"/>
      <c r="AE218" s="604"/>
      <c r="AF218" s="55"/>
      <c r="AG218" s="55"/>
      <c r="AH218" s="55"/>
      <c r="AI218" s="605"/>
    </row>
    <row r="219" spans="1:35" ht="21" customHeight="1">
      <c r="B219" s="606">
        <v>3701</v>
      </c>
      <c r="C219" s="121" t="s">
        <v>11</v>
      </c>
      <c r="D219" s="131"/>
      <c r="E219" s="55"/>
      <c r="F219" s="602"/>
      <c r="G219" s="121" t="s">
        <v>11</v>
      </c>
      <c r="H219" s="603"/>
      <c r="I219" s="55"/>
      <c r="J219" s="602"/>
      <c r="K219" s="121" t="s">
        <v>11</v>
      </c>
      <c r="L219" s="603"/>
      <c r="M219" s="55"/>
      <c r="N219" s="602"/>
      <c r="O219" s="121" t="s">
        <v>11</v>
      </c>
      <c r="P219" s="603"/>
      <c r="Q219" s="55"/>
      <c r="R219" s="602"/>
      <c r="S219" s="14" t="s">
        <v>12</v>
      </c>
      <c r="T219" s="603"/>
      <c r="U219" s="55"/>
      <c r="V219" s="602"/>
      <c r="W219" s="14"/>
      <c r="X219" s="603"/>
      <c r="Y219" s="55"/>
      <c r="Z219" s="602"/>
      <c r="AA219" s="14"/>
      <c r="AB219" s="603"/>
      <c r="AC219" s="55"/>
      <c r="AD219" s="55"/>
      <c r="AE219" s="604"/>
      <c r="AF219" s="55"/>
      <c r="AG219" s="55"/>
      <c r="AH219" s="55"/>
      <c r="AI219" s="605"/>
    </row>
    <row r="220" spans="1:35" ht="21" customHeight="1">
      <c r="B220" s="606">
        <v>3705</v>
      </c>
      <c r="C220" s="121" t="s">
        <v>147</v>
      </c>
      <c r="D220" s="131"/>
      <c r="E220" s="55"/>
      <c r="F220" s="602"/>
      <c r="G220" s="121" t="s">
        <v>147</v>
      </c>
      <c r="H220" s="603"/>
      <c r="I220" s="55"/>
      <c r="J220" s="602"/>
      <c r="K220" s="121" t="s">
        <v>147</v>
      </c>
      <c r="L220" s="603"/>
      <c r="M220" s="55"/>
      <c r="N220" s="602"/>
      <c r="O220" s="121" t="s">
        <v>147</v>
      </c>
      <c r="P220" s="603"/>
      <c r="Q220" s="55"/>
      <c r="R220" s="602"/>
      <c r="S220" s="121" t="s">
        <v>537</v>
      </c>
      <c r="T220" s="603"/>
      <c r="U220" s="55"/>
      <c r="V220" s="602"/>
      <c r="W220" s="14"/>
      <c r="X220" s="603"/>
      <c r="Y220" s="55"/>
      <c r="Z220" s="602"/>
      <c r="AA220" s="14"/>
      <c r="AB220" s="603"/>
      <c r="AC220" s="55"/>
      <c r="AD220" s="55"/>
      <c r="AE220" s="604"/>
      <c r="AF220" s="55"/>
      <c r="AG220" s="55"/>
      <c r="AH220" s="55"/>
      <c r="AI220" s="605"/>
    </row>
    <row r="221" spans="1:35" ht="21" customHeight="1">
      <c r="B221" s="606">
        <v>3702</v>
      </c>
      <c r="C221" s="563" t="s">
        <v>683</v>
      </c>
      <c r="D221" s="131"/>
      <c r="E221" s="55"/>
      <c r="F221" s="602"/>
      <c r="G221" s="563" t="s">
        <v>683</v>
      </c>
      <c r="H221" s="131"/>
      <c r="I221" s="55"/>
      <c r="J221" s="602"/>
      <c r="K221" s="563" t="s">
        <v>683</v>
      </c>
      <c r="L221" s="131"/>
      <c r="M221" s="55"/>
      <c r="N221" s="602"/>
      <c r="O221" s="563" t="s">
        <v>683</v>
      </c>
      <c r="P221" s="131"/>
      <c r="Q221" s="55"/>
      <c r="R221" s="602"/>
      <c r="S221" s="563" t="s">
        <v>270</v>
      </c>
      <c r="T221" s="131"/>
      <c r="U221" s="55"/>
      <c r="V221" s="602"/>
      <c r="W221" s="14"/>
      <c r="X221" s="603"/>
      <c r="Y221" s="55"/>
      <c r="Z221" s="602"/>
      <c r="AA221" s="14"/>
      <c r="AB221" s="603"/>
      <c r="AC221" s="55"/>
      <c r="AD221" s="55"/>
      <c r="AE221" s="604"/>
      <c r="AF221" s="55"/>
      <c r="AG221" s="55"/>
      <c r="AH221" s="55"/>
      <c r="AI221" s="605"/>
    </row>
    <row r="222" spans="1:35" ht="21" customHeight="1">
      <c r="B222" s="606"/>
      <c r="C222" s="563"/>
      <c r="D222" s="131"/>
      <c r="E222" s="55"/>
      <c r="F222" s="602"/>
      <c r="G222" s="603"/>
      <c r="H222" s="603"/>
      <c r="I222" s="55"/>
      <c r="J222" s="602"/>
      <c r="K222" s="603"/>
      <c r="L222" s="603"/>
      <c r="M222" s="55"/>
      <c r="N222" s="602"/>
      <c r="O222" s="603"/>
      <c r="P222" s="603"/>
      <c r="Q222" s="55"/>
      <c r="R222" s="602"/>
      <c r="S222" s="603"/>
      <c r="T222" s="603"/>
      <c r="U222" s="55"/>
      <c r="V222" s="602"/>
      <c r="W222" s="14"/>
      <c r="X222" s="603"/>
      <c r="Y222" s="55"/>
      <c r="Z222" s="602"/>
      <c r="AA222" s="14"/>
      <c r="AB222" s="603"/>
      <c r="AC222" s="55"/>
      <c r="AD222" s="55"/>
      <c r="AE222" s="604"/>
      <c r="AF222" s="55"/>
      <c r="AG222" s="55"/>
      <c r="AH222" s="55"/>
      <c r="AI222" s="605"/>
    </row>
    <row r="223" spans="1:35" ht="21" customHeight="1">
      <c r="B223" s="606" t="s">
        <v>324</v>
      </c>
      <c r="C223" s="563" t="s">
        <v>684</v>
      </c>
      <c r="D223" s="131"/>
      <c r="E223" s="55"/>
      <c r="F223" s="602"/>
      <c r="G223" s="563" t="s">
        <v>684</v>
      </c>
      <c r="H223" s="131"/>
      <c r="I223" s="55"/>
      <c r="J223" s="602"/>
      <c r="K223" s="563" t="s">
        <v>684</v>
      </c>
      <c r="L223" s="131"/>
      <c r="M223" s="55"/>
      <c r="N223" s="602"/>
      <c r="O223" s="563" t="s">
        <v>684</v>
      </c>
      <c r="P223" s="131"/>
      <c r="Q223" s="55"/>
      <c r="R223" s="602"/>
      <c r="S223" s="603" t="s">
        <v>685</v>
      </c>
      <c r="T223" s="603"/>
      <c r="U223" s="55"/>
      <c r="V223" s="602"/>
      <c r="W223" s="14"/>
      <c r="X223" s="603"/>
      <c r="Y223" s="55"/>
      <c r="Z223" s="602"/>
      <c r="AA223" s="14"/>
      <c r="AB223" s="603"/>
      <c r="AC223" s="55"/>
      <c r="AD223" s="55"/>
      <c r="AE223" s="604"/>
      <c r="AF223" s="55"/>
      <c r="AG223" s="55"/>
      <c r="AH223" s="55"/>
      <c r="AI223" s="605"/>
    </row>
    <row r="224" spans="1:35" ht="21" customHeight="1">
      <c r="B224" s="606" t="s">
        <v>325</v>
      </c>
      <c r="C224" s="563" t="s">
        <v>686</v>
      </c>
      <c r="D224" s="131"/>
      <c r="E224" s="55"/>
      <c r="F224" s="602"/>
      <c r="G224" s="563" t="s">
        <v>686</v>
      </c>
      <c r="H224" s="131"/>
      <c r="I224" s="55"/>
      <c r="J224" s="602"/>
      <c r="K224" s="563" t="s">
        <v>686</v>
      </c>
      <c r="L224" s="131"/>
      <c r="M224" s="55"/>
      <c r="N224" s="602"/>
      <c r="O224" s="563" t="s">
        <v>686</v>
      </c>
      <c r="P224" s="131"/>
      <c r="Q224" s="55"/>
      <c r="R224" s="602"/>
      <c r="S224" s="603" t="s">
        <v>687</v>
      </c>
      <c r="T224" s="603"/>
      <c r="U224" s="55"/>
      <c r="V224" s="602"/>
      <c r="W224" s="14"/>
      <c r="X224" s="603"/>
      <c r="Y224" s="55"/>
      <c r="Z224" s="602"/>
      <c r="AA224" s="14"/>
      <c r="AB224" s="603"/>
      <c r="AC224" s="55"/>
      <c r="AD224" s="55"/>
      <c r="AE224" s="604"/>
      <c r="AF224" s="55"/>
      <c r="AG224" s="55"/>
      <c r="AH224" s="55"/>
      <c r="AI224" s="605"/>
    </row>
    <row r="225" spans="1:35" ht="21" customHeight="1" thickBot="1">
      <c r="B225" s="611" t="s">
        <v>326</v>
      </c>
      <c r="C225" s="570" t="s">
        <v>688</v>
      </c>
      <c r="D225" s="48"/>
      <c r="E225" s="616"/>
      <c r="F225" s="240"/>
      <c r="G225" s="570" t="s">
        <v>688</v>
      </c>
      <c r="H225" s="48"/>
      <c r="I225" s="616"/>
      <c r="J225" s="240"/>
      <c r="K225" s="570" t="s">
        <v>688</v>
      </c>
      <c r="L225" s="48"/>
      <c r="M225" s="616"/>
      <c r="N225" s="240"/>
      <c r="O225" s="570" t="s">
        <v>688</v>
      </c>
      <c r="P225" s="48"/>
      <c r="Q225" s="616"/>
      <c r="R225" s="240"/>
      <c r="S225" s="149" t="s">
        <v>689</v>
      </c>
      <c r="T225" s="149"/>
      <c r="U225" s="616"/>
      <c r="V225" s="240"/>
      <c r="W225" s="617"/>
      <c r="X225" s="149"/>
      <c r="Y225" s="616"/>
      <c r="Z225" s="240"/>
      <c r="AA225" s="617"/>
      <c r="AB225" s="149"/>
      <c r="AC225" s="616"/>
      <c r="AD225" s="616"/>
      <c r="AE225" s="618"/>
      <c r="AF225" s="616"/>
      <c r="AG225" s="616"/>
      <c r="AH225" s="616"/>
      <c r="AI225" s="619"/>
    </row>
    <row r="226" spans="1:35" ht="21" customHeight="1">
      <c r="B226" s="274"/>
      <c r="C226" s="312"/>
      <c r="D226" s="72"/>
      <c r="G226" s="312"/>
      <c r="H226" s="72"/>
      <c r="K226" s="312"/>
      <c r="L226" s="72"/>
      <c r="O226" s="312"/>
      <c r="P226" s="72"/>
      <c r="S226" s="312"/>
      <c r="T226" s="312"/>
      <c r="X226" s="312"/>
      <c r="AB226" s="312"/>
      <c r="AE226" s="312"/>
    </row>
    <row r="227" spans="1:35" ht="21" customHeight="1" thickBot="1">
      <c r="A227" s="620" t="s">
        <v>690</v>
      </c>
    </row>
    <row r="228" spans="1:35" ht="21" customHeight="1" thickBot="1">
      <c r="A228" s="861"/>
      <c r="B228" s="862" t="s">
        <v>476</v>
      </c>
      <c r="C228" s="880">
        <v>1</v>
      </c>
      <c r="D228" s="863">
        <v>2</v>
      </c>
      <c r="E228" s="863">
        <v>3</v>
      </c>
      <c r="F228" s="863">
        <v>4</v>
      </c>
      <c r="G228" s="880">
        <v>5</v>
      </c>
      <c r="H228" s="863">
        <v>6</v>
      </c>
      <c r="I228" s="880">
        <v>7</v>
      </c>
      <c r="J228" s="880">
        <v>8</v>
      </c>
      <c r="K228" s="880">
        <v>9</v>
      </c>
      <c r="L228" s="863">
        <v>10</v>
      </c>
      <c r="M228" s="863">
        <v>11</v>
      </c>
      <c r="N228" s="863">
        <v>12</v>
      </c>
      <c r="O228" s="863">
        <v>13</v>
      </c>
      <c r="P228" s="880">
        <v>14</v>
      </c>
      <c r="Q228" s="880">
        <v>15</v>
      </c>
      <c r="R228" s="863">
        <v>16</v>
      </c>
      <c r="S228" s="863">
        <v>17</v>
      </c>
      <c r="T228" s="863">
        <v>18</v>
      </c>
      <c r="U228" s="863">
        <v>19</v>
      </c>
      <c r="V228" s="863">
        <v>20</v>
      </c>
      <c r="W228" s="880">
        <v>21</v>
      </c>
      <c r="X228" s="880">
        <v>22</v>
      </c>
      <c r="Y228" s="863">
        <v>23</v>
      </c>
      <c r="Z228" s="863">
        <v>24</v>
      </c>
      <c r="AA228" s="863">
        <v>25</v>
      </c>
      <c r="AB228" s="863">
        <v>26</v>
      </c>
      <c r="AC228" s="863">
        <v>27</v>
      </c>
      <c r="AD228" s="880">
        <v>28</v>
      </c>
      <c r="AE228" s="880">
        <v>29</v>
      </c>
      <c r="AF228" s="863">
        <v>30</v>
      </c>
      <c r="AG228" s="943"/>
      <c r="AH228" s="864" t="s">
        <v>477</v>
      </c>
      <c r="AI228" s="865" t="s">
        <v>478</v>
      </c>
    </row>
    <row r="229" spans="1:35" ht="21" customHeight="1">
      <c r="A229" s="438">
        <v>3702</v>
      </c>
      <c r="B229" s="54" t="s">
        <v>691</v>
      </c>
      <c r="C229" s="871"/>
      <c r="D229" s="762">
        <v>1</v>
      </c>
      <c r="E229" s="979">
        <v>1</v>
      </c>
      <c r="F229" s="762">
        <v>1</v>
      </c>
      <c r="G229" s="871"/>
      <c r="H229" s="764">
        <v>1</v>
      </c>
      <c r="I229" s="871"/>
      <c r="J229" s="871"/>
      <c r="K229" s="764"/>
      <c r="L229" s="764">
        <v>1</v>
      </c>
      <c r="M229" s="871">
        <v>1</v>
      </c>
      <c r="N229" s="871">
        <v>1</v>
      </c>
      <c r="O229" s="871">
        <v>1</v>
      </c>
      <c r="P229" s="871"/>
      <c r="Q229" s="871"/>
      <c r="R229" s="764">
        <v>1</v>
      </c>
      <c r="S229" s="764">
        <v>1</v>
      </c>
      <c r="T229" s="871">
        <v>1</v>
      </c>
      <c r="U229" s="871">
        <v>1</v>
      </c>
      <c r="V229" s="871">
        <v>1</v>
      </c>
      <c r="W229" s="871"/>
      <c r="X229" s="871"/>
      <c r="Y229" s="764">
        <v>1</v>
      </c>
      <c r="Z229" s="764">
        <v>1</v>
      </c>
      <c r="AA229" s="871">
        <v>1</v>
      </c>
      <c r="AB229" s="871">
        <v>1</v>
      </c>
      <c r="AC229" s="871">
        <v>1</v>
      </c>
      <c r="AD229" s="871"/>
      <c r="AE229" s="871"/>
      <c r="AF229" s="764">
        <v>1</v>
      </c>
      <c r="AG229" s="871"/>
      <c r="AH229" s="510">
        <v>178</v>
      </c>
      <c r="AI229" s="511">
        <v>32</v>
      </c>
    </row>
    <row r="230" spans="1:35" ht="21" customHeight="1">
      <c r="A230" s="442">
        <v>3701</v>
      </c>
      <c r="B230" s="153" t="s">
        <v>692</v>
      </c>
      <c r="C230" s="762"/>
      <c r="D230" s="978" t="s">
        <v>491</v>
      </c>
      <c r="E230" s="762" t="s">
        <v>491</v>
      </c>
      <c r="F230" s="762" t="s">
        <v>491</v>
      </c>
      <c r="G230" s="762"/>
      <c r="H230" s="978" t="s">
        <v>491</v>
      </c>
      <c r="I230" s="762"/>
      <c r="J230" s="762"/>
      <c r="K230" s="768"/>
      <c r="L230" s="1038" t="s">
        <v>491</v>
      </c>
      <c r="M230" s="1015" t="s">
        <v>491</v>
      </c>
      <c r="N230" s="1015" t="s">
        <v>491</v>
      </c>
      <c r="O230" s="1015" t="s">
        <v>493</v>
      </c>
      <c r="P230" s="762"/>
      <c r="Q230" s="762"/>
      <c r="R230" s="762" t="s">
        <v>491</v>
      </c>
      <c r="S230" s="762" t="s">
        <v>491</v>
      </c>
      <c r="T230" s="762" t="s">
        <v>491</v>
      </c>
      <c r="U230" s="762" t="s">
        <v>491</v>
      </c>
      <c r="V230" s="762" t="s">
        <v>491</v>
      </c>
      <c r="W230" s="762"/>
      <c r="X230" s="762"/>
      <c r="Y230" s="768" t="s">
        <v>491</v>
      </c>
      <c r="Z230" s="768" t="s">
        <v>491</v>
      </c>
      <c r="AA230" s="762" t="s">
        <v>491</v>
      </c>
      <c r="AB230" s="762" t="s">
        <v>491</v>
      </c>
      <c r="AC230" s="762" t="s">
        <v>491</v>
      </c>
      <c r="AD230" s="762"/>
      <c r="AE230" s="762"/>
      <c r="AF230" s="762" t="s">
        <v>491</v>
      </c>
      <c r="AG230" s="762"/>
      <c r="AH230" s="924">
        <v>185</v>
      </c>
      <c r="AI230" s="925">
        <v>37</v>
      </c>
    </row>
    <row r="231" spans="1:35" ht="21" customHeight="1">
      <c r="A231" s="442">
        <v>3702</v>
      </c>
      <c r="B231" s="153" t="s">
        <v>693</v>
      </c>
      <c r="C231" s="762"/>
      <c r="D231" s="762">
        <v>1</v>
      </c>
      <c r="E231" s="762">
        <v>1</v>
      </c>
      <c r="F231" s="762">
        <v>1</v>
      </c>
      <c r="G231" s="762"/>
      <c r="H231" s="966">
        <v>1</v>
      </c>
      <c r="I231" s="762"/>
      <c r="J231" s="762"/>
      <c r="K231" s="768"/>
      <c r="L231" s="764">
        <v>1</v>
      </c>
      <c r="M231" s="764">
        <v>1</v>
      </c>
      <c r="N231" s="871">
        <v>1</v>
      </c>
      <c r="O231" s="871">
        <v>1</v>
      </c>
      <c r="P231" s="762"/>
      <c r="Q231" s="762"/>
      <c r="R231" s="966">
        <v>1</v>
      </c>
      <c r="S231" s="966">
        <v>1</v>
      </c>
      <c r="T231" s="966">
        <v>1</v>
      </c>
      <c r="U231" s="966">
        <v>1</v>
      </c>
      <c r="V231" s="966">
        <v>1</v>
      </c>
      <c r="W231" s="966"/>
      <c r="X231" s="966"/>
      <c r="Y231" s="966">
        <v>1</v>
      </c>
      <c r="Z231" s="966">
        <v>1</v>
      </c>
      <c r="AA231" s="966">
        <v>1</v>
      </c>
      <c r="AB231" s="966">
        <v>1</v>
      </c>
      <c r="AC231" s="966">
        <v>1</v>
      </c>
      <c r="AD231" s="966"/>
      <c r="AE231" s="966"/>
      <c r="AF231" s="966">
        <v>1</v>
      </c>
      <c r="AG231" s="762"/>
      <c r="AH231" s="924">
        <v>140.5</v>
      </c>
      <c r="AI231" s="925">
        <v>7.5</v>
      </c>
    </row>
    <row r="232" spans="1:35" ht="21" customHeight="1">
      <c r="A232" s="621">
        <v>3706</v>
      </c>
      <c r="B232" s="854" t="s">
        <v>694</v>
      </c>
      <c r="C232" s="768" t="s">
        <v>485</v>
      </c>
      <c r="D232" s="768" t="s">
        <v>485</v>
      </c>
      <c r="E232" s="768" t="s">
        <v>485</v>
      </c>
      <c r="F232" s="768" t="s">
        <v>485</v>
      </c>
      <c r="G232" s="768" t="s">
        <v>485</v>
      </c>
      <c r="H232" s="768" t="s">
        <v>485</v>
      </c>
      <c r="I232" s="768"/>
      <c r="J232" s="768"/>
      <c r="K232" s="768"/>
      <c r="L232" s="768" t="s">
        <v>485</v>
      </c>
      <c r="M232" s="768" t="s">
        <v>485</v>
      </c>
      <c r="N232" s="768" t="s">
        <v>485</v>
      </c>
      <c r="O232" s="768" t="s">
        <v>493</v>
      </c>
      <c r="P232" s="768"/>
      <c r="Q232" s="768"/>
      <c r="R232" s="768" t="s">
        <v>485</v>
      </c>
      <c r="S232" s="768" t="s">
        <v>485</v>
      </c>
      <c r="T232" s="768" t="s">
        <v>485</v>
      </c>
      <c r="U232" s="1038" t="s">
        <v>485</v>
      </c>
      <c r="V232" s="1038" t="s">
        <v>493</v>
      </c>
      <c r="W232" s="1038"/>
      <c r="X232" s="1038"/>
      <c r="Y232" s="970" t="s">
        <v>485</v>
      </c>
      <c r="Z232" s="970" t="s">
        <v>485</v>
      </c>
      <c r="AA232" s="970" t="s">
        <v>485</v>
      </c>
      <c r="AB232" s="970" t="s">
        <v>485</v>
      </c>
      <c r="AC232" s="970" t="s">
        <v>485</v>
      </c>
      <c r="AD232" s="970"/>
      <c r="AE232" s="970"/>
      <c r="AF232" s="768" t="s">
        <v>485</v>
      </c>
      <c r="AG232" s="768"/>
      <c r="AH232" s="924">
        <v>185</v>
      </c>
      <c r="AI232" s="925">
        <v>37</v>
      </c>
    </row>
    <row r="233" spans="1:35" ht="21" customHeight="1">
      <c r="A233" s="622"/>
      <c r="B233" s="623" t="s">
        <v>695</v>
      </c>
      <c r="C233" s="940"/>
      <c r="D233" s="940"/>
      <c r="E233" s="940"/>
      <c r="F233" s="940"/>
      <c r="G233" s="940"/>
      <c r="H233" s="940"/>
      <c r="I233" s="940"/>
      <c r="J233" s="940"/>
      <c r="K233" s="940"/>
      <c r="L233" s="940"/>
      <c r="M233" s="940"/>
      <c r="N233" s="940"/>
      <c r="O233" s="940"/>
      <c r="P233" s="940"/>
      <c r="Q233" s="940"/>
      <c r="R233" s="940"/>
      <c r="S233" s="940"/>
      <c r="T233" s="940"/>
      <c r="U233" s="940"/>
      <c r="V233" s="940"/>
      <c r="W233" s="940"/>
      <c r="X233" s="940"/>
      <c r="Y233" s="940"/>
      <c r="Z233" s="940"/>
      <c r="AA233" s="940"/>
      <c r="AB233" s="940"/>
      <c r="AC233" s="940"/>
      <c r="AD233" s="940"/>
      <c r="AE233" s="940"/>
      <c r="AF233" s="940"/>
      <c r="AG233" s="922"/>
      <c r="AH233" s="624"/>
      <c r="AI233" s="625"/>
    </row>
    <row r="234" spans="1:35" ht="21" customHeight="1">
      <c r="A234" s="442">
        <v>3702</v>
      </c>
      <c r="B234" s="793" t="s">
        <v>696</v>
      </c>
      <c r="C234" s="762"/>
      <c r="D234" s="768" t="s">
        <v>697</v>
      </c>
      <c r="E234" s="768" t="s">
        <v>697</v>
      </c>
      <c r="F234" s="762" t="s">
        <v>697</v>
      </c>
      <c r="G234" s="762" t="s">
        <v>697</v>
      </c>
      <c r="H234" s="762" t="s">
        <v>697</v>
      </c>
      <c r="I234" s="762"/>
      <c r="J234" s="762"/>
      <c r="K234" s="768" t="s">
        <v>697</v>
      </c>
      <c r="L234" s="768" t="s">
        <v>697</v>
      </c>
      <c r="M234" s="762" t="s">
        <v>697</v>
      </c>
      <c r="N234" s="762" t="s">
        <v>697</v>
      </c>
      <c r="O234" s="762" t="s">
        <v>697</v>
      </c>
      <c r="P234" s="762"/>
      <c r="Q234" s="762"/>
      <c r="R234" s="1038" t="s">
        <v>748</v>
      </c>
      <c r="S234" s="987" t="s">
        <v>697</v>
      </c>
      <c r="T234" s="553" t="s">
        <v>697</v>
      </c>
      <c r="U234" s="553" t="s">
        <v>697</v>
      </c>
      <c r="V234" s="553" t="s">
        <v>697</v>
      </c>
      <c r="W234" s="762"/>
      <c r="X234" s="762"/>
      <c r="Y234" s="970" t="s">
        <v>697</v>
      </c>
      <c r="Z234" s="970" t="s">
        <v>697</v>
      </c>
      <c r="AA234" s="966" t="s">
        <v>697</v>
      </c>
      <c r="AB234" s="966" t="s">
        <v>697</v>
      </c>
      <c r="AC234" s="966" t="s">
        <v>697</v>
      </c>
      <c r="AD234" s="966"/>
      <c r="AE234" s="966"/>
      <c r="AF234" s="966" t="s">
        <v>697</v>
      </c>
      <c r="AG234" s="762"/>
      <c r="AH234" s="924">
        <v>74</v>
      </c>
      <c r="AI234" s="925">
        <v>37</v>
      </c>
    </row>
    <row r="235" spans="1:35" ht="21" customHeight="1">
      <c r="A235" s="442"/>
      <c r="B235" s="153" t="s">
        <v>698</v>
      </c>
      <c r="C235" s="762"/>
      <c r="D235" s="768" t="s">
        <v>699</v>
      </c>
      <c r="E235" s="768" t="s">
        <v>699</v>
      </c>
      <c r="F235" s="762" t="s">
        <v>699</v>
      </c>
      <c r="G235" s="762" t="s">
        <v>699</v>
      </c>
      <c r="H235" s="966" t="s">
        <v>699</v>
      </c>
      <c r="I235" s="762"/>
      <c r="J235" s="762"/>
      <c r="K235" s="768" t="s">
        <v>699</v>
      </c>
      <c r="L235" s="768" t="s">
        <v>699</v>
      </c>
      <c r="M235" s="762" t="s">
        <v>699</v>
      </c>
      <c r="N235" s="762" t="s">
        <v>699</v>
      </c>
      <c r="O235" s="762" t="s">
        <v>699</v>
      </c>
      <c r="P235" s="762"/>
      <c r="Q235" s="762"/>
      <c r="R235" s="768" t="s">
        <v>699</v>
      </c>
      <c r="S235" s="768" t="s">
        <v>699</v>
      </c>
      <c r="T235" s="762" t="s">
        <v>699</v>
      </c>
      <c r="U235" s="762" t="s">
        <v>699</v>
      </c>
      <c r="V235" s="762" t="s">
        <v>699</v>
      </c>
      <c r="W235" s="762"/>
      <c r="X235" s="762"/>
      <c r="Y235" s="768" t="s">
        <v>699</v>
      </c>
      <c r="Z235" s="768" t="s">
        <v>699</v>
      </c>
      <c r="AA235" s="762" t="s">
        <v>699</v>
      </c>
      <c r="AB235" s="762" t="s">
        <v>699</v>
      </c>
      <c r="AC235" s="762" t="s">
        <v>699</v>
      </c>
      <c r="AD235" s="762"/>
      <c r="AE235" s="762"/>
      <c r="AF235" s="762" t="s">
        <v>699</v>
      </c>
      <c r="AG235" s="762"/>
      <c r="AH235" s="924">
        <v>231.5</v>
      </c>
      <c r="AI235" s="925">
        <v>37</v>
      </c>
    </row>
    <row r="236" spans="1:35" ht="21" customHeight="1" thickBot="1">
      <c r="A236" s="906"/>
      <c r="B236" s="895" t="s">
        <v>700</v>
      </c>
      <c r="C236" s="875"/>
      <c r="D236" s="867" t="s">
        <v>701</v>
      </c>
      <c r="E236" s="867" t="s">
        <v>701</v>
      </c>
      <c r="F236" s="875" t="s">
        <v>701</v>
      </c>
      <c r="G236" s="875" t="s">
        <v>701</v>
      </c>
      <c r="H236" s="875" t="s">
        <v>701</v>
      </c>
      <c r="I236" s="875"/>
      <c r="J236" s="875"/>
      <c r="K236" s="867" t="s">
        <v>701</v>
      </c>
      <c r="L236" s="867" t="s">
        <v>701</v>
      </c>
      <c r="M236" s="875" t="s">
        <v>701</v>
      </c>
      <c r="N236" s="875" t="s">
        <v>701</v>
      </c>
      <c r="O236" s="875" t="s">
        <v>701</v>
      </c>
      <c r="P236" s="875"/>
      <c r="Q236" s="875"/>
      <c r="R236" s="867" t="s">
        <v>701</v>
      </c>
      <c r="S236" s="867" t="s">
        <v>701</v>
      </c>
      <c r="T236" s="1087" t="s">
        <v>701</v>
      </c>
      <c r="U236" s="1087" t="s">
        <v>701</v>
      </c>
      <c r="V236" s="1087" t="s">
        <v>749</v>
      </c>
      <c r="W236" s="875"/>
      <c r="X236" s="875"/>
      <c r="Y236" s="867" t="s">
        <v>701</v>
      </c>
      <c r="Z236" s="867" t="s">
        <v>701</v>
      </c>
      <c r="AA236" s="875" t="s">
        <v>701</v>
      </c>
      <c r="AB236" s="875" t="s">
        <v>701</v>
      </c>
      <c r="AC236" s="875" t="s">
        <v>701</v>
      </c>
      <c r="AD236" s="875"/>
      <c r="AE236" s="875"/>
      <c r="AF236" s="875" t="s">
        <v>701</v>
      </c>
      <c r="AG236" s="875"/>
      <c r="AH236" s="868">
        <v>207.5</v>
      </c>
      <c r="AI236" s="869">
        <v>37</v>
      </c>
    </row>
    <row r="237" spans="1:35" ht="21" customHeight="1"/>
    <row r="238" spans="1:35" ht="21" customHeight="1"/>
    <row r="239" spans="1:35" ht="21" customHeight="1" thickBot="1">
      <c r="A239" s="1" t="s">
        <v>702</v>
      </c>
    </row>
    <row r="240" spans="1:35" ht="21" customHeight="1">
      <c r="B240" s="201" t="s">
        <v>664</v>
      </c>
      <c r="C240" s="7"/>
      <c r="D240" s="522" t="s">
        <v>2</v>
      </c>
      <c r="E240" s="51"/>
      <c r="F240" s="548"/>
      <c r="G240" s="7"/>
      <c r="H240" s="522" t="s">
        <v>3</v>
      </c>
      <c r="I240" s="51"/>
      <c r="J240" s="548"/>
      <c r="K240" s="7"/>
      <c r="L240" s="522" t="s">
        <v>4</v>
      </c>
      <c r="M240" s="51"/>
      <c r="N240" s="548"/>
      <c r="O240" s="7"/>
      <c r="P240" s="522" t="s">
        <v>5</v>
      </c>
      <c r="Q240" s="51"/>
      <c r="R240" s="548"/>
      <c r="S240" s="7"/>
      <c r="T240" s="522" t="s">
        <v>6</v>
      </c>
      <c r="U240" s="51"/>
      <c r="V240" s="548"/>
      <c r="W240" s="7"/>
      <c r="X240" s="522" t="s">
        <v>7</v>
      </c>
      <c r="Y240" s="51"/>
      <c r="Z240" s="548"/>
      <c r="AA240" s="7"/>
      <c r="AB240" s="522" t="s">
        <v>8</v>
      </c>
      <c r="AC240" s="51"/>
      <c r="AD240" s="51"/>
      <c r="AE240" s="425" t="s">
        <v>10</v>
      </c>
      <c r="AF240" s="51"/>
      <c r="AG240" s="51"/>
      <c r="AH240" s="51"/>
      <c r="AI240" s="523"/>
    </row>
    <row r="241" spans="1:35" ht="21" customHeight="1">
      <c r="B241" s="9">
        <v>8500</v>
      </c>
      <c r="C241" s="121" t="s">
        <v>33</v>
      </c>
      <c r="D241" s="603"/>
      <c r="E241" s="55"/>
      <c r="F241" s="602"/>
      <c r="G241" s="121" t="s">
        <v>33</v>
      </c>
      <c r="H241" s="603"/>
      <c r="I241" s="55"/>
      <c r="J241" s="602"/>
      <c r="K241" s="121" t="s">
        <v>33</v>
      </c>
      <c r="L241" s="603"/>
      <c r="M241" s="55"/>
      <c r="N241" s="602"/>
      <c r="O241" s="121" t="s">
        <v>33</v>
      </c>
      <c r="P241" s="603"/>
      <c r="Q241" s="55"/>
      <c r="R241" s="602"/>
      <c r="S241" s="121" t="s">
        <v>34</v>
      </c>
      <c r="T241" s="603"/>
      <c r="U241" s="55"/>
      <c r="V241" s="602"/>
      <c r="W241" s="14"/>
      <c r="X241" s="603"/>
      <c r="Y241" s="55"/>
      <c r="Z241" s="602"/>
      <c r="AA241" s="14"/>
      <c r="AB241" s="603"/>
      <c r="AC241" s="55"/>
      <c r="AD241" s="55"/>
      <c r="AE241" s="604"/>
      <c r="AF241" s="55"/>
      <c r="AG241" s="55"/>
      <c r="AH241" s="55"/>
      <c r="AI241" s="605"/>
    </row>
    <row r="242" spans="1:35" ht="21" customHeight="1" thickBot="1">
      <c r="B242" s="163" t="s">
        <v>703</v>
      </c>
      <c r="C242" s="626" t="s">
        <v>704</v>
      </c>
      <c r="D242" s="627"/>
      <c r="E242" s="616"/>
      <c r="F242" s="240"/>
      <c r="G242" s="626" t="s">
        <v>704</v>
      </c>
      <c r="H242" s="149"/>
      <c r="I242" s="616"/>
      <c r="J242" s="240"/>
      <c r="K242" s="626" t="s">
        <v>704</v>
      </c>
      <c r="L242" s="149"/>
      <c r="M242" s="616"/>
      <c r="N242" s="240"/>
      <c r="O242" s="626" t="s">
        <v>705</v>
      </c>
      <c r="P242" s="149"/>
      <c r="Q242" s="616"/>
      <c r="R242" s="240"/>
      <c r="S242" s="626" t="s">
        <v>16</v>
      </c>
      <c r="T242" s="149"/>
      <c r="U242" s="616"/>
      <c r="V242" s="240"/>
      <c r="W242" s="617"/>
      <c r="X242" s="149"/>
      <c r="Y242" s="616"/>
      <c r="Z242" s="240"/>
      <c r="AA242" s="617"/>
      <c r="AB242" s="149"/>
      <c r="AC242" s="616"/>
      <c r="AD242" s="616"/>
      <c r="AE242" s="618"/>
      <c r="AF242" s="616"/>
      <c r="AG242" s="616"/>
      <c r="AH242" s="616"/>
      <c r="AI242" s="619"/>
    </row>
    <row r="243" spans="1:35" ht="21" customHeight="1" thickBot="1">
      <c r="A243" s="60" t="s">
        <v>706</v>
      </c>
    </row>
    <row r="244" spans="1:35" ht="21" customHeight="1" thickBot="1">
      <c r="A244" s="911"/>
      <c r="B244" s="862" t="s">
        <v>476</v>
      </c>
      <c r="C244" s="880">
        <v>1</v>
      </c>
      <c r="D244" s="863">
        <v>2</v>
      </c>
      <c r="E244" s="863">
        <v>3</v>
      </c>
      <c r="F244" s="863">
        <v>4</v>
      </c>
      <c r="G244" s="880">
        <v>5</v>
      </c>
      <c r="H244" s="863">
        <v>6</v>
      </c>
      <c r="I244" s="880">
        <v>7</v>
      </c>
      <c r="J244" s="880">
        <v>8</v>
      </c>
      <c r="K244" s="880">
        <v>9</v>
      </c>
      <c r="L244" s="863">
        <v>10</v>
      </c>
      <c r="M244" s="863">
        <v>11</v>
      </c>
      <c r="N244" s="863">
        <v>12</v>
      </c>
      <c r="O244" s="863">
        <v>13</v>
      </c>
      <c r="P244" s="880">
        <v>14</v>
      </c>
      <c r="Q244" s="880">
        <v>15</v>
      </c>
      <c r="R244" s="863">
        <v>16</v>
      </c>
      <c r="S244" s="863">
        <v>17</v>
      </c>
      <c r="T244" s="863">
        <v>18</v>
      </c>
      <c r="U244" s="863">
        <v>19</v>
      </c>
      <c r="V244" s="863">
        <v>20</v>
      </c>
      <c r="W244" s="880">
        <v>21</v>
      </c>
      <c r="X244" s="880">
        <v>22</v>
      </c>
      <c r="Y244" s="863">
        <v>23</v>
      </c>
      <c r="Z244" s="863">
        <v>24</v>
      </c>
      <c r="AA244" s="863">
        <v>25</v>
      </c>
      <c r="AB244" s="863">
        <v>26</v>
      </c>
      <c r="AC244" s="863">
        <v>27</v>
      </c>
      <c r="AD244" s="880">
        <v>28</v>
      </c>
      <c r="AE244" s="880">
        <v>29</v>
      </c>
      <c r="AF244" s="863">
        <v>30</v>
      </c>
      <c r="AG244" s="863"/>
      <c r="AH244" s="864" t="s">
        <v>477</v>
      </c>
      <c r="AI244" s="865" t="s">
        <v>478</v>
      </c>
    </row>
    <row r="245" spans="1:35" ht="21" customHeight="1">
      <c r="A245" s="14">
        <v>8500</v>
      </c>
      <c r="B245" s="908" t="s">
        <v>707</v>
      </c>
      <c r="C245" s="768" t="s">
        <v>28</v>
      </c>
      <c r="D245" s="768" t="s">
        <v>491</v>
      </c>
      <c r="E245" s="768" t="s">
        <v>491</v>
      </c>
      <c r="F245" s="768" t="s">
        <v>491</v>
      </c>
      <c r="G245" s="768"/>
      <c r="H245" s="768" t="s">
        <v>491</v>
      </c>
      <c r="I245" s="768"/>
      <c r="J245" s="768"/>
      <c r="K245" s="768"/>
      <c r="L245" s="768" t="s">
        <v>491</v>
      </c>
      <c r="M245" s="768" t="s">
        <v>491</v>
      </c>
      <c r="N245" s="768" t="s">
        <v>491</v>
      </c>
      <c r="O245" s="768" t="s">
        <v>491</v>
      </c>
      <c r="P245" s="768"/>
      <c r="Q245" s="768"/>
      <c r="R245" s="768" t="s">
        <v>491</v>
      </c>
      <c r="S245" s="768" t="s">
        <v>491</v>
      </c>
      <c r="T245" s="768" t="s">
        <v>491</v>
      </c>
      <c r="U245" s="768" t="s">
        <v>491</v>
      </c>
      <c r="V245" s="768" t="s">
        <v>491</v>
      </c>
      <c r="W245" s="768"/>
      <c r="X245" s="768"/>
      <c r="Y245" s="768" t="s">
        <v>491</v>
      </c>
      <c r="Z245" s="768" t="s">
        <v>491</v>
      </c>
      <c r="AA245" s="768" t="s">
        <v>491</v>
      </c>
      <c r="AB245" s="768" t="s">
        <v>491</v>
      </c>
      <c r="AC245" s="768" t="s">
        <v>491</v>
      </c>
      <c r="AD245" s="768"/>
      <c r="AE245" s="768"/>
      <c r="AF245" s="768" t="s">
        <v>491</v>
      </c>
      <c r="AG245" s="768"/>
      <c r="AH245" s="909">
        <v>253</v>
      </c>
      <c r="AI245" s="910">
        <v>37</v>
      </c>
    </row>
    <row r="246" spans="1:35" ht="21" customHeight="1">
      <c r="A246" s="500" t="s">
        <v>708</v>
      </c>
      <c r="B246" s="153" t="s">
        <v>709</v>
      </c>
      <c r="C246" s="768" t="s">
        <v>28</v>
      </c>
      <c r="D246" s="768" t="s">
        <v>491</v>
      </c>
      <c r="E246" s="768" t="s">
        <v>491</v>
      </c>
      <c r="F246" s="768" t="s">
        <v>491</v>
      </c>
      <c r="G246" s="768"/>
      <c r="H246" s="970" t="s">
        <v>491</v>
      </c>
      <c r="I246" s="768"/>
      <c r="J246" s="768"/>
      <c r="K246" s="768"/>
      <c r="L246" s="768" t="s">
        <v>491</v>
      </c>
      <c r="M246" s="768" t="s">
        <v>491</v>
      </c>
      <c r="N246" s="768" t="s">
        <v>491</v>
      </c>
      <c r="O246" s="768" t="s">
        <v>491</v>
      </c>
      <c r="P246" s="768"/>
      <c r="Q246" s="768"/>
      <c r="R246" s="1038" t="s">
        <v>491</v>
      </c>
      <c r="S246" s="1038" t="s">
        <v>491</v>
      </c>
      <c r="T246" s="1038" t="s">
        <v>491</v>
      </c>
      <c r="U246" s="1038" t="s">
        <v>491</v>
      </c>
      <c r="V246" s="1038" t="s">
        <v>714</v>
      </c>
      <c r="W246" s="768"/>
      <c r="X246" s="768"/>
      <c r="Y246" s="768" t="s">
        <v>491</v>
      </c>
      <c r="Z246" s="768" t="s">
        <v>491</v>
      </c>
      <c r="AA246" s="768" t="s">
        <v>491</v>
      </c>
      <c r="AB246" s="768" t="s">
        <v>491</v>
      </c>
      <c r="AC246" s="768" t="s">
        <v>491</v>
      </c>
      <c r="AD246" s="768"/>
      <c r="AE246" s="768"/>
      <c r="AF246" s="768" t="s">
        <v>491</v>
      </c>
      <c r="AG246" s="768"/>
      <c r="AH246" s="628">
        <v>181.5</v>
      </c>
      <c r="AI246" s="629">
        <v>37</v>
      </c>
    </row>
    <row r="247" spans="1:35" ht="21.95" customHeight="1">
      <c r="A247" s="442"/>
      <c r="B247" s="153" t="s">
        <v>710</v>
      </c>
      <c r="C247" s="768" t="s">
        <v>28</v>
      </c>
      <c r="D247" s="768" t="s">
        <v>491</v>
      </c>
      <c r="E247" s="768" t="s">
        <v>491</v>
      </c>
      <c r="F247" s="768" t="s">
        <v>491</v>
      </c>
      <c r="G247" s="768"/>
      <c r="H247" s="768" t="s">
        <v>491</v>
      </c>
      <c r="I247" s="768"/>
      <c r="J247" s="768"/>
      <c r="K247" s="768"/>
      <c r="L247" s="768" t="s">
        <v>491</v>
      </c>
      <c r="M247" s="768" t="s">
        <v>491</v>
      </c>
      <c r="N247" s="768" t="s">
        <v>491</v>
      </c>
      <c r="O247" s="768" t="s">
        <v>491</v>
      </c>
      <c r="P247" s="768"/>
      <c r="Q247" s="768"/>
      <c r="R247" s="768" t="s">
        <v>491</v>
      </c>
      <c r="S247" s="768" t="s">
        <v>491</v>
      </c>
      <c r="T247" s="768" t="s">
        <v>491</v>
      </c>
      <c r="U247" s="768" t="s">
        <v>491</v>
      </c>
      <c r="V247" s="768" t="s">
        <v>491</v>
      </c>
      <c r="W247" s="768"/>
      <c r="X247" s="768"/>
      <c r="Y247" s="768" t="s">
        <v>491</v>
      </c>
      <c r="Z247" s="768" t="s">
        <v>491</v>
      </c>
      <c r="AA247" s="768" t="s">
        <v>491</v>
      </c>
      <c r="AB247" s="768" t="s">
        <v>491</v>
      </c>
      <c r="AC247" s="768" t="s">
        <v>491</v>
      </c>
      <c r="AD247" s="768"/>
      <c r="AE247" s="768"/>
      <c r="AF247" s="768" t="s">
        <v>491</v>
      </c>
      <c r="AG247" s="768"/>
      <c r="AH247" s="628">
        <v>222</v>
      </c>
      <c r="AI247" s="629">
        <v>37</v>
      </c>
    </row>
    <row r="248" spans="1:35" ht="21.95" customHeight="1">
      <c r="A248" s="516">
        <v>3701</v>
      </c>
      <c r="B248" s="134" t="s">
        <v>711</v>
      </c>
      <c r="C248" s="768" t="s">
        <v>28</v>
      </c>
      <c r="D248" s="768" t="s">
        <v>491</v>
      </c>
      <c r="E248" s="768" t="s">
        <v>491</v>
      </c>
      <c r="F248" s="768" t="s">
        <v>491</v>
      </c>
      <c r="G248" s="768"/>
      <c r="H248" s="768" t="s">
        <v>491</v>
      </c>
      <c r="I248" s="768"/>
      <c r="J248" s="768"/>
      <c r="K248" s="768"/>
      <c r="L248" s="768" t="s">
        <v>491</v>
      </c>
      <c r="M248" s="768" t="s">
        <v>491</v>
      </c>
      <c r="N248" s="768" t="s">
        <v>491</v>
      </c>
      <c r="O248" s="768" t="s">
        <v>491</v>
      </c>
      <c r="P248" s="768"/>
      <c r="Q248" s="768"/>
      <c r="R248" s="768" t="s">
        <v>491</v>
      </c>
      <c r="S248" s="768" t="s">
        <v>491</v>
      </c>
      <c r="T248" s="768" t="s">
        <v>491</v>
      </c>
      <c r="U248" s="768" t="s">
        <v>491</v>
      </c>
      <c r="V248" s="768" t="s">
        <v>491</v>
      </c>
      <c r="W248" s="768"/>
      <c r="X248" s="768"/>
      <c r="Y248" s="768" t="s">
        <v>491</v>
      </c>
      <c r="Z248" s="768" t="s">
        <v>491</v>
      </c>
      <c r="AA248" s="768" t="s">
        <v>491</v>
      </c>
      <c r="AB248" s="768" t="s">
        <v>491</v>
      </c>
      <c r="AC248" s="768" t="s">
        <v>491</v>
      </c>
      <c r="AD248" s="768"/>
      <c r="AE248" s="768"/>
      <c r="AF248" s="768" t="s">
        <v>491</v>
      </c>
      <c r="AG248" s="768"/>
      <c r="AH248" s="849">
        <v>214.5</v>
      </c>
      <c r="AI248" s="850">
        <v>37</v>
      </c>
    </row>
    <row r="249" spans="1:35" ht="21" customHeight="1">
      <c r="A249" s="793">
        <v>8500</v>
      </c>
      <c r="B249" s="227" t="s">
        <v>712</v>
      </c>
      <c r="C249" s="768" t="s">
        <v>28</v>
      </c>
      <c r="D249" s="1038" t="s">
        <v>491</v>
      </c>
      <c r="E249" s="1038" t="s">
        <v>493</v>
      </c>
      <c r="F249" s="768" t="s">
        <v>491</v>
      </c>
      <c r="G249" s="768"/>
      <c r="H249" s="768" t="s">
        <v>491</v>
      </c>
      <c r="I249" s="768"/>
      <c r="J249" s="768"/>
      <c r="K249" s="768"/>
      <c r="L249" s="768" t="s">
        <v>491</v>
      </c>
      <c r="M249" s="1038" t="s">
        <v>491</v>
      </c>
      <c r="N249" s="1038" t="s">
        <v>491</v>
      </c>
      <c r="O249" s="1038" t="s">
        <v>714</v>
      </c>
      <c r="P249" s="768"/>
      <c r="Q249" s="768"/>
      <c r="R249" s="768" t="s">
        <v>491</v>
      </c>
      <c r="S249" s="768" t="s">
        <v>491</v>
      </c>
      <c r="T249" s="768" t="s">
        <v>491</v>
      </c>
      <c r="U249" s="768" t="s">
        <v>491</v>
      </c>
      <c r="V249" s="768" t="s">
        <v>491</v>
      </c>
      <c r="W249" s="768"/>
      <c r="X249" s="768"/>
      <c r="Y249" s="768" t="s">
        <v>491</v>
      </c>
      <c r="Z249" s="768" t="s">
        <v>491</v>
      </c>
      <c r="AA249" s="768" t="s">
        <v>491</v>
      </c>
      <c r="AB249" s="768" t="s">
        <v>491</v>
      </c>
      <c r="AC249" s="1038" t="s">
        <v>491</v>
      </c>
      <c r="AD249" s="1038"/>
      <c r="AE249" s="1038"/>
      <c r="AF249" s="1038" t="s">
        <v>491</v>
      </c>
      <c r="AG249" s="768"/>
      <c r="AH249" s="849">
        <v>185</v>
      </c>
      <c r="AI249" s="850">
        <v>37</v>
      </c>
    </row>
    <row r="250" spans="1:35" ht="21.95" customHeight="1">
      <c r="A250" s="856">
        <v>3350</v>
      </c>
      <c r="B250" s="855" t="s">
        <v>713</v>
      </c>
      <c r="C250" s="768" t="s">
        <v>28</v>
      </c>
      <c r="D250" s="768" t="s">
        <v>491</v>
      </c>
      <c r="E250" s="768" t="s">
        <v>491</v>
      </c>
      <c r="F250" s="768" t="s">
        <v>491</v>
      </c>
      <c r="G250" s="768"/>
      <c r="H250" s="768" t="s">
        <v>491</v>
      </c>
      <c r="I250" s="768"/>
      <c r="J250" s="768"/>
      <c r="K250" s="768"/>
      <c r="L250" s="768" t="s">
        <v>491</v>
      </c>
      <c r="M250" s="768" t="s">
        <v>491</v>
      </c>
      <c r="N250" s="768" t="s">
        <v>491</v>
      </c>
      <c r="O250" s="768" t="s">
        <v>491</v>
      </c>
      <c r="P250" s="768"/>
      <c r="Q250" s="768"/>
      <c r="R250" s="768" t="s">
        <v>491</v>
      </c>
      <c r="S250" s="768" t="s">
        <v>491</v>
      </c>
      <c r="T250" s="768" t="s">
        <v>491</v>
      </c>
      <c r="U250" s="768" t="s">
        <v>491</v>
      </c>
      <c r="V250" s="1038" t="s">
        <v>714</v>
      </c>
      <c r="W250" s="768"/>
      <c r="X250" s="768"/>
      <c r="Y250" s="768" t="s">
        <v>491</v>
      </c>
      <c r="Z250" s="768" t="s">
        <v>491</v>
      </c>
      <c r="AA250" s="768" t="s">
        <v>491</v>
      </c>
      <c r="AB250" s="768" t="s">
        <v>491</v>
      </c>
      <c r="AC250" s="768" t="s">
        <v>491</v>
      </c>
      <c r="AD250" s="768"/>
      <c r="AE250" s="768"/>
      <c r="AF250" s="768" t="s">
        <v>491</v>
      </c>
      <c r="AG250" s="768"/>
      <c r="AH250" s="849">
        <v>185</v>
      </c>
      <c r="AI250" s="850">
        <v>37</v>
      </c>
    </row>
    <row r="251" spans="1:35" ht="21.95" customHeight="1" thickBot="1">
      <c r="A251" s="912"/>
      <c r="B251" s="913" t="s">
        <v>750</v>
      </c>
      <c r="C251" s="768" t="s">
        <v>28</v>
      </c>
      <c r="D251" s="768" t="s">
        <v>491</v>
      </c>
      <c r="E251" s="768" t="s">
        <v>491</v>
      </c>
      <c r="F251" s="768" t="s">
        <v>491</v>
      </c>
      <c r="G251" s="768"/>
      <c r="H251" s="768" t="s">
        <v>491</v>
      </c>
      <c r="I251" s="768"/>
      <c r="J251" s="768"/>
      <c r="K251" s="768"/>
      <c r="L251" s="768" t="s">
        <v>491</v>
      </c>
      <c r="M251" s="768" t="s">
        <v>491</v>
      </c>
      <c r="N251" s="768" t="s">
        <v>491</v>
      </c>
      <c r="O251" s="768" t="s">
        <v>491</v>
      </c>
      <c r="P251" s="768"/>
      <c r="Q251" s="768"/>
      <c r="R251" s="970" t="s">
        <v>491</v>
      </c>
      <c r="S251" s="970" t="s">
        <v>491</v>
      </c>
      <c r="T251" s="970" t="s">
        <v>491</v>
      </c>
      <c r="U251" s="970" t="s">
        <v>491</v>
      </c>
      <c r="V251" s="970" t="s">
        <v>491</v>
      </c>
      <c r="W251" s="970"/>
      <c r="X251" s="970"/>
      <c r="Y251" s="768" t="s">
        <v>491</v>
      </c>
      <c r="Z251" s="768" t="s">
        <v>491</v>
      </c>
      <c r="AA251" s="768" t="s">
        <v>491</v>
      </c>
      <c r="AB251" s="768" t="s">
        <v>491</v>
      </c>
      <c r="AC251" s="768" t="s">
        <v>491</v>
      </c>
      <c r="AD251" s="768"/>
      <c r="AE251" s="768"/>
      <c r="AF251" s="768" t="s">
        <v>491</v>
      </c>
      <c r="AG251" s="768"/>
      <c r="AH251" s="914"/>
      <c r="AI251" s="915"/>
    </row>
    <row r="253" spans="1:35" ht="25.5" customHeight="1" thickBot="1">
      <c r="A253" s="1" t="s">
        <v>716</v>
      </c>
    </row>
    <row r="254" spans="1:35" ht="21" customHeight="1">
      <c r="A254" s="1"/>
      <c r="B254" s="201" t="s">
        <v>664</v>
      </c>
      <c r="C254" s="7"/>
      <c r="D254" s="522" t="s">
        <v>2</v>
      </c>
      <c r="E254" s="51"/>
      <c r="F254" s="548"/>
      <c r="G254" s="7"/>
      <c r="H254" s="522" t="s">
        <v>3</v>
      </c>
      <c r="I254" s="51"/>
      <c r="J254" s="548"/>
      <c r="K254" s="7"/>
      <c r="L254" s="522" t="s">
        <v>4</v>
      </c>
      <c r="M254" s="51"/>
      <c r="N254" s="548"/>
      <c r="O254" s="7"/>
      <c r="P254" s="522" t="s">
        <v>5</v>
      </c>
      <c r="Q254" s="51"/>
      <c r="R254" s="548"/>
      <c r="S254" s="7"/>
      <c r="T254" s="522" t="s">
        <v>6</v>
      </c>
      <c r="U254" s="51"/>
      <c r="V254" s="548"/>
      <c r="W254" s="7"/>
      <c r="X254" s="522" t="s">
        <v>7</v>
      </c>
      <c r="Y254" s="51"/>
      <c r="Z254" s="548"/>
      <c r="AA254" s="7"/>
      <c r="AB254" s="522" t="s">
        <v>8</v>
      </c>
      <c r="AC254" s="51"/>
      <c r="AD254" s="51"/>
      <c r="AE254" s="425" t="s">
        <v>10</v>
      </c>
      <c r="AF254" s="51"/>
      <c r="AG254" s="51"/>
      <c r="AH254" s="51"/>
      <c r="AI254" s="523"/>
    </row>
    <row r="255" spans="1:35" ht="21" customHeight="1">
      <c r="A255" s="1"/>
      <c r="B255" s="9"/>
      <c r="C255" s="14"/>
      <c r="D255" s="603"/>
      <c r="E255" s="55"/>
      <c r="F255" s="602"/>
      <c r="G255" s="14"/>
      <c r="H255" s="603"/>
      <c r="I255" s="55"/>
      <c r="J255" s="602"/>
      <c r="K255" s="14"/>
      <c r="L255" s="603"/>
      <c r="M255" s="55"/>
      <c r="N255" s="602"/>
      <c r="O255" s="14"/>
      <c r="P255" s="603"/>
      <c r="Q255" s="55"/>
      <c r="R255" s="602"/>
      <c r="S255" s="14"/>
      <c r="T255" s="603"/>
      <c r="U255" s="55"/>
      <c r="V255" s="602"/>
      <c r="W255" s="14"/>
      <c r="X255" s="603"/>
      <c r="Y255" s="55"/>
      <c r="Z255" s="602"/>
      <c r="AA255" s="14"/>
      <c r="AB255" s="603"/>
      <c r="AC255" s="55"/>
      <c r="AD255" s="55"/>
      <c r="AE255" s="604"/>
      <c r="AF255" s="55"/>
      <c r="AG255" s="55"/>
      <c r="AH255" s="55"/>
      <c r="AI255" s="605"/>
    </row>
    <row r="256" spans="1:35" ht="21" customHeight="1">
      <c r="B256" s="606"/>
      <c r="C256" s="121"/>
      <c r="D256" s="157"/>
      <c r="E256" s="157"/>
      <c r="F256" s="564"/>
      <c r="G256" s="121"/>
      <c r="H256" s="157"/>
      <c r="I256" s="157"/>
      <c r="J256" s="564"/>
      <c r="K256" s="121"/>
      <c r="L256" s="157"/>
      <c r="M256" s="157"/>
      <c r="N256" s="564"/>
      <c r="O256" s="121"/>
      <c r="P256" s="157"/>
      <c r="Q256" s="157"/>
      <c r="R256" s="564"/>
      <c r="S256" s="121"/>
      <c r="T256" s="157"/>
      <c r="U256" s="157"/>
      <c r="V256" s="564"/>
      <c r="W256" s="121"/>
      <c r="X256" s="157"/>
      <c r="Y256" s="157"/>
      <c r="Z256" s="564"/>
      <c r="AA256" s="563"/>
      <c r="AB256" s="157"/>
      <c r="AC256" s="157"/>
      <c r="AD256" s="565"/>
      <c r="AE256" s="607"/>
      <c r="AF256" s="157"/>
      <c r="AG256" s="157" t="s">
        <v>28</v>
      </c>
      <c r="AH256" s="565"/>
      <c r="AI256" s="490"/>
    </row>
    <row r="257" spans="1:35" ht="21" customHeight="1" thickBot="1">
      <c r="A257" s="1"/>
      <c r="B257" s="47"/>
      <c r="C257" s="570"/>
      <c r="D257" s="53"/>
      <c r="E257" s="53"/>
      <c r="F257" s="571"/>
      <c r="G257" s="570"/>
      <c r="H257" s="53"/>
      <c r="I257" s="53"/>
      <c r="J257" s="571"/>
      <c r="K257" s="570"/>
      <c r="L257" s="53"/>
      <c r="M257" s="53"/>
      <c r="N257" s="571"/>
      <c r="O257" s="570"/>
      <c r="P257" s="53"/>
      <c r="Q257" s="53"/>
      <c r="R257" s="571"/>
      <c r="S257" s="570"/>
      <c r="T257" s="53"/>
      <c r="U257" s="53"/>
      <c r="V257" s="571"/>
      <c r="W257" s="57"/>
      <c r="X257" s="53"/>
      <c r="Y257" s="53"/>
      <c r="Z257" s="571"/>
      <c r="AA257" s="57"/>
      <c r="AB257" s="53"/>
      <c r="AC257" s="53"/>
      <c r="AD257" s="573"/>
      <c r="AE257" s="57"/>
      <c r="AF257" s="53"/>
      <c r="AG257" s="53"/>
      <c r="AH257" s="573"/>
      <c r="AI257" s="536"/>
    </row>
    <row r="258" spans="1:35" ht="33" customHeight="1" thickBot="1">
      <c r="A258" s="1" t="s">
        <v>717</v>
      </c>
      <c r="B258" s="72"/>
      <c r="C258" s="312"/>
      <c r="F258" s="354"/>
      <c r="G258" s="312"/>
      <c r="J258" s="354"/>
      <c r="K258" s="312"/>
      <c r="N258" s="354"/>
      <c r="O258" s="312"/>
      <c r="R258" s="354"/>
      <c r="S258" s="312"/>
      <c r="V258" s="354"/>
      <c r="W258" s="354"/>
      <c r="Z258" s="354"/>
      <c r="AA258" s="354"/>
      <c r="AD258" s="354"/>
      <c r="AE258" s="354"/>
      <c r="AH258" s="354"/>
    </row>
    <row r="259" spans="1:35" ht="21" customHeight="1" thickBot="1">
      <c r="A259" s="861" t="s">
        <v>475</v>
      </c>
      <c r="B259" s="862" t="s">
        <v>476</v>
      </c>
      <c r="C259" s="880">
        <v>1</v>
      </c>
      <c r="D259" s="863">
        <v>2</v>
      </c>
      <c r="E259" s="863">
        <v>3</v>
      </c>
      <c r="F259" s="863">
        <v>4</v>
      </c>
      <c r="G259" s="880">
        <v>5</v>
      </c>
      <c r="H259" s="863">
        <v>6</v>
      </c>
      <c r="I259" s="880">
        <v>7</v>
      </c>
      <c r="J259" s="880">
        <v>8</v>
      </c>
      <c r="K259" s="880">
        <v>9</v>
      </c>
      <c r="L259" s="863">
        <v>10</v>
      </c>
      <c r="M259" s="863">
        <v>11</v>
      </c>
      <c r="N259" s="863">
        <v>12</v>
      </c>
      <c r="O259" s="863">
        <v>13</v>
      </c>
      <c r="P259" s="880">
        <v>14</v>
      </c>
      <c r="Q259" s="880">
        <v>15</v>
      </c>
      <c r="R259" s="863">
        <v>16</v>
      </c>
      <c r="S259" s="863">
        <v>17</v>
      </c>
      <c r="T259" s="863">
        <v>18</v>
      </c>
      <c r="U259" s="863">
        <v>19</v>
      </c>
      <c r="V259" s="863">
        <v>20</v>
      </c>
      <c r="W259" s="880">
        <v>21</v>
      </c>
      <c r="X259" s="880">
        <v>22</v>
      </c>
      <c r="Y259" s="863">
        <v>23</v>
      </c>
      <c r="Z259" s="863">
        <v>24</v>
      </c>
      <c r="AA259" s="863">
        <v>25</v>
      </c>
      <c r="AB259" s="863">
        <v>26</v>
      </c>
      <c r="AC259" s="863">
        <v>27</v>
      </c>
      <c r="AD259" s="880">
        <v>28</v>
      </c>
      <c r="AE259" s="880">
        <v>29</v>
      </c>
      <c r="AF259" s="863">
        <v>30</v>
      </c>
      <c r="AG259" s="863"/>
      <c r="AH259" s="864" t="s">
        <v>477</v>
      </c>
      <c r="AI259" s="865" t="s">
        <v>478</v>
      </c>
    </row>
    <row r="260" spans="1:35" ht="21" customHeight="1">
      <c r="A260" s="438"/>
      <c r="B260" s="916" t="s">
        <v>718</v>
      </c>
      <c r="C260" s="768" t="s">
        <v>28</v>
      </c>
      <c r="D260" s="768" t="s">
        <v>491</v>
      </c>
      <c r="E260" s="768" t="s">
        <v>491</v>
      </c>
      <c r="F260" s="768" t="s">
        <v>491</v>
      </c>
      <c r="G260" s="768"/>
      <c r="H260" s="768" t="s">
        <v>491</v>
      </c>
      <c r="I260" s="768"/>
      <c r="J260" s="768"/>
      <c r="K260" s="768"/>
      <c r="L260" s="970" t="s">
        <v>491</v>
      </c>
      <c r="M260" s="970" t="s">
        <v>491</v>
      </c>
      <c r="N260" s="970" t="s">
        <v>491</v>
      </c>
      <c r="O260" s="970" t="s">
        <v>491</v>
      </c>
      <c r="P260" s="970"/>
      <c r="Q260" s="970"/>
      <c r="R260" s="970" t="s">
        <v>491</v>
      </c>
      <c r="S260" s="970" t="s">
        <v>491</v>
      </c>
      <c r="T260" s="970" t="s">
        <v>491</v>
      </c>
      <c r="U260" s="970" t="s">
        <v>491</v>
      </c>
      <c r="V260" s="970" t="s">
        <v>491</v>
      </c>
      <c r="W260" s="768"/>
      <c r="X260" s="768"/>
      <c r="Y260" s="768" t="s">
        <v>491</v>
      </c>
      <c r="Z260" s="768" t="s">
        <v>491</v>
      </c>
      <c r="AA260" s="768" t="s">
        <v>491</v>
      </c>
      <c r="AB260" s="768" t="s">
        <v>491</v>
      </c>
      <c r="AC260" s="768" t="s">
        <v>491</v>
      </c>
      <c r="AD260" s="768"/>
      <c r="AE260" s="768"/>
      <c r="AF260" s="768" t="s">
        <v>491</v>
      </c>
      <c r="AG260" s="768"/>
      <c r="AH260" s="909">
        <v>155.5</v>
      </c>
      <c r="AI260" s="910">
        <v>37</v>
      </c>
    </row>
    <row r="261" spans="1:35" ht="21" customHeight="1">
      <c r="A261" s="442"/>
      <c r="B261" s="613" t="s">
        <v>719</v>
      </c>
      <c r="C261" s="768" t="s">
        <v>28</v>
      </c>
      <c r="D261" s="1007" t="s">
        <v>491</v>
      </c>
      <c r="E261" s="1007" t="s">
        <v>491</v>
      </c>
      <c r="F261" s="1007" t="s">
        <v>491</v>
      </c>
      <c r="G261" s="768"/>
      <c r="H261" s="1007" t="s">
        <v>491</v>
      </c>
      <c r="I261" s="768"/>
      <c r="J261" s="768"/>
      <c r="K261" s="768"/>
      <c r="L261" s="768" t="s">
        <v>491</v>
      </c>
      <c r="M261" s="768" t="s">
        <v>491</v>
      </c>
      <c r="N261" s="768" t="s">
        <v>491</v>
      </c>
      <c r="O261" s="768" t="s">
        <v>491</v>
      </c>
      <c r="P261" s="768"/>
      <c r="Q261" s="768"/>
      <c r="R261" s="768" t="s">
        <v>491</v>
      </c>
      <c r="S261" s="768" t="s">
        <v>491</v>
      </c>
      <c r="T261" s="768" t="s">
        <v>491</v>
      </c>
      <c r="U261" s="768" t="s">
        <v>491</v>
      </c>
      <c r="V261" s="768" t="s">
        <v>491</v>
      </c>
      <c r="W261" s="768"/>
      <c r="X261" s="768"/>
      <c r="Y261" s="768" t="s">
        <v>491</v>
      </c>
      <c r="Z261" s="768" t="s">
        <v>491</v>
      </c>
      <c r="AA261" s="768" t="s">
        <v>491</v>
      </c>
      <c r="AB261" s="768" t="s">
        <v>491</v>
      </c>
      <c r="AC261" s="768" t="s">
        <v>491</v>
      </c>
      <c r="AD261" s="768"/>
      <c r="AE261" s="768"/>
      <c r="AF261" s="768" t="s">
        <v>491</v>
      </c>
      <c r="AG261" s="768"/>
      <c r="AH261" s="628">
        <v>186</v>
      </c>
      <c r="AI261" s="629">
        <v>37</v>
      </c>
    </row>
    <row r="262" spans="1:35" ht="21" customHeight="1">
      <c r="A262" s="442"/>
      <c r="B262" s="613" t="s">
        <v>720</v>
      </c>
      <c r="C262" s="768" t="s">
        <v>28</v>
      </c>
      <c r="D262" s="768" t="s">
        <v>491</v>
      </c>
      <c r="E262" s="768" t="s">
        <v>491</v>
      </c>
      <c r="F262" s="768" t="s">
        <v>491</v>
      </c>
      <c r="G262" s="768"/>
      <c r="H262" s="768" t="s">
        <v>491</v>
      </c>
      <c r="I262" s="768"/>
      <c r="J262" s="768"/>
      <c r="K262" s="768"/>
      <c r="L262" s="768" t="s">
        <v>491</v>
      </c>
      <c r="M262" s="768" t="s">
        <v>491</v>
      </c>
      <c r="N262" s="768" t="s">
        <v>491</v>
      </c>
      <c r="O262" s="768" t="s">
        <v>491</v>
      </c>
      <c r="P262" s="768"/>
      <c r="Q262" s="768"/>
      <c r="R262" s="768" t="s">
        <v>491</v>
      </c>
      <c r="S262" s="768" t="s">
        <v>491</v>
      </c>
      <c r="T262" s="768" t="s">
        <v>491</v>
      </c>
      <c r="U262" s="768" t="s">
        <v>491</v>
      </c>
      <c r="V262" s="768" t="s">
        <v>491</v>
      </c>
      <c r="W262" s="768"/>
      <c r="X262" s="768"/>
      <c r="Y262" s="768" t="s">
        <v>491</v>
      </c>
      <c r="Z262" s="768" t="s">
        <v>491</v>
      </c>
      <c r="AA262" s="768" t="s">
        <v>491</v>
      </c>
      <c r="AB262" s="1038" t="s">
        <v>714</v>
      </c>
      <c r="AC262" s="768" t="s">
        <v>491</v>
      </c>
      <c r="AD262" s="768"/>
      <c r="AE262" s="768"/>
      <c r="AF262" s="970" t="s">
        <v>491</v>
      </c>
      <c r="AG262" s="768"/>
      <c r="AH262" s="628">
        <v>37</v>
      </c>
      <c r="AI262" s="629">
        <v>37</v>
      </c>
    </row>
    <row r="263" spans="1:35" ht="21" customHeight="1">
      <c r="A263" s="442"/>
      <c r="B263" s="613" t="s">
        <v>721</v>
      </c>
      <c r="C263" s="768" t="s">
        <v>28</v>
      </c>
      <c r="D263" s="768" t="s">
        <v>491</v>
      </c>
      <c r="E263" s="768" t="s">
        <v>491</v>
      </c>
      <c r="F263" s="768" t="s">
        <v>491</v>
      </c>
      <c r="G263" s="768"/>
      <c r="H263" s="970" t="s">
        <v>491</v>
      </c>
      <c r="I263" s="768"/>
      <c r="J263" s="768"/>
      <c r="K263" s="768"/>
      <c r="L263" s="768" t="s">
        <v>491</v>
      </c>
      <c r="M263" s="768" t="s">
        <v>491</v>
      </c>
      <c r="N263" s="768" t="s">
        <v>491</v>
      </c>
      <c r="O263" s="768" t="s">
        <v>491</v>
      </c>
      <c r="P263" s="768"/>
      <c r="Q263" s="768"/>
      <c r="R263" s="768" t="s">
        <v>491</v>
      </c>
      <c r="S263" s="768" t="s">
        <v>491</v>
      </c>
      <c r="T263" s="768" t="s">
        <v>491</v>
      </c>
      <c r="U263" s="768" t="s">
        <v>491</v>
      </c>
      <c r="V263" s="768" t="s">
        <v>491</v>
      </c>
      <c r="W263" s="768"/>
      <c r="X263" s="768"/>
      <c r="Y263" s="768" t="s">
        <v>491</v>
      </c>
      <c r="Z263" s="768" t="s">
        <v>491</v>
      </c>
      <c r="AA263" s="768" t="s">
        <v>491</v>
      </c>
      <c r="AB263" s="768" t="s">
        <v>491</v>
      </c>
      <c r="AC263" s="768" t="s">
        <v>491</v>
      </c>
      <c r="AD263" s="768"/>
      <c r="AE263" s="768"/>
      <c r="AF263" s="768" t="s">
        <v>491</v>
      </c>
      <c r="AG263" s="768"/>
      <c r="AH263" s="628">
        <v>173</v>
      </c>
      <c r="AI263" s="629">
        <v>37</v>
      </c>
    </row>
    <row r="264" spans="1:35" ht="21" customHeight="1">
      <c r="A264" s="442"/>
      <c r="B264" s="613" t="s">
        <v>722</v>
      </c>
      <c r="C264" s="768" t="s">
        <v>28</v>
      </c>
      <c r="D264" s="768" t="s">
        <v>491</v>
      </c>
      <c r="E264" s="768" t="s">
        <v>491</v>
      </c>
      <c r="F264" s="768" t="s">
        <v>491</v>
      </c>
      <c r="G264" s="768"/>
      <c r="H264" s="980" t="s">
        <v>491</v>
      </c>
      <c r="I264" s="768"/>
      <c r="J264" s="768"/>
      <c r="K264" s="768"/>
      <c r="L264" s="768" t="s">
        <v>491</v>
      </c>
      <c r="M264" s="768" t="s">
        <v>491</v>
      </c>
      <c r="N264" s="768" t="s">
        <v>491</v>
      </c>
      <c r="O264" s="768" t="s">
        <v>491</v>
      </c>
      <c r="P264" s="768"/>
      <c r="Q264" s="768"/>
      <c r="R264" s="768" t="s">
        <v>491</v>
      </c>
      <c r="S264" s="768" t="s">
        <v>491</v>
      </c>
      <c r="T264" s="768" t="s">
        <v>491</v>
      </c>
      <c r="U264" s="768" t="s">
        <v>491</v>
      </c>
      <c r="V264" s="768" t="s">
        <v>491</v>
      </c>
      <c r="W264" s="768"/>
      <c r="X264" s="768"/>
      <c r="Y264" s="768" t="s">
        <v>491</v>
      </c>
      <c r="Z264" s="768" t="s">
        <v>491</v>
      </c>
      <c r="AA264" s="768" t="s">
        <v>491</v>
      </c>
      <c r="AB264" s="768" t="s">
        <v>491</v>
      </c>
      <c r="AC264" s="980" t="s">
        <v>491</v>
      </c>
      <c r="AD264" s="768"/>
      <c r="AE264" s="768"/>
      <c r="AF264" s="970" t="s">
        <v>491</v>
      </c>
      <c r="AG264" s="768"/>
      <c r="AH264" s="628">
        <v>92</v>
      </c>
      <c r="AI264" s="629">
        <v>19</v>
      </c>
    </row>
    <row r="265" spans="1:35" ht="21" customHeight="1">
      <c r="A265" s="442"/>
      <c r="B265" s="613" t="s">
        <v>723</v>
      </c>
      <c r="C265" s="768" t="s">
        <v>28</v>
      </c>
      <c r="D265" s="768" t="s">
        <v>491</v>
      </c>
      <c r="E265" s="768" t="s">
        <v>491</v>
      </c>
      <c r="F265" s="768" t="s">
        <v>491</v>
      </c>
      <c r="G265" s="768"/>
      <c r="H265" s="1007" t="s">
        <v>491</v>
      </c>
      <c r="I265" s="768"/>
      <c r="J265" s="768"/>
      <c r="K265" s="768"/>
      <c r="L265" s="768" t="s">
        <v>491</v>
      </c>
      <c r="M265" s="1007" t="s">
        <v>491</v>
      </c>
      <c r="N265" s="768" t="s">
        <v>491</v>
      </c>
      <c r="O265" s="1007" t="s">
        <v>491</v>
      </c>
      <c r="P265" s="768"/>
      <c r="Q265" s="768"/>
      <c r="R265" s="1007" t="s">
        <v>491</v>
      </c>
      <c r="S265" s="768" t="s">
        <v>491</v>
      </c>
      <c r="T265" s="768" t="s">
        <v>491</v>
      </c>
      <c r="U265" s="768" t="s">
        <v>491</v>
      </c>
      <c r="V265" s="768" t="s">
        <v>491</v>
      </c>
      <c r="W265" s="768"/>
      <c r="X265" s="768"/>
      <c r="Y265" s="768" t="s">
        <v>491</v>
      </c>
      <c r="Z265" s="768" t="s">
        <v>491</v>
      </c>
      <c r="AA265" s="768" t="s">
        <v>491</v>
      </c>
      <c r="AB265" s="768" t="s">
        <v>491</v>
      </c>
      <c r="AC265" s="970" t="s">
        <v>491</v>
      </c>
      <c r="AD265" s="768"/>
      <c r="AE265" s="768"/>
      <c r="AF265" s="970" t="s">
        <v>491</v>
      </c>
      <c r="AG265" s="768"/>
      <c r="AH265" s="628">
        <v>79</v>
      </c>
      <c r="AI265" s="629">
        <v>37</v>
      </c>
    </row>
    <row r="266" spans="1:35" ht="21" customHeight="1">
      <c r="A266" s="442"/>
      <c r="B266" s="613" t="s">
        <v>724</v>
      </c>
      <c r="C266" s="768" t="s">
        <v>28</v>
      </c>
      <c r="D266" s="768" t="s">
        <v>491</v>
      </c>
      <c r="E266" s="768" t="s">
        <v>491</v>
      </c>
      <c r="F266" s="768" t="s">
        <v>491</v>
      </c>
      <c r="G266" s="768"/>
      <c r="H266" s="980" t="s">
        <v>491</v>
      </c>
      <c r="I266" s="768"/>
      <c r="J266" s="768"/>
      <c r="K266" s="768"/>
      <c r="L266" s="768" t="s">
        <v>491</v>
      </c>
      <c r="M266" s="768" t="s">
        <v>491</v>
      </c>
      <c r="N266" s="768" t="s">
        <v>491</v>
      </c>
      <c r="O266" s="768" t="s">
        <v>491</v>
      </c>
      <c r="P266" s="768"/>
      <c r="Q266" s="768"/>
      <c r="R266" s="768" t="s">
        <v>491</v>
      </c>
      <c r="S266" s="768" t="s">
        <v>491</v>
      </c>
      <c r="T266" s="768" t="s">
        <v>491</v>
      </c>
      <c r="U266" s="768" t="s">
        <v>491</v>
      </c>
      <c r="V266" s="768" t="s">
        <v>491</v>
      </c>
      <c r="W266" s="768"/>
      <c r="X266" s="768"/>
      <c r="Y266" s="768" t="s">
        <v>491</v>
      </c>
      <c r="Z266" s="768" t="s">
        <v>491</v>
      </c>
      <c r="AA266" s="768" t="s">
        <v>491</v>
      </c>
      <c r="AB266" s="768" t="s">
        <v>491</v>
      </c>
      <c r="AC266" s="768" t="s">
        <v>491</v>
      </c>
      <c r="AD266" s="768"/>
      <c r="AE266" s="768"/>
      <c r="AF266" s="768" t="s">
        <v>491</v>
      </c>
      <c r="AG266" s="768"/>
      <c r="AH266" s="628">
        <v>186</v>
      </c>
      <c r="AI266" s="629">
        <v>25</v>
      </c>
    </row>
    <row r="267" spans="1:35" ht="21" customHeight="1">
      <c r="A267" s="442"/>
      <c r="B267" s="613" t="s">
        <v>725</v>
      </c>
      <c r="C267" s="768" t="s">
        <v>28</v>
      </c>
      <c r="D267" s="768" t="s">
        <v>491</v>
      </c>
      <c r="E267" s="768" t="s">
        <v>491</v>
      </c>
      <c r="F267" s="1007" t="s">
        <v>491</v>
      </c>
      <c r="G267" s="768"/>
      <c r="H267" s="1007" t="s">
        <v>491</v>
      </c>
      <c r="I267" s="768"/>
      <c r="J267" s="768"/>
      <c r="K267" s="768"/>
      <c r="L267" s="768" t="s">
        <v>491</v>
      </c>
      <c r="M267" s="768" t="s">
        <v>491</v>
      </c>
      <c r="N267" s="768" t="s">
        <v>491</v>
      </c>
      <c r="O267" s="1007" t="s">
        <v>491</v>
      </c>
      <c r="P267" s="768"/>
      <c r="Q267" s="768"/>
      <c r="R267" s="768" t="s">
        <v>491</v>
      </c>
      <c r="S267" s="768" t="s">
        <v>491</v>
      </c>
      <c r="T267" s="768" t="s">
        <v>491</v>
      </c>
      <c r="U267" s="768" t="s">
        <v>491</v>
      </c>
      <c r="V267" s="768" t="s">
        <v>491</v>
      </c>
      <c r="W267" s="768"/>
      <c r="X267" s="768"/>
      <c r="Y267" s="768" t="s">
        <v>491</v>
      </c>
      <c r="Z267" s="768" t="s">
        <v>491</v>
      </c>
      <c r="AA267" s="768" t="s">
        <v>491</v>
      </c>
      <c r="AB267" s="768" t="s">
        <v>491</v>
      </c>
      <c r="AC267" s="768" t="s">
        <v>491</v>
      </c>
      <c r="AD267" s="768"/>
      <c r="AE267" s="768"/>
      <c r="AF267" s="768" t="s">
        <v>491</v>
      </c>
      <c r="AG267" s="768"/>
      <c r="AH267" s="628">
        <v>194</v>
      </c>
      <c r="AI267" s="629">
        <v>37</v>
      </c>
    </row>
    <row r="268" spans="1:35" ht="21" customHeight="1">
      <c r="A268" s="442"/>
      <c r="B268" s="613" t="s">
        <v>726</v>
      </c>
      <c r="C268" s="768" t="s">
        <v>28</v>
      </c>
      <c r="D268" s="768" t="s">
        <v>491</v>
      </c>
      <c r="E268" s="768" t="s">
        <v>491</v>
      </c>
      <c r="F268" s="768" t="s">
        <v>491</v>
      </c>
      <c r="G268" s="768"/>
      <c r="H268" s="768" t="s">
        <v>491</v>
      </c>
      <c r="I268" s="768"/>
      <c r="J268" s="768"/>
      <c r="K268" s="768"/>
      <c r="L268" s="768" t="s">
        <v>491</v>
      </c>
      <c r="M268" s="768" t="s">
        <v>491</v>
      </c>
      <c r="N268" s="768" t="s">
        <v>491</v>
      </c>
      <c r="O268" s="768" t="s">
        <v>491</v>
      </c>
      <c r="P268" s="768"/>
      <c r="Q268" s="768"/>
      <c r="R268" s="970" t="s">
        <v>491</v>
      </c>
      <c r="S268" s="970" t="s">
        <v>491</v>
      </c>
      <c r="T268" s="970" t="s">
        <v>491</v>
      </c>
      <c r="U268" s="970" t="s">
        <v>491</v>
      </c>
      <c r="V268" s="970" t="s">
        <v>491</v>
      </c>
      <c r="W268" s="970"/>
      <c r="X268" s="970"/>
      <c r="Y268" s="970" t="s">
        <v>491</v>
      </c>
      <c r="Z268" s="970" t="s">
        <v>491</v>
      </c>
      <c r="AA268" s="970" t="s">
        <v>491</v>
      </c>
      <c r="AB268" s="970" t="s">
        <v>491</v>
      </c>
      <c r="AC268" s="970" t="s">
        <v>491</v>
      </c>
      <c r="AD268" s="970"/>
      <c r="AE268" s="970"/>
      <c r="AF268" s="970" t="s">
        <v>491</v>
      </c>
      <c r="AG268" s="768"/>
      <c r="AH268" s="628">
        <v>98</v>
      </c>
      <c r="AI268" s="629">
        <v>37</v>
      </c>
    </row>
    <row r="269" spans="1:35" ht="21" customHeight="1">
      <c r="A269" s="442"/>
      <c r="B269" s="613" t="s">
        <v>727</v>
      </c>
      <c r="C269" s="768" t="s">
        <v>28</v>
      </c>
      <c r="D269" s="768" t="s">
        <v>491</v>
      </c>
      <c r="E269" s="768" t="s">
        <v>491</v>
      </c>
      <c r="F269" s="768" t="s">
        <v>491</v>
      </c>
      <c r="G269" s="768"/>
      <c r="H269" s="980" t="s">
        <v>491</v>
      </c>
      <c r="I269" s="768"/>
      <c r="J269" s="768"/>
      <c r="K269" s="768"/>
      <c r="L269" s="768" t="s">
        <v>491</v>
      </c>
      <c r="M269" s="768" t="s">
        <v>491</v>
      </c>
      <c r="N269" s="768" t="s">
        <v>491</v>
      </c>
      <c r="O269" s="768" t="s">
        <v>491</v>
      </c>
      <c r="P269" s="768"/>
      <c r="Q269" s="768"/>
      <c r="R269" s="768" t="s">
        <v>491</v>
      </c>
      <c r="S269" s="768" t="s">
        <v>491</v>
      </c>
      <c r="T269" s="768" t="s">
        <v>491</v>
      </c>
      <c r="U269" s="768" t="s">
        <v>491</v>
      </c>
      <c r="V269" s="980" t="s">
        <v>491</v>
      </c>
      <c r="W269" s="768"/>
      <c r="X269" s="768"/>
      <c r="Y269" s="768" t="s">
        <v>491</v>
      </c>
      <c r="Z269" s="768" t="s">
        <v>491</v>
      </c>
      <c r="AA269" s="768" t="s">
        <v>491</v>
      </c>
      <c r="AB269" s="768" t="s">
        <v>491</v>
      </c>
      <c r="AC269" s="768" t="s">
        <v>491</v>
      </c>
      <c r="AD269" s="768"/>
      <c r="AE269" s="768"/>
      <c r="AF269" s="768" t="s">
        <v>491</v>
      </c>
      <c r="AG269" s="768"/>
      <c r="AH269" s="628">
        <v>186.5</v>
      </c>
      <c r="AI269" s="629">
        <v>25</v>
      </c>
    </row>
    <row r="270" spans="1:35" ht="21" customHeight="1">
      <c r="A270" s="442"/>
      <c r="B270" s="153" t="s">
        <v>728</v>
      </c>
      <c r="C270" s="768" t="s">
        <v>28</v>
      </c>
      <c r="D270" s="768" t="s">
        <v>491</v>
      </c>
      <c r="E270" s="768" t="s">
        <v>491</v>
      </c>
      <c r="F270" s="768" t="s">
        <v>491</v>
      </c>
      <c r="G270" s="768"/>
      <c r="H270" s="1030" t="s">
        <v>491</v>
      </c>
      <c r="I270" s="768"/>
      <c r="J270" s="768"/>
      <c r="K270" s="768"/>
      <c r="L270" s="768" t="s">
        <v>491</v>
      </c>
      <c r="M270" s="768" t="s">
        <v>491</v>
      </c>
      <c r="N270" s="768" t="s">
        <v>491</v>
      </c>
      <c r="O270" s="768" t="s">
        <v>491</v>
      </c>
      <c r="P270" s="768"/>
      <c r="Q270" s="768"/>
      <c r="R270" s="768" t="s">
        <v>491</v>
      </c>
      <c r="S270" s="768" t="s">
        <v>491</v>
      </c>
      <c r="T270" s="768" t="s">
        <v>491</v>
      </c>
      <c r="U270" s="768" t="s">
        <v>491</v>
      </c>
      <c r="V270" s="768" t="s">
        <v>491</v>
      </c>
      <c r="W270" s="768"/>
      <c r="X270" s="768"/>
      <c r="Y270" s="768" t="s">
        <v>491</v>
      </c>
      <c r="Z270" s="768" t="s">
        <v>491</v>
      </c>
      <c r="AA270" s="768" t="s">
        <v>491</v>
      </c>
      <c r="AB270" s="768" t="s">
        <v>491</v>
      </c>
      <c r="AC270" s="768" t="s">
        <v>491</v>
      </c>
      <c r="AD270" s="768"/>
      <c r="AE270" s="768"/>
      <c r="AF270" s="980" t="s">
        <v>491</v>
      </c>
      <c r="AG270" s="768"/>
      <c r="AH270" s="628">
        <v>186</v>
      </c>
      <c r="AI270" s="629">
        <v>29</v>
      </c>
    </row>
    <row r="271" spans="1:35" ht="21" customHeight="1">
      <c r="A271" s="442"/>
      <c r="B271" s="153" t="s">
        <v>729</v>
      </c>
      <c r="C271" s="768" t="s">
        <v>28</v>
      </c>
      <c r="D271" s="768" t="s">
        <v>491</v>
      </c>
      <c r="E271" s="768" t="s">
        <v>491</v>
      </c>
      <c r="F271" s="768" t="s">
        <v>491</v>
      </c>
      <c r="G271" s="768"/>
      <c r="H271" s="1007" t="s">
        <v>491</v>
      </c>
      <c r="I271" s="768"/>
      <c r="J271" s="768"/>
      <c r="K271" s="768"/>
      <c r="L271" s="768" t="s">
        <v>491</v>
      </c>
      <c r="M271" s="1030" t="s">
        <v>491</v>
      </c>
      <c r="N271" s="1030" t="s">
        <v>491</v>
      </c>
      <c r="O271" s="1030" t="s">
        <v>491</v>
      </c>
      <c r="P271" s="768"/>
      <c r="Q271" s="768"/>
      <c r="R271" s="768" t="s">
        <v>491</v>
      </c>
      <c r="S271" s="768" t="s">
        <v>491</v>
      </c>
      <c r="T271" s="768" t="s">
        <v>491</v>
      </c>
      <c r="U271" s="768" t="s">
        <v>491</v>
      </c>
      <c r="V271" s="768" t="s">
        <v>491</v>
      </c>
      <c r="W271" s="768"/>
      <c r="X271" s="768"/>
      <c r="Y271" s="768" t="s">
        <v>491</v>
      </c>
      <c r="Z271" s="768" t="s">
        <v>491</v>
      </c>
      <c r="AA271" s="768" t="s">
        <v>491</v>
      </c>
      <c r="AB271" s="768" t="s">
        <v>491</v>
      </c>
      <c r="AC271" s="768" t="s">
        <v>491</v>
      </c>
      <c r="AD271" s="768"/>
      <c r="AE271" s="768"/>
      <c r="AF271" s="768" t="s">
        <v>491</v>
      </c>
      <c r="AG271" s="768"/>
      <c r="AH271" s="628">
        <v>185</v>
      </c>
      <c r="AI271" s="629">
        <v>0</v>
      </c>
    </row>
    <row r="272" spans="1:35" ht="21" customHeight="1">
      <c r="A272" s="134"/>
      <c r="B272" s="134" t="s">
        <v>730</v>
      </c>
      <c r="C272" s="768" t="s">
        <v>28</v>
      </c>
      <c r="D272" s="768" t="s">
        <v>491</v>
      </c>
      <c r="E272" s="768" t="s">
        <v>491</v>
      </c>
      <c r="F272" s="768" t="s">
        <v>491</v>
      </c>
      <c r="G272" s="768"/>
      <c r="H272" s="980" t="s">
        <v>491</v>
      </c>
      <c r="I272" s="768"/>
      <c r="J272" s="768"/>
      <c r="K272" s="768"/>
      <c r="L272" s="768" t="s">
        <v>491</v>
      </c>
      <c r="M272" s="768" t="s">
        <v>491</v>
      </c>
      <c r="N272" s="768" t="s">
        <v>491</v>
      </c>
      <c r="O272" s="768" t="s">
        <v>491</v>
      </c>
      <c r="P272" s="768"/>
      <c r="Q272" s="768"/>
      <c r="R272" s="768" t="s">
        <v>491</v>
      </c>
      <c r="S272" s="768" t="s">
        <v>491</v>
      </c>
      <c r="T272" s="768" t="s">
        <v>491</v>
      </c>
      <c r="U272" s="768" t="s">
        <v>491</v>
      </c>
      <c r="V272" s="768" t="s">
        <v>491</v>
      </c>
      <c r="W272" s="768"/>
      <c r="X272" s="768"/>
      <c r="Y272" s="768" t="s">
        <v>491</v>
      </c>
      <c r="Z272" s="768" t="s">
        <v>491</v>
      </c>
      <c r="AA272" s="768" t="s">
        <v>491</v>
      </c>
      <c r="AB272" s="768" t="s">
        <v>491</v>
      </c>
      <c r="AC272" s="768" t="s">
        <v>491</v>
      </c>
      <c r="AD272" s="768"/>
      <c r="AE272" s="768"/>
      <c r="AF272" s="768" t="s">
        <v>491</v>
      </c>
      <c r="AG272" s="768"/>
      <c r="AH272" s="849">
        <v>193</v>
      </c>
      <c r="AI272" s="850">
        <v>18</v>
      </c>
    </row>
    <row r="273" spans="1:35" ht="21" customHeight="1" thickBot="1">
      <c r="A273" s="917"/>
      <c r="B273" s="917" t="s">
        <v>731</v>
      </c>
      <c r="C273" s="768" t="s">
        <v>28</v>
      </c>
      <c r="D273" s="1038" t="s">
        <v>491</v>
      </c>
      <c r="E273" s="1038" t="s">
        <v>491</v>
      </c>
      <c r="F273" s="1038" t="s">
        <v>491</v>
      </c>
      <c r="G273" s="1038"/>
      <c r="H273" s="1038" t="s">
        <v>491</v>
      </c>
      <c r="I273" s="1038"/>
      <c r="J273" s="1038"/>
      <c r="K273" s="1038"/>
      <c r="L273" s="1038" t="s">
        <v>491</v>
      </c>
      <c r="M273" s="1038" t="s">
        <v>491</v>
      </c>
      <c r="N273" s="1038" t="s">
        <v>491</v>
      </c>
      <c r="O273" s="1038" t="s">
        <v>491</v>
      </c>
      <c r="P273" s="1038"/>
      <c r="Q273" s="1038"/>
      <c r="R273" s="1038" t="s">
        <v>491</v>
      </c>
      <c r="S273" s="1038" t="s">
        <v>491</v>
      </c>
      <c r="T273" s="1038" t="s">
        <v>491</v>
      </c>
      <c r="U273" s="1038" t="s">
        <v>491</v>
      </c>
      <c r="V273" s="1038" t="s">
        <v>491</v>
      </c>
      <c r="W273" s="1038"/>
      <c r="X273" s="1038"/>
      <c r="Y273" s="1038" t="s">
        <v>491</v>
      </c>
      <c r="Z273" s="1038" t="s">
        <v>491</v>
      </c>
      <c r="AA273" s="1038" t="s">
        <v>491</v>
      </c>
      <c r="AB273" s="1038" t="s">
        <v>491</v>
      </c>
      <c r="AC273" s="1038" t="s">
        <v>491</v>
      </c>
      <c r="AD273" s="1038"/>
      <c r="AE273" s="1038"/>
      <c r="AF273" s="1038" t="s">
        <v>491</v>
      </c>
      <c r="AG273" s="768"/>
      <c r="AH273" s="914">
        <v>185</v>
      </c>
      <c r="AI273" s="915">
        <v>37</v>
      </c>
    </row>
  </sheetData>
  <sheetProtection password="CC44" sheet="1" objects="1" scenarios="1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59" max="16383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38"/>
  <dimension ref="A1:AL273"/>
  <sheetViews>
    <sheetView topLeftCell="A132" zoomScale="70" zoomScaleNormal="70" workbookViewId="0">
      <selection activeCell="AK284" sqref="AK284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449</v>
      </c>
    </row>
    <row r="2" spans="1:35" ht="13.35" customHeight="1">
      <c r="B2" s="443" t="s">
        <v>450</v>
      </c>
      <c r="C2" s="444" t="s">
        <v>451</v>
      </c>
      <c r="D2" s="445"/>
      <c r="E2" s="446" t="s">
        <v>452</v>
      </c>
      <c r="F2" s="447"/>
      <c r="G2" s="448"/>
      <c r="H2" s="448"/>
      <c r="I2" s="448"/>
      <c r="J2" s="448"/>
      <c r="K2" s="449"/>
      <c r="L2" s="450" t="s">
        <v>453</v>
      </c>
      <c r="M2" s="451"/>
      <c r="N2" s="380"/>
      <c r="O2" s="452" t="s">
        <v>454</v>
      </c>
      <c r="P2" s="453"/>
      <c r="Q2" s="454"/>
      <c r="R2" s="455"/>
      <c r="S2" s="456" t="s">
        <v>455</v>
      </c>
      <c r="T2" s="457"/>
      <c r="U2" s="458"/>
      <c r="V2" s="457"/>
      <c r="W2" s="459" t="s">
        <v>456</v>
      </c>
      <c r="X2" s="368"/>
      <c r="Y2" s="460"/>
      <c r="Z2" s="461" t="s">
        <v>457</v>
      </c>
      <c r="AA2" s="462"/>
      <c r="AB2" s="463"/>
      <c r="AC2" s="464"/>
      <c r="AD2" s="465" t="s">
        <v>458</v>
      </c>
      <c r="AE2" s="466"/>
      <c r="AF2" s="466"/>
      <c r="AG2" s="467"/>
    </row>
    <row r="3" spans="1:35" ht="13.35" customHeight="1">
      <c r="A3" s="1"/>
      <c r="B3" s="468" t="s">
        <v>459</v>
      </c>
      <c r="C3" s="469" t="s">
        <v>460</v>
      </c>
      <c r="D3" s="470"/>
      <c r="E3" s="471"/>
      <c r="F3" s="472"/>
      <c r="G3" s="472"/>
      <c r="H3" s="473" t="s">
        <v>461</v>
      </c>
      <c r="I3" s="474"/>
      <c r="J3" s="474"/>
      <c r="K3" s="475"/>
      <c r="L3" s="476" t="s">
        <v>462</v>
      </c>
      <c r="M3" s="157"/>
      <c r="N3" s="477"/>
      <c r="O3" s="474"/>
      <c r="P3" s="474"/>
      <c r="Q3" s="474"/>
      <c r="R3" s="474"/>
      <c r="S3" s="55"/>
      <c r="T3" s="478" t="s">
        <v>463</v>
      </c>
      <c r="U3" s="479"/>
      <c r="V3" s="480"/>
      <c r="W3" s="481"/>
      <c r="X3" s="482"/>
      <c r="Y3" s="473" t="s">
        <v>464</v>
      </c>
      <c r="Z3" s="157"/>
      <c r="AA3" s="157"/>
      <c r="AB3" s="483"/>
      <c r="AC3" s="484"/>
      <c r="AD3" s="485" t="s">
        <v>465</v>
      </c>
      <c r="AE3" s="486"/>
      <c r="AF3" s="486"/>
      <c r="AG3" s="487"/>
    </row>
    <row r="4" spans="1:35" ht="13.35" customHeight="1">
      <c r="A4" s="1" t="s">
        <v>466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 t="s">
        <v>14</v>
      </c>
      <c r="B5" s="1"/>
    </row>
    <row r="6" spans="1:35" ht="21.95" customHeight="1">
      <c r="A6" s="488" t="s">
        <v>467</v>
      </c>
      <c r="B6" s="157"/>
      <c r="C6" s="489"/>
      <c r="D6" s="488" t="s">
        <v>468</v>
      </c>
      <c r="E6" s="157"/>
      <c r="F6" s="157"/>
      <c r="G6" s="157"/>
      <c r="H6" s="490"/>
      <c r="I6" s="157"/>
      <c r="J6" s="157"/>
      <c r="K6" s="157"/>
      <c r="L6" s="488" t="s">
        <v>469</v>
      </c>
      <c r="M6" s="157"/>
      <c r="N6" s="157"/>
      <c r="O6" s="157"/>
      <c r="P6" s="157"/>
      <c r="Q6" s="157"/>
      <c r="R6" s="157"/>
      <c r="S6" s="489"/>
      <c r="T6" s="491" t="s">
        <v>470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35" ht="21.95" customHeight="1">
      <c r="A7" s="488" t="s">
        <v>471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472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35" ht="21.95" customHeight="1">
      <c r="A8" s="496" t="s">
        <v>473</v>
      </c>
      <c r="L8" s="496"/>
      <c r="AB8" s="1"/>
    </row>
    <row r="9" spans="1:35" ht="21.95" customHeight="1" thickBot="1">
      <c r="B9" s="497" t="s">
        <v>474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35" ht="21.95" customHeight="1">
      <c r="A10" s="442" t="s">
        <v>475</v>
      </c>
      <c r="B10" s="297" t="s">
        <v>476</v>
      </c>
      <c r="C10" s="787">
        <v>1</v>
      </c>
      <c r="D10" s="787">
        <v>2</v>
      </c>
      <c r="E10" s="787">
        <v>3</v>
      </c>
      <c r="F10" s="787">
        <v>4</v>
      </c>
      <c r="G10" s="788">
        <v>5</v>
      </c>
      <c r="H10" s="788">
        <v>6</v>
      </c>
      <c r="I10" s="766">
        <v>7</v>
      </c>
      <c r="J10" s="766">
        <v>8</v>
      </c>
      <c r="K10" s="787">
        <v>9</v>
      </c>
      <c r="L10" s="787">
        <v>10</v>
      </c>
      <c r="M10" s="787">
        <v>11</v>
      </c>
      <c r="N10" s="788">
        <v>12</v>
      </c>
      <c r="O10" s="788">
        <v>13</v>
      </c>
      <c r="P10" s="766">
        <v>14</v>
      </c>
      <c r="Q10" s="766">
        <v>15</v>
      </c>
      <c r="R10" s="787">
        <v>16</v>
      </c>
      <c r="S10" s="787">
        <v>17</v>
      </c>
      <c r="T10" s="787">
        <v>18</v>
      </c>
      <c r="U10" s="788">
        <v>19</v>
      </c>
      <c r="V10" s="830">
        <v>20</v>
      </c>
      <c r="W10" s="766">
        <v>21</v>
      </c>
      <c r="X10" s="766">
        <v>22</v>
      </c>
      <c r="Y10" s="787">
        <v>23</v>
      </c>
      <c r="Z10" s="787">
        <v>24</v>
      </c>
      <c r="AA10" s="787">
        <v>25</v>
      </c>
      <c r="AB10" s="788">
        <v>26</v>
      </c>
      <c r="AC10" s="788">
        <v>27</v>
      </c>
      <c r="AD10" s="766">
        <v>28</v>
      </c>
      <c r="AE10" s="766">
        <v>29</v>
      </c>
      <c r="AF10" s="787">
        <v>30</v>
      </c>
      <c r="AG10" s="787">
        <v>31</v>
      </c>
      <c r="AH10" s="498" t="s">
        <v>477</v>
      </c>
      <c r="AI10" s="499" t="s">
        <v>478</v>
      </c>
    </row>
    <row r="11" spans="1:35" ht="21.95" customHeight="1">
      <c r="A11" s="500"/>
      <c r="B11" s="501"/>
      <c r="C11" s="768"/>
      <c r="D11" s="768"/>
      <c r="E11" s="768"/>
      <c r="F11" s="768"/>
      <c r="G11" s="768"/>
      <c r="H11" s="768"/>
      <c r="I11" s="768"/>
      <c r="J11" s="768"/>
      <c r="K11" s="768"/>
      <c r="L11" s="768"/>
      <c r="M11" s="768"/>
      <c r="N11" s="768"/>
      <c r="O11" s="768"/>
      <c r="P11" s="768"/>
      <c r="Q11" s="768"/>
      <c r="R11" s="768"/>
      <c r="S11" s="768"/>
      <c r="T11" s="768"/>
      <c r="U11" s="768"/>
      <c r="V11" s="768"/>
      <c r="W11" s="768"/>
      <c r="X11" s="768"/>
      <c r="Y11" s="768"/>
      <c r="Z11" s="768"/>
      <c r="AA11" s="768"/>
      <c r="AB11" s="768"/>
      <c r="AC11" s="768"/>
      <c r="AD11" s="768"/>
      <c r="AE11" s="768"/>
      <c r="AF11" s="768"/>
      <c r="AG11" s="502"/>
      <c r="AH11" s="924"/>
      <c r="AI11" s="925"/>
    </row>
    <row r="12" spans="1:35" ht="21.95" customHeight="1">
      <c r="A12" s="503" t="s">
        <v>479</v>
      </c>
      <c r="B12" s="457"/>
      <c r="C12" s="504"/>
      <c r="D12" s="504"/>
      <c r="E12" s="504"/>
      <c r="F12" s="504"/>
      <c r="G12" s="504"/>
      <c r="H12" s="504"/>
      <c r="I12" s="504"/>
      <c r="J12" s="504"/>
      <c r="K12" s="504"/>
      <c r="L12" s="504"/>
      <c r="M12" s="504"/>
      <c r="N12" s="504"/>
      <c r="O12" s="504"/>
      <c r="P12" s="504"/>
      <c r="Q12" s="504"/>
      <c r="R12" s="504"/>
      <c r="S12" s="504"/>
      <c r="T12" s="504"/>
      <c r="U12" s="504"/>
      <c r="V12" s="504"/>
      <c r="W12" s="504"/>
      <c r="X12" s="504"/>
      <c r="Y12" s="504"/>
      <c r="Z12" s="504"/>
      <c r="AA12" s="504"/>
      <c r="AB12" s="504"/>
      <c r="AC12" s="504"/>
      <c r="AD12" s="504"/>
      <c r="AE12" s="504"/>
      <c r="AF12" s="504"/>
      <c r="AG12" s="505"/>
      <c r="AH12" s="506"/>
      <c r="AI12" s="507"/>
    </row>
    <row r="13" spans="1:35" ht="21.95" customHeight="1">
      <c r="A13" s="508">
        <v>8546</v>
      </c>
      <c r="B13" s="509" t="s">
        <v>480</v>
      </c>
      <c r="C13" s="764" t="s">
        <v>481</v>
      </c>
      <c r="D13" s="764" t="s">
        <v>481</v>
      </c>
      <c r="E13" s="764" t="s">
        <v>481</v>
      </c>
      <c r="F13" s="764" t="s">
        <v>481</v>
      </c>
      <c r="G13" s="764"/>
      <c r="H13" s="768"/>
      <c r="I13" s="764">
        <v>1</v>
      </c>
      <c r="J13" s="764">
        <v>1</v>
      </c>
      <c r="K13" s="764">
        <v>1</v>
      </c>
      <c r="L13" s="764">
        <v>1</v>
      </c>
      <c r="M13" s="764">
        <v>1</v>
      </c>
      <c r="N13" s="764"/>
      <c r="O13" s="764"/>
      <c r="P13" s="764">
        <v>2</v>
      </c>
      <c r="Q13" s="764">
        <v>2</v>
      </c>
      <c r="R13" s="764">
        <v>2</v>
      </c>
      <c r="S13" s="764">
        <v>2</v>
      </c>
      <c r="T13" s="764">
        <v>2</v>
      </c>
      <c r="U13" s="764" t="s">
        <v>484</v>
      </c>
      <c r="V13" s="764" t="s">
        <v>484</v>
      </c>
      <c r="W13" s="764" t="s">
        <v>481</v>
      </c>
      <c r="X13" s="764" t="s">
        <v>481</v>
      </c>
      <c r="Y13" s="764" t="s">
        <v>481</v>
      </c>
      <c r="Z13" s="764" t="s">
        <v>481</v>
      </c>
      <c r="AA13" s="764" t="s">
        <v>481</v>
      </c>
      <c r="AB13" s="764"/>
      <c r="AC13" s="764"/>
      <c r="AD13" s="764">
        <v>3</v>
      </c>
      <c r="AE13" s="764">
        <v>3</v>
      </c>
      <c r="AF13" s="764">
        <v>3</v>
      </c>
      <c r="AG13" s="771">
        <v>3</v>
      </c>
      <c r="AH13" s="924">
        <v>95.75</v>
      </c>
      <c r="AI13" s="925">
        <v>37</v>
      </c>
    </row>
    <row r="14" spans="1:35" ht="21.95" customHeight="1">
      <c r="A14" s="500">
        <v>8546</v>
      </c>
      <c r="B14" s="347" t="s">
        <v>483</v>
      </c>
      <c r="C14" s="768">
        <v>3</v>
      </c>
      <c r="D14" s="768">
        <v>3</v>
      </c>
      <c r="E14" s="768">
        <v>3</v>
      </c>
      <c r="F14" s="768">
        <v>3</v>
      </c>
      <c r="G14" s="768"/>
      <c r="H14" s="768"/>
      <c r="I14" s="768">
        <v>4</v>
      </c>
      <c r="J14" s="768">
        <v>4</v>
      </c>
      <c r="K14" s="768">
        <v>4</v>
      </c>
      <c r="L14" s="768">
        <v>4</v>
      </c>
      <c r="M14" s="768">
        <v>4</v>
      </c>
      <c r="N14" s="768" t="s">
        <v>482</v>
      </c>
      <c r="O14" s="768" t="s">
        <v>482</v>
      </c>
      <c r="P14" s="768" t="s">
        <v>481</v>
      </c>
      <c r="Q14" s="768" t="s">
        <v>481</v>
      </c>
      <c r="R14" s="768" t="s">
        <v>481</v>
      </c>
      <c r="S14" s="768" t="s">
        <v>481</v>
      </c>
      <c r="T14" s="768" t="s">
        <v>481</v>
      </c>
      <c r="U14" s="768"/>
      <c r="V14" s="768"/>
      <c r="W14" s="768">
        <v>1</v>
      </c>
      <c r="X14" s="768">
        <v>1</v>
      </c>
      <c r="Y14" s="768">
        <v>1</v>
      </c>
      <c r="Z14" s="768">
        <v>1</v>
      </c>
      <c r="AA14" s="768">
        <v>1</v>
      </c>
      <c r="AB14" s="768"/>
      <c r="AC14" s="768"/>
      <c r="AD14" s="768">
        <v>2</v>
      </c>
      <c r="AE14" s="768">
        <v>2</v>
      </c>
      <c r="AF14" s="768">
        <v>2</v>
      </c>
      <c r="AG14" s="769">
        <v>2</v>
      </c>
      <c r="AH14" s="924">
        <v>189.5</v>
      </c>
      <c r="AI14" s="925">
        <v>37</v>
      </c>
    </row>
    <row r="15" spans="1:35" ht="21.95" customHeight="1">
      <c r="A15" s="500">
        <v>8546</v>
      </c>
      <c r="B15" s="347" t="s">
        <v>174</v>
      </c>
      <c r="C15" s="768">
        <v>4</v>
      </c>
      <c r="D15" s="768">
        <v>4</v>
      </c>
      <c r="E15" s="768">
        <v>4</v>
      </c>
      <c r="F15" s="768">
        <v>4</v>
      </c>
      <c r="G15" s="970" t="s">
        <v>482</v>
      </c>
      <c r="H15" s="970" t="s">
        <v>482</v>
      </c>
      <c r="I15" s="970" t="s">
        <v>481</v>
      </c>
      <c r="J15" s="970" t="s">
        <v>481</v>
      </c>
      <c r="K15" s="970" t="s">
        <v>481</v>
      </c>
      <c r="L15" s="970" t="s">
        <v>481</v>
      </c>
      <c r="M15" s="970" t="s">
        <v>481</v>
      </c>
      <c r="N15" s="970"/>
      <c r="O15" s="970"/>
      <c r="P15" s="970">
        <v>1</v>
      </c>
      <c r="Q15" s="970">
        <v>1</v>
      </c>
      <c r="R15" s="970">
        <v>1</v>
      </c>
      <c r="S15" s="970">
        <v>1</v>
      </c>
      <c r="T15" s="970">
        <v>1</v>
      </c>
      <c r="U15" s="970"/>
      <c r="V15" s="970"/>
      <c r="W15" s="970">
        <v>2</v>
      </c>
      <c r="X15" s="970">
        <v>2</v>
      </c>
      <c r="Y15" s="970">
        <v>2</v>
      </c>
      <c r="Z15" s="970">
        <v>2</v>
      </c>
      <c r="AA15" s="970">
        <v>2</v>
      </c>
      <c r="AB15" s="970" t="s">
        <v>484</v>
      </c>
      <c r="AC15" s="970" t="s">
        <v>484</v>
      </c>
      <c r="AD15" s="768" t="s">
        <v>481</v>
      </c>
      <c r="AE15" s="768" t="s">
        <v>481</v>
      </c>
      <c r="AF15" s="768" t="s">
        <v>481</v>
      </c>
      <c r="AG15" s="769" t="s">
        <v>481</v>
      </c>
      <c r="AH15" s="924">
        <v>43.5</v>
      </c>
      <c r="AI15" s="925">
        <v>37</v>
      </c>
    </row>
    <row r="16" spans="1:35" ht="21.95" customHeight="1">
      <c r="A16" s="500">
        <v>8546</v>
      </c>
      <c r="B16" s="347" t="s">
        <v>486</v>
      </c>
      <c r="C16" s="768">
        <v>2</v>
      </c>
      <c r="D16" s="768">
        <v>2</v>
      </c>
      <c r="E16" s="768">
        <v>2</v>
      </c>
      <c r="F16" s="768">
        <v>2</v>
      </c>
      <c r="G16" s="768" t="s">
        <v>484</v>
      </c>
      <c r="H16" s="768" t="s">
        <v>484</v>
      </c>
      <c r="I16" s="768" t="s">
        <v>481</v>
      </c>
      <c r="J16" s="768" t="s">
        <v>481</v>
      </c>
      <c r="K16" s="768" t="s">
        <v>481</v>
      </c>
      <c r="L16" s="768" t="s">
        <v>481</v>
      </c>
      <c r="M16" s="768" t="s">
        <v>481</v>
      </c>
      <c r="N16" s="768"/>
      <c r="O16" s="768"/>
      <c r="P16" s="768">
        <v>3</v>
      </c>
      <c r="Q16" s="768">
        <v>3</v>
      </c>
      <c r="R16" s="768">
        <v>3</v>
      </c>
      <c r="S16" s="768">
        <v>3</v>
      </c>
      <c r="T16" s="768">
        <v>3</v>
      </c>
      <c r="U16" s="768"/>
      <c r="V16" s="768"/>
      <c r="W16" s="768">
        <v>4</v>
      </c>
      <c r="X16" s="768">
        <v>4</v>
      </c>
      <c r="Y16" s="768">
        <v>4</v>
      </c>
      <c r="Z16" s="768">
        <v>4</v>
      </c>
      <c r="AA16" s="768">
        <v>4</v>
      </c>
      <c r="AB16" s="768" t="s">
        <v>482</v>
      </c>
      <c r="AC16" s="768" t="s">
        <v>482</v>
      </c>
      <c r="AD16" s="970" t="s">
        <v>481</v>
      </c>
      <c r="AE16" s="970" t="s">
        <v>481</v>
      </c>
      <c r="AF16" s="970" t="s">
        <v>481</v>
      </c>
      <c r="AG16" s="971" t="s">
        <v>481</v>
      </c>
      <c r="AH16" s="924">
        <v>197.5</v>
      </c>
      <c r="AI16" s="925">
        <v>37</v>
      </c>
    </row>
    <row r="17" spans="1:37" ht="21.95" customHeight="1">
      <c r="A17" s="500">
        <v>8546</v>
      </c>
      <c r="B17" s="347" t="s">
        <v>487</v>
      </c>
      <c r="C17" s="768">
        <v>1</v>
      </c>
      <c r="D17" s="768">
        <v>1</v>
      </c>
      <c r="E17" s="977">
        <v>1</v>
      </c>
      <c r="F17" s="768">
        <v>1</v>
      </c>
      <c r="G17" s="768"/>
      <c r="H17" s="768"/>
      <c r="I17" s="977">
        <v>2</v>
      </c>
      <c r="J17" s="977">
        <v>2</v>
      </c>
      <c r="K17" s="977">
        <v>2</v>
      </c>
      <c r="L17" s="977">
        <v>2</v>
      </c>
      <c r="M17" s="977">
        <v>2</v>
      </c>
      <c r="N17" s="977" t="s">
        <v>484</v>
      </c>
      <c r="O17" s="977" t="s">
        <v>484</v>
      </c>
      <c r="P17" s="768" t="s">
        <v>481</v>
      </c>
      <c r="Q17" s="768" t="s">
        <v>481</v>
      </c>
      <c r="R17" s="768" t="s">
        <v>481</v>
      </c>
      <c r="S17" s="768" t="s">
        <v>481</v>
      </c>
      <c r="T17" s="768" t="s">
        <v>481</v>
      </c>
      <c r="U17" s="768"/>
      <c r="V17" s="768"/>
      <c r="W17" s="768">
        <v>3</v>
      </c>
      <c r="X17" s="768">
        <v>3</v>
      </c>
      <c r="Y17" s="768">
        <v>3</v>
      </c>
      <c r="Z17" s="768">
        <v>3</v>
      </c>
      <c r="AA17" s="768">
        <v>3</v>
      </c>
      <c r="AB17" s="768"/>
      <c r="AC17" s="768"/>
      <c r="AD17" s="970">
        <v>4</v>
      </c>
      <c r="AE17" s="970">
        <v>4</v>
      </c>
      <c r="AF17" s="970">
        <v>4</v>
      </c>
      <c r="AG17" s="971">
        <v>4</v>
      </c>
      <c r="AH17" s="924">
        <v>185.75</v>
      </c>
      <c r="AI17" s="925">
        <v>37</v>
      </c>
    </row>
    <row r="18" spans="1:37" ht="21.95" customHeight="1">
      <c r="A18" s="500">
        <v>8546</v>
      </c>
      <c r="B18" s="347" t="s">
        <v>488</v>
      </c>
      <c r="C18" s="970" t="s">
        <v>481</v>
      </c>
      <c r="D18" s="970" t="s">
        <v>481</v>
      </c>
      <c r="E18" s="970" t="s">
        <v>481</v>
      </c>
      <c r="F18" s="970" t="s">
        <v>481</v>
      </c>
      <c r="G18" s="970"/>
      <c r="H18" s="970"/>
      <c r="I18" s="768">
        <v>3</v>
      </c>
      <c r="J18" s="768">
        <v>3</v>
      </c>
      <c r="K18" s="768">
        <v>3</v>
      </c>
      <c r="L18" s="768">
        <v>3</v>
      </c>
      <c r="M18" s="768">
        <v>3</v>
      </c>
      <c r="N18" s="768"/>
      <c r="O18" s="768"/>
      <c r="P18" s="768">
        <v>4</v>
      </c>
      <c r="Q18" s="768">
        <v>4</v>
      </c>
      <c r="R18" s="768">
        <v>4</v>
      </c>
      <c r="S18" s="768">
        <v>4</v>
      </c>
      <c r="T18" s="768">
        <v>4</v>
      </c>
      <c r="U18" s="768" t="s">
        <v>482</v>
      </c>
      <c r="V18" s="768" t="s">
        <v>482</v>
      </c>
      <c r="W18" s="768" t="s">
        <v>481</v>
      </c>
      <c r="X18" s="768" t="s">
        <v>481</v>
      </c>
      <c r="Y18" s="768" t="s">
        <v>481</v>
      </c>
      <c r="Z18" s="768" t="s">
        <v>481</v>
      </c>
      <c r="AA18" s="768" t="s">
        <v>481</v>
      </c>
      <c r="AB18" s="768"/>
      <c r="AC18" s="768"/>
      <c r="AD18" s="768">
        <v>1</v>
      </c>
      <c r="AE18" s="768">
        <v>1</v>
      </c>
      <c r="AF18" s="768">
        <v>1</v>
      </c>
      <c r="AG18" s="769">
        <v>1</v>
      </c>
      <c r="AH18" s="924">
        <v>79.25</v>
      </c>
      <c r="AI18" s="925">
        <v>37</v>
      </c>
    </row>
    <row r="19" spans="1:37" ht="21.95" customHeight="1">
      <c r="A19" s="512" t="s">
        <v>489</v>
      </c>
      <c r="B19" s="513"/>
      <c r="C19" s="504"/>
      <c r="D19" s="504"/>
      <c r="E19" s="504"/>
      <c r="F19" s="504"/>
      <c r="G19" s="504"/>
      <c r="H19" s="504"/>
      <c r="I19" s="504"/>
      <c r="J19" s="504"/>
      <c r="K19" s="504"/>
      <c r="L19" s="504"/>
      <c r="M19" s="504"/>
      <c r="N19" s="504"/>
      <c r="O19" s="504"/>
      <c r="P19" s="504"/>
      <c r="Q19" s="504"/>
      <c r="R19" s="504"/>
      <c r="S19" s="504"/>
      <c r="T19" s="504"/>
      <c r="U19" s="504"/>
      <c r="V19" s="504"/>
      <c r="W19" s="504"/>
      <c r="X19" s="504"/>
      <c r="Y19" s="504"/>
      <c r="Z19" s="504"/>
      <c r="AA19" s="504"/>
      <c r="AB19" s="504"/>
      <c r="AC19" s="504"/>
      <c r="AD19" s="504"/>
      <c r="AE19" s="504"/>
      <c r="AF19" s="504"/>
      <c r="AG19" s="505"/>
      <c r="AH19" s="506"/>
      <c r="AI19" s="507"/>
    </row>
    <row r="20" spans="1:37" ht="21.95" customHeight="1">
      <c r="A20" s="500">
        <v>8500</v>
      </c>
      <c r="B20" s="186" t="s">
        <v>188</v>
      </c>
      <c r="C20" s="970" t="s">
        <v>491</v>
      </c>
      <c r="D20" s="970" t="s">
        <v>491</v>
      </c>
      <c r="E20" s="970" t="s">
        <v>491</v>
      </c>
      <c r="F20" s="970" t="s">
        <v>491</v>
      </c>
      <c r="G20" s="970"/>
      <c r="H20" s="970"/>
      <c r="I20" s="768">
        <v>2</v>
      </c>
      <c r="J20" s="768">
        <v>2</v>
      </c>
      <c r="K20" s="768">
        <v>2</v>
      </c>
      <c r="L20" s="768">
        <v>2</v>
      </c>
      <c r="M20" s="768">
        <v>2</v>
      </c>
      <c r="N20" s="768" t="s">
        <v>484</v>
      </c>
      <c r="O20" s="768" t="s">
        <v>484</v>
      </c>
      <c r="P20" s="768" t="s">
        <v>481</v>
      </c>
      <c r="Q20" s="768" t="s">
        <v>481</v>
      </c>
      <c r="R20" s="768" t="s">
        <v>481</v>
      </c>
      <c r="S20" s="768" t="s">
        <v>481</v>
      </c>
      <c r="T20" s="768" t="s">
        <v>481</v>
      </c>
      <c r="U20" s="768"/>
      <c r="V20" s="768"/>
      <c r="W20" s="768">
        <v>2</v>
      </c>
      <c r="X20" s="768">
        <v>2</v>
      </c>
      <c r="Y20" s="768">
        <v>2</v>
      </c>
      <c r="Z20" s="768">
        <v>2</v>
      </c>
      <c r="AA20" s="768">
        <v>2</v>
      </c>
      <c r="AB20" s="768" t="s">
        <v>484</v>
      </c>
      <c r="AC20" s="768" t="s">
        <v>484</v>
      </c>
      <c r="AD20" s="768" t="s">
        <v>481</v>
      </c>
      <c r="AE20" s="768" t="s">
        <v>481</v>
      </c>
      <c r="AF20" s="768" t="s">
        <v>481</v>
      </c>
      <c r="AG20" s="768" t="s">
        <v>481</v>
      </c>
      <c r="AH20" s="924">
        <v>103.25</v>
      </c>
      <c r="AI20" s="925">
        <v>37</v>
      </c>
    </row>
    <row r="21" spans="1:37" ht="21.95" customHeight="1">
      <c r="A21" s="500">
        <v>8500</v>
      </c>
      <c r="B21" s="153" t="s">
        <v>492</v>
      </c>
      <c r="C21" s="768" t="s">
        <v>481</v>
      </c>
      <c r="D21" s="768" t="s">
        <v>481</v>
      </c>
      <c r="E21" s="768" t="s">
        <v>481</v>
      </c>
      <c r="F21" s="768" t="s">
        <v>481</v>
      </c>
      <c r="G21" s="768"/>
      <c r="H21" s="768"/>
      <c r="I21" s="970" t="s">
        <v>491</v>
      </c>
      <c r="J21" s="970" t="s">
        <v>491</v>
      </c>
      <c r="K21" s="970" t="s">
        <v>491</v>
      </c>
      <c r="L21" s="970" t="s">
        <v>491</v>
      </c>
      <c r="M21" s="970" t="s">
        <v>491</v>
      </c>
      <c r="N21" s="970"/>
      <c r="O21" s="970"/>
      <c r="P21" s="970" t="s">
        <v>491</v>
      </c>
      <c r="Q21" s="970" t="s">
        <v>491</v>
      </c>
      <c r="R21" s="970" t="s">
        <v>491</v>
      </c>
      <c r="S21" s="970" t="s">
        <v>491</v>
      </c>
      <c r="T21" s="970" t="s">
        <v>491</v>
      </c>
      <c r="U21" s="970"/>
      <c r="V21" s="970"/>
      <c r="W21" s="970" t="s">
        <v>491</v>
      </c>
      <c r="X21" s="970" t="s">
        <v>491</v>
      </c>
      <c r="Y21" s="970" t="s">
        <v>491</v>
      </c>
      <c r="Z21" s="970" t="s">
        <v>491</v>
      </c>
      <c r="AA21" s="970" t="s">
        <v>491</v>
      </c>
      <c r="AB21" s="970"/>
      <c r="AC21" s="970"/>
      <c r="AD21" s="768">
        <v>4</v>
      </c>
      <c r="AE21" s="768">
        <v>4</v>
      </c>
      <c r="AF21" s="768">
        <v>4</v>
      </c>
      <c r="AG21" s="768">
        <v>4</v>
      </c>
      <c r="AH21" s="924">
        <v>80</v>
      </c>
      <c r="AI21" s="925">
        <v>37</v>
      </c>
    </row>
    <row r="22" spans="1:37" ht="21.95" customHeight="1" thickBot="1">
      <c r="A22" s="500"/>
      <c r="B22" s="153"/>
      <c r="C22" s="768"/>
      <c r="D22" s="768"/>
      <c r="E22" s="768"/>
      <c r="F22" s="768"/>
      <c r="G22" s="768"/>
      <c r="H22" s="768"/>
      <c r="I22" s="768"/>
      <c r="J22" s="768"/>
      <c r="K22" s="768"/>
      <c r="L22" s="768"/>
      <c r="M22" s="768"/>
      <c r="N22" s="768"/>
      <c r="O22" s="768"/>
      <c r="P22" s="768"/>
      <c r="Q22" s="768"/>
      <c r="R22" s="768"/>
      <c r="S22" s="768"/>
      <c r="T22" s="768"/>
      <c r="U22" s="768"/>
      <c r="V22" s="768"/>
      <c r="W22" s="768"/>
      <c r="X22" s="768"/>
      <c r="Y22" s="768"/>
      <c r="Z22" s="768"/>
      <c r="AA22" s="768"/>
      <c r="AB22" s="768"/>
      <c r="AC22" s="768"/>
      <c r="AD22" s="768"/>
      <c r="AE22" s="768"/>
      <c r="AF22" s="768"/>
      <c r="AG22" s="768"/>
      <c r="AH22" s="514"/>
      <c r="AI22" s="515"/>
    </row>
    <row r="23" spans="1:37" ht="21.95" customHeight="1">
      <c r="A23" s="516"/>
      <c r="C23" s="517"/>
      <c r="D23" s="517"/>
      <c r="E23" s="517"/>
      <c r="F23" s="517"/>
      <c r="G23" s="517"/>
      <c r="H23" s="517"/>
      <c r="I23" s="517"/>
      <c r="J23" s="517"/>
      <c r="K23" s="517"/>
      <c r="L23" s="517"/>
      <c r="M23" s="517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17"/>
      <c r="Y23" s="517"/>
      <c r="Z23" s="517"/>
      <c r="AA23" s="517"/>
      <c r="AB23" s="517"/>
      <c r="AC23" s="517"/>
      <c r="AD23" s="517"/>
      <c r="AE23" s="517"/>
      <c r="AF23" s="517"/>
      <c r="AG23" s="517"/>
    </row>
    <row r="24" spans="1:37" ht="21.95" customHeight="1">
      <c r="A24" s="516"/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</row>
    <row r="25" spans="1:37" ht="21.95" customHeight="1">
      <c r="A25" s="516"/>
      <c r="C25" s="517"/>
      <c r="D25" s="517"/>
      <c r="E25" s="517"/>
      <c r="F25" s="517"/>
      <c r="G25" s="517"/>
      <c r="H25" s="517"/>
      <c r="I25" s="517"/>
      <c r="J25" s="517"/>
      <c r="K25" s="517"/>
      <c r="L25" s="517"/>
      <c r="M25" s="517"/>
      <c r="N25" s="517"/>
      <c r="O25" s="517"/>
      <c r="P25" s="517"/>
      <c r="Q25" s="517"/>
      <c r="R25" s="517"/>
      <c r="S25" s="517"/>
      <c r="T25" s="517"/>
      <c r="U25" s="517"/>
      <c r="V25" s="517"/>
      <c r="W25" s="517"/>
      <c r="X25" s="517"/>
      <c r="Y25" s="517"/>
      <c r="Z25" s="517"/>
      <c r="AA25" s="517"/>
      <c r="AB25" s="517"/>
      <c r="AC25" s="517"/>
      <c r="AD25" s="517"/>
      <c r="AE25" s="517"/>
      <c r="AF25" s="517"/>
      <c r="AG25" s="517"/>
    </row>
    <row r="26" spans="1:37" ht="21.95" customHeight="1">
      <c r="A26" s="516"/>
      <c r="C26" s="517"/>
      <c r="D26" s="517"/>
      <c r="E26" s="517"/>
      <c r="F26" s="517"/>
      <c r="G26" s="517"/>
      <c r="H26" s="517"/>
      <c r="I26" s="517"/>
      <c r="J26" s="517"/>
      <c r="K26" s="517"/>
      <c r="L26" s="517"/>
      <c r="M26" s="517"/>
      <c r="N26" s="517"/>
      <c r="O26" s="517"/>
      <c r="P26" s="517"/>
      <c r="Q26" s="517"/>
      <c r="R26" s="517"/>
      <c r="S26" s="517"/>
      <c r="T26" s="517"/>
      <c r="U26" s="517"/>
      <c r="V26" s="517"/>
      <c r="W26" s="517"/>
      <c r="X26" s="517"/>
      <c r="Y26" s="517"/>
      <c r="Z26" s="517"/>
      <c r="AA26" s="517"/>
      <c r="AB26" s="517"/>
      <c r="AC26" s="517"/>
      <c r="AD26" s="517"/>
      <c r="AE26" s="517"/>
      <c r="AF26" s="517"/>
      <c r="AG26" s="517"/>
    </row>
    <row r="27" spans="1:37" ht="21.95" customHeight="1">
      <c r="A27" s="516"/>
      <c r="C27" s="517"/>
      <c r="D27" s="517"/>
      <c r="E27" s="517"/>
      <c r="F27" s="517"/>
      <c r="G27" s="517"/>
      <c r="H27" s="517"/>
      <c r="I27" s="517"/>
      <c r="J27" s="517"/>
      <c r="K27" s="517"/>
      <c r="L27" s="517"/>
      <c r="M27" s="517"/>
      <c r="N27" s="517"/>
      <c r="O27" s="517"/>
      <c r="P27" s="517"/>
      <c r="Q27" s="517"/>
      <c r="R27" s="517"/>
      <c r="S27" s="517"/>
      <c r="T27" s="517"/>
      <c r="U27" s="517"/>
      <c r="V27" s="517"/>
      <c r="W27" s="517"/>
      <c r="X27" s="517"/>
      <c r="Y27" s="517"/>
      <c r="Z27" s="517"/>
      <c r="AA27" s="517"/>
      <c r="AB27" s="517"/>
      <c r="AC27" s="517"/>
      <c r="AD27" s="517"/>
      <c r="AE27" s="517"/>
      <c r="AF27" s="517"/>
      <c r="AG27" s="517"/>
    </row>
    <row r="28" spans="1:37" ht="21.95" customHeight="1">
      <c r="A28" s="516"/>
      <c r="C28" s="517"/>
      <c r="D28" s="517"/>
      <c r="E28" s="517"/>
      <c r="F28" s="517"/>
      <c r="G28" s="517"/>
      <c r="H28" s="517"/>
      <c r="I28" s="517"/>
      <c r="J28" s="517"/>
      <c r="K28" s="517"/>
      <c r="L28" s="517"/>
      <c r="M28" s="517"/>
      <c r="N28" s="517"/>
      <c r="O28" s="517"/>
      <c r="P28" s="517"/>
      <c r="Q28" s="517"/>
      <c r="R28" s="517"/>
      <c r="S28" s="517"/>
      <c r="T28" s="517"/>
      <c r="U28" s="517"/>
      <c r="V28" s="517"/>
      <c r="W28" s="517"/>
      <c r="X28" s="517"/>
      <c r="Y28" s="517"/>
      <c r="Z28" s="517"/>
      <c r="AA28" s="517"/>
      <c r="AB28" s="517"/>
      <c r="AC28" s="517"/>
      <c r="AD28" s="517"/>
      <c r="AE28" s="517"/>
      <c r="AF28" s="517"/>
      <c r="AG28" s="517"/>
    </row>
    <row r="29" spans="1:37" ht="21.95" customHeight="1">
      <c r="A29" s="516"/>
      <c r="C29" s="517"/>
      <c r="D29" s="517"/>
      <c r="E29" s="517"/>
      <c r="F29" s="517"/>
      <c r="G29" s="517"/>
      <c r="H29" s="517"/>
      <c r="I29" s="517"/>
      <c r="J29" s="517"/>
      <c r="K29" s="517"/>
      <c r="L29" s="517"/>
      <c r="M29" s="517"/>
      <c r="N29" s="517"/>
      <c r="O29" s="517"/>
      <c r="P29" s="517"/>
      <c r="Q29" s="517"/>
      <c r="R29" s="517"/>
      <c r="S29" s="517"/>
      <c r="T29" s="517"/>
      <c r="U29" s="517"/>
      <c r="V29" s="517"/>
      <c r="W29" s="517"/>
      <c r="X29" s="517"/>
      <c r="Y29" s="517"/>
      <c r="Z29" s="517"/>
      <c r="AA29" s="517"/>
      <c r="AB29" s="517"/>
      <c r="AC29" s="517"/>
      <c r="AD29" s="517"/>
      <c r="AE29" s="517"/>
      <c r="AF29" s="517"/>
      <c r="AG29" s="517"/>
    </row>
    <row r="30" spans="1:37" ht="21.95" customHeight="1" thickBot="1">
      <c r="A30" s="1" t="s">
        <v>494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495</v>
      </c>
      <c r="B31" s="518"/>
      <c r="C31" s="518"/>
      <c r="D31" s="425" t="s">
        <v>496</v>
      </c>
      <c r="E31" s="519"/>
      <c r="F31" s="519"/>
      <c r="G31" s="519"/>
      <c r="H31" s="519"/>
      <c r="I31" s="519"/>
      <c r="J31" s="519"/>
      <c r="K31" s="519"/>
      <c r="L31" s="519"/>
      <c r="M31" s="520" t="s">
        <v>497</v>
      </c>
      <c r="N31" s="519"/>
      <c r="O31" s="519"/>
      <c r="P31" s="519"/>
      <c r="Q31" s="519"/>
      <c r="R31" s="519"/>
      <c r="S31" s="521"/>
      <c r="T31" s="521" t="s">
        <v>498</v>
      </c>
      <c r="U31" s="519"/>
      <c r="V31" s="519"/>
      <c r="W31" s="519"/>
      <c r="X31" s="519"/>
      <c r="Y31" s="519"/>
      <c r="Z31" s="238"/>
      <c r="AA31" s="522" t="s">
        <v>499</v>
      </c>
      <c r="AB31" s="51"/>
      <c r="AC31" s="51"/>
      <c r="AD31" s="51"/>
      <c r="AE31" s="51"/>
      <c r="AF31" s="51"/>
      <c r="AG31" s="523"/>
      <c r="AK31" s="1"/>
    </row>
    <row r="32" spans="1:37" ht="21.95" customHeight="1">
      <c r="A32" s="524" t="s">
        <v>500</v>
      </c>
      <c r="B32" s="135"/>
      <c r="C32" s="135"/>
      <c r="D32" s="495" t="s">
        <v>501</v>
      </c>
      <c r="E32" s="491"/>
      <c r="F32" s="157"/>
      <c r="G32" s="157"/>
      <c r="H32" s="157"/>
      <c r="I32" s="157"/>
      <c r="J32" s="157"/>
      <c r="K32" s="157"/>
      <c r="L32" s="489"/>
      <c r="M32" s="525" t="s">
        <v>502</v>
      </c>
      <c r="N32" s="135"/>
      <c r="O32" s="526"/>
      <c r="P32" s="135"/>
      <c r="Q32" s="135"/>
      <c r="R32" s="135"/>
      <c r="S32" s="527"/>
      <c r="T32" s="495" t="s">
        <v>503</v>
      </c>
      <c r="U32" s="157"/>
      <c r="V32" s="491"/>
      <c r="W32" s="157"/>
      <c r="X32" s="157"/>
      <c r="Y32" s="157"/>
      <c r="Z32" s="489"/>
      <c r="AA32" s="1" t="s">
        <v>504</v>
      </c>
      <c r="AD32" s="496"/>
      <c r="AG32" s="528"/>
      <c r="AK32" s="1"/>
    </row>
    <row r="33" spans="1:38" ht="21.95" customHeight="1">
      <c r="A33" s="529" t="s">
        <v>505</v>
      </c>
      <c r="B33" s="157"/>
      <c r="C33" s="157"/>
      <c r="D33" s="157"/>
      <c r="E33" s="157"/>
      <c r="F33" s="157"/>
      <c r="G33" s="489"/>
      <c r="H33" s="495" t="s">
        <v>506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0" t="s">
        <v>507</v>
      </c>
      <c r="AA33" s="526"/>
      <c r="AB33" s="135"/>
      <c r="AC33" s="135"/>
      <c r="AD33" s="135"/>
      <c r="AE33" s="135"/>
      <c r="AF33" s="135"/>
      <c r="AG33" s="531"/>
      <c r="AK33" s="312"/>
    </row>
    <row r="34" spans="1:38" ht="21.95" customHeight="1" thickBot="1">
      <c r="A34" s="532" t="s">
        <v>508</v>
      </c>
      <c r="B34" s="53"/>
      <c r="C34" s="53"/>
      <c r="D34" s="53"/>
      <c r="E34" s="53"/>
      <c r="F34" s="53"/>
      <c r="G34" s="533"/>
      <c r="H34" s="534" t="s">
        <v>509</v>
      </c>
      <c r="I34" s="533"/>
      <c r="J34" s="53"/>
      <c r="K34" s="53"/>
      <c r="L34" s="53"/>
      <c r="M34" s="53"/>
      <c r="N34" s="53"/>
      <c r="O34" s="53"/>
      <c r="P34" s="53"/>
      <c r="Q34" s="535"/>
      <c r="R34" s="535"/>
      <c r="S34" s="535"/>
      <c r="T34" s="53"/>
      <c r="U34" s="534" t="s">
        <v>510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6"/>
      <c r="AK34" s="1"/>
    </row>
    <row r="35" spans="1:38" ht="21.95" customHeight="1" thickBot="1">
      <c r="B35" s="537" t="s">
        <v>474</v>
      </c>
      <c r="C35" s="538"/>
      <c r="D35" s="538"/>
      <c r="E35" s="538"/>
      <c r="F35" s="538"/>
      <c r="G35" s="538"/>
      <c r="H35" s="538"/>
      <c r="I35" s="538"/>
      <c r="J35" s="538"/>
      <c r="K35" s="538"/>
      <c r="L35" s="538"/>
      <c r="M35" s="538"/>
      <c r="N35" s="538"/>
      <c r="O35" s="538"/>
      <c r="P35" s="538"/>
      <c r="Q35" s="538"/>
      <c r="R35" s="538"/>
      <c r="S35" s="538"/>
      <c r="T35" s="538"/>
      <c r="U35" s="538"/>
      <c r="V35" s="538"/>
      <c r="W35" s="538"/>
      <c r="X35" s="538"/>
      <c r="Y35" s="538"/>
      <c r="Z35" s="538"/>
      <c r="AA35" s="538"/>
      <c r="AB35" s="538"/>
      <c r="AC35" s="538"/>
      <c r="AD35" s="538"/>
      <c r="AE35" s="538"/>
      <c r="AF35" s="538"/>
      <c r="AG35" s="538"/>
      <c r="AH35" s="1"/>
    </row>
    <row r="36" spans="1:38" ht="21.95" customHeight="1" thickBot="1">
      <c r="A36" s="539" t="s">
        <v>475</v>
      </c>
      <c r="B36" s="182" t="s">
        <v>476</v>
      </c>
      <c r="C36" s="787">
        <v>1</v>
      </c>
      <c r="D36" s="787">
        <v>2</v>
      </c>
      <c r="E36" s="787">
        <v>3</v>
      </c>
      <c r="F36" s="787">
        <v>4</v>
      </c>
      <c r="G36" s="788">
        <v>5</v>
      </c>
      <c r="H36" s="788">
        <v>6</v>
      </c>
      <c r="I36" s="766">
        <v>7</v>
      </c>
      <c r="J36" s="766">
        <v>8</v>
      </c>
      <c r="K36" s="787">
        <v>9</v>
      </c>
      <c r="L36" s="787">
        <v>10</v>
      </c>
      <c r="M36" s="787">
        <v>11</v>
      </c>
      <c r="N36" s="788">
        <v>12</v>
      </c>
      <c r="O36" s="788">
        <v>13</v>
      </c>
      <c r="P36" s="766">
        <v>14</v>
      </c>
      <c r="Q36" s="766">
        <v>15</v>
      </c>
      <c r="R36" s="787">
        <v>16</v>
      </c>
      <c r="S36" s="787">
        <v>17</v>
      </c>
      <c r="T36" s="787">
        <v>18</v>
      </c>
      <c r="U36" s="788">
        <v>19</v>
      </c>
      <c r="V36" s="830">
        <v>20</v>
      </c>
      <c r="W36" s="766">
        <v>21</v>
      </c>
      <c r="X36" s="766">
        <v>22</v>
      </c>
      <c r="Y36" s="787">
        <v>23</v>
      </c>
      <c r="Z36" s="787">
        <v>24</v>
      </c>
      <c r="AA36" s="787">
        <v>25</v>
      </c>
      <c r="AB36" s="788">
        <v>26</v>
      </c>
      <c r="AC36" s="788">
        <v>27</v>
      </c>
      <c r="AD36" s="766">
        <v>28</v>
      </c>
      <c r="AE36" s="766">
        <v>29</v>
      </c>
      <c r="AF36" s="787">
        <v>30</v>
      </c>
      <c r="AG36" s="787">
        <v>31</v>
      </c>
      <c r="AH36" s="498" t="s">
        <v>477</v>
      </c>
      <c r="AI36" s="499" t="s">
        <v>478</v>
      </c>
      <c r="AL36" t="s">
        <v>28</v>
      </c>
    </row>
    <row r="37" spans="1:38" ht="21.95" customHeight="1">
      <c r="A37" s="540">
        <v>1</v>
      </c>
      <c r="B37" s="45" t="s">
        <v>511</v>
      </c>
      <c r="C37" s="763" t="s">
        <v>481</v>
      </c>
      <c r="D37" s="763" t="s">
        <v>481</v>
      </c>
      <c r="E37" s="763" t="s">
        <v>481</v>
      </c>
      <c r="F37" s="763" t="s">
        <v>481</v>
      </c>
      <c r="G37" s="763"/>
      <c r="H37" s="763"/>
      <c r="I37" s="974">
        <v>8</v>
      </c>
      <c r="J37" s="974">
        <v>8</v>
      </c>
      <c r="K37" s="974">
        <v>8</v>
      </c>
      <c r="L37" s="974">
        <v>8</v>
      </c>
      <c r="M37" s="974">
        <v>8</v>
      </c>
      <c r="N37" s="974" t="s">
        <v>513</v>
      </c>
      <c r="O37" s="974" t="s">
        <v>513</v>
      </c>
      <c r="P37" s="974" t="s">
        <v>481</v>
      </c>
      <c r="Q37" s="974" t="s">
        <v>481</v>
      </c>
      <c r="R37" s="974" t="s">
        <v>481</v>
      </c>
      <c r="S37" s="974" t="s">
        <v>481</v>
      </c>
      <c r="T37" s="974" t="s">
        <v>481</v>
      </c>
      <c r="U37" s="974"/>
      <c r="V37" s="974"/>
      <c r="W37" s="974">
        <v>1</v>
      </c>
      <c r="X37" s="974">
        <v>1</v>
      </c>
      <c r="Y37" s="974">
        <v>1</v>
      </c>
      <c r="Z37" s="974">
        <v>1</v>
      </c>
      <c r="AA37" s="974">
        <v>1</v>
      </c>
      <c r="AB37" s="974"/>
      <c r="AC37" s="974"/>
      <c r="AD37" s="763">
        <v>9</v>
      </c>
      <c r="AE37" s="763">
        <v>9</v>
      </c>
      <c r="AF37" s="763">
        <v>9</v>
      </c>
      <c r="AG37" s="773">
        <v>9</v>
      </c>
      <c r="AH37" s="924">
        <v>91.5</v>
      </c>
      <c r="AI37" s="925">
        <v>37</v>
      </c>
    </row>
    <row r="38" spans="1:38" ht="21.95" customHeight="1">
      <c r="A38" s="541">
        <v>6</v>
      </c>
      <c r="B38" s="153" t="s">
        <v>650</v>
      </c>
      <c r="C38" s="768" t="s">
        <v>481</v>
      </c>
      <c r="D38" s="768" t="s">
        <v>481</v>
      </c>
      <c r="E38" s="768" t="s">
        <v>481</v>
      </c>
      <c r="F38" s="768" t="s">
        <v>481</v>
      </c>
      <c r="G38" s="768"/>
      <c r="H38" s="768"/>
      <c r="I38" s="977">
        <v>6</v>
      </c>
      <c r="J38" s="977">
        <v>6</v>
      </c>
      <c r="K38" s="977">
        <v>6</v>
      </c>
      <c r="L38" s="977">
        <v>6</v>
      </c>
      <c r="M38" s="977">
        <v>6</v>
      </c>
      <c r="N38" s="977" t="s">
        <v>512</v>
      </c>
      <c r="O38" s="977" t="s">
        <v>513</v>
      </c>
      <c r="P38" s="768" t="s">
        <v>481</v>
      </c>
      <c r="Q38" s="768" t="s">
        <v>481</v>
      </c>
      <c r="R38" s="768" t="s">
        <v>481</v>
      </c>
      <c r="S38" s="768" t="s">
        <v>481</v>
      </c>
      <c r="T38" s="768" t="s">
        <v>481</v>
      </c>
      <c r="U38" s="768"/>
      <c r="V38" s="768"/>
      <c r="W38" s="768" t="s">
        <v>491</v>
      </c>
      <c r="X38" s="768" t="s">
        <v>491</v>
      </c>
      <c r="Y38" s="768" t="s">
        <v>491</v>
      </c>
      <c r="Z38" s="768" t="s">
        <v>491</v>
      </c>
      <c r="AA38" s="768" t="s">
        <v>491</v>
      </c>
      <c r="AB38" s="768"/>
      <c r="AC38" s="768"/>
      <c r="AD38" s="768">
        <v>10</v>
      </c>
      <c r="AE38" s="768">
        <v>10</v>
      </c>
      <c r="AF38" s="768">
        <v>10</v>
      </c>
      <c r="AG38" s="774">
        <v>10</v>
      </c>
      <c r="AH38" s="924">
        <v>185</v>
      </c>
      <c r="AI38" s="925">
        <v>37</v>
      </c>
    </row>
    <row r="39" spans="1:38" ht="21.95" customHeight="1" thickBot="1">
      <c r="A39" s="543">
        <v>11</v>
      </c>
      <c r="B39" s="794" t="s">
        <v>518</v>
      </c>
      <c r="C39" s="967" t="s">
        <v>481</v>
      </c>
      <c r="D39" s="967" t="s">
        <v>481</v>
      </c>
      <c r="E39" s="967" t="s">
        <v>481</v>
      </c>
      <c r="F39" s="967" t="s">
        <v>481</v>
      </c>
      <c r="G39" s="967" t="s">
        <v>515</v>
      </c>
      <c r="H39" s="967" t="s">
        <v>515</v>
      </c>
      <c r="I39" s="761">
        <v>7</v>
      </c>
      <c r="J39" s="761">
        <v>7</v>
      </c>
      <c r="K39" s="761">
        <v>7</v>
      </c>
      <c r="L39" s="761">
        <v>7</v>
      </c>
      <c r="M39" s="761">
        <v>7</v>
      </c>
      <c r="N39" s="761"/>
      <c r="O39" s="761"/>
      <c r="P39" s="761">
        <v>4</v>
      </c>
      <c r="Q39" s="761">
        <v>4</v>
      </c>
      <c r="R39" s="761">
        <v>4</v>
      </c>
      <c r="S39" s="761">
        <v>4</v>
      </c>
      <c r="T39" s="761">
        <v>4</v>
      </c>
      <c r="U39" s="761"/>
      <c r="V39" s="761"/>
      <c r="W39" s="761">
        <v>3</v>
      </c>
      <c r="X39" s="761">
        <v>3</v>
      </c>
      <c r="Y39" s="761">
        <v>3</v>
      </c>
      <c r="Z39" s="761">
        <v>3</v>
      </c>
      <c r="AA39" s="761">
        <v>3</v>
      </c>
      <c r="AB39" s="761"/>
      <c r="AC39" s="761"/>
      <c r="AD39" s="761">
        <v>11</v>
      </c>
      <c r="AE39" s="761">
        <v>11</v>
      </c>
      <c r="AF39" s="761">
        <v>11</v>
      </c>
      <c r="AG39" s="775">
        <v>11</v>
      </c>
      <c r="AH39" s="924">
        <v>117.5</v>
      </c>
      <c r="AI39" s="925">
        <v>37</v>
      </c>
    </row>
    <row r="40" spans="1:38" ht="21.95" customHeight="1">
      <c r="A40" s="540">
        <v>2</v>
      </c>
      <c r="B40" s="45" t="s">
        <v>520</v>
      </c>
      <c r="C40" s="763">
        <v>8</v>
      </c>
      <c r="D40" s="763">
        <v>8</v>
      </c>
      <c r="E40" s="763">
        <v>8</v>
      </c>
      <c r="F40" s="776">
        <v>8</v>
      </c>
      <c r="G40" s="776" t="s">
        <v>513</v>
      </c>
      <c r="H40" s="763" t="s">
        <v>513</v>
      </c>
      <c r="I40" s="763" t="s">
        <v>481</v>
      </c>
      <c r="J40" s="763" t="s">
        <v>481</v>
      </c>
      <c r="K40" s="763" t="s">
        <v>481</v>
      </c>
      <c r="L40" s="763" t="s">
        <v>481</v>
      </c>
      <c r="M40" s="763" t="s">
        <v>481</v>
      </c>
      <c r="N40" s="763"/>
      <c r="O40" s="763"/>
      <c r="P40" s="763">
        <v>1</v>
      </c>
      <c r="Q40" s="763">
        <v>1</v>
      </c>
      <c r="R40" s="763">
        <v>1</v>
      </c>
      <c r="S40" s="763">
        <v>1</v>
      </c>
      <c r="T40" s="776">
        <v>1</v>
      </c>
      <c r="U40" s="776"/>
      <c r="V40" s="763"/>
      <c r="W40" s="763">
        <v>9</v>
      </c>
      <c r="X40" s="763">
        <v>9</v>
      </c>
      <c r="Y40" s="763">
        <v>9</v>
      </c>
      <c r="Z40" s="763">
        <v>9</v>
      </c>
      <c r="AA40" s="763">
        <v>9</v>
      </c>
      <c r="AB40" s="763" t="s">
        <v>519</v>
      </c>
      <c r="AC40" s="763" t="s">
        <v>514</v>
      </c>
      <c r="AD40" s="974" t="s">
        <v>481</v>
      </c>
      <c r="AE40" s="974" t="s">
        <v>481</v>
      </c>
      <c r="AF40" s="974" t="s">
        <v>481</v>
      </c>
      <c r="AG40" s="974" t="s">
        <v>481</v>
      </c>
      <c r="AH40" s="924">
        <v>196</v>
      </c>
      <c r="AI40" s="925">
        <v>37</v>
      </c>
    </row>
    <row r="41" spans="1:38" ht="21.95" customHeight="1">
      <c r="A41" s="541">
        <v>7</v>
      </c>
      <c r="B41" s="153" t="s">
        <v>522</v>
      </c>
      <c r="C41" s="768">
        <v>6</v>
      </c>
      <c r="D41" s="768">
        <v>6</v>
      </c>
      <c r="E41" s="768">
        <v>6</v>
      </c>
      <c r="F41" s="768">
        <v>6</v>
      </c>
      <c r="G41" s="768" t="s">
        <v>482</v>
      </c>
      <c r="H41" s="768" t="s">
        <v>482</v>
      </c>
      <c r="I41" s="768" t="s">
        <v>481</v>
      </c>
      <c r="J41" s="768" t="s">
        <v>481</v>
      </c>
      <c r="K41" s="768" t="s">
        <v>481</v>
      </c>
      <c r="L41" s="768" t="s">
        <v>481</v>
      </c>
      <c r="M41" s="768" t="s">
        <v>481</v>
      </c>
      <c r="N41" s="768"/>
      <c r="O41" s="768"/>
      <c r="P41" s="768">
        <v>1</v>
      </c>
      <c r="Q41" s="768">
        <v>1</v>
      </c>
      <c r="R41" s="768">
        <v>1</v>
      </c>
      <c r="S41" s="768">
        <v>1</v>
      </c>
      <c r="T41" s="768">
        <v>1</v>
      </c>
      <c r="U41" s="768"/>
      <c r="V41" s="768"/>
      <c r="W41" s="768">
        <v>10</v>
      </c>
      <c r="X41" s="768">
        <v>10</v>
      </c>
      <c r="Y41" s="768">
        <v>10</v>
      </c>
      <c r="Z41" s="768">
        <v>10</v>
      </c>
      <c r="AA41" s="768">
        <v>10</v>
      </c>
      <c r="AB41" s="768" t="s">
        <v>514</v>
      </c>
      <c r="AC41" s="768" t="s">
        <v>514</v>
      </c>
      <c r="AD41" s="768" t="s">
        <v>481</v>
      </c>
      <c r="AE41" s="768" t="s">
        <v>481</v>
      </c>
      <c r="AF41" s="768" t="s">
        <v>481</v>
      </c>
      <c r="AG41" s="774" t="s">
        <v>481</v>
      </c>
      <c r="AH41" s="924">
        <v>173</v>
      </c>
      <c r="AI41" s="925">
        <v>37</v>
      </c>
    </row>
    <row r="42" spans="1:38" ht="21.95" customHeight="1" thickBot="1">
      <c r="A42" s="543">
        <v>12</v>
      </c>
      <c r="B42" s="544" t="s">
        <v>523</v>
      </c>
      <c r="C42" s="761">
        <v>7</v>
      </c>
      <c r="D42" s="761" t="s">
        <v>553</v>
      </c>
      <c r="E42" s="761" t="s">
        <v>554</v>
      </c>
      <c r="F42" s="761" t="s">
        <v>554</v>
      </c>
      <c r="G42" s="761"/>
      <c r="H42" s="761"/>
      <c r="I42" s="761">
        <v>4</v>
      </c>
      <c r="J42" s="761">
        <v>4</v>
      </c>
      <c r="K42" s="761">
        <v>4</v>
      </c>
      <c r="L42" s="761">
        <v>4</v>
      </c>
      <c r="M42" s="761">
        <v>4</v>
      </c>
      <c r="N42" s="761"/>
      <c r="O42" s="761"/>
      <c r="P42" s="761">
        <v>3</v>
      </c>
      <c r="Q42" s="761">
        <v>3</v>
      </c>
      <c r="R42" s="761">
        <v>3</v>
      </c>
      <c r="S42" s="761">
        <v>3</v>
      </c>
      <c r="T42" s="761">
        <v>3</v>
      </c>
      <c r="U42" s="761"/>
      <c r="V42" s="761"/>
      <c r="W42" s="761">
        <v>11</v>
      </c>
      <c r="X42" s="761">
        <v>11</v>
      </c>
      <c r="Y42" s="761">
        <v>11</v>
      </c>
      <c r="Z42" s="761">
        <v>11</v>
      </c>
      <c r="AA42" s="761">
        <v>11</v>
      </c>
      <c r="AB42" s="761" t="s">
        <v>517</v>
      </c>
      <c r="AC42" s="761" t="s">
        <v>517</v>
      </c>
      <c r="AD42" s="967" t="s">
        <v>481</v>
      </c>
      <c r="AE42" s="967" t="s">
        <v>481</v>
      </c>
      <c r="AF42" s="967" t="s">
        <v>481</v>
      </c>
      <c r="AG42" s="968" t="s">
        <v>481</v>
      </c>
      <c r="AH42" s="924">
        <v>185</v>
      </c>
      <c r="AI42" s="925">
        <v>37</v>
      </c>
    </row>
    <row r="43" spans="1:38" ht="21.95" customHeight="1">
      <c r="A43" s="545">
        <v>3</v>
      </c>
      <c r="B43" s="836" t="s">
        <v>524</v>
      </c>
      <c r="C43" s="764" t="s">
        <v>481</v>
      </c>
      <c r="D43" s="764" t="s">
        <v>481</v>
      </c>
      <c r="E43" s="764" t="s">
        <v>481</v>
      </c>
      <c r="F43" s="764" t="s">
        <v>481</v>
      </c>
      <c r="G43" s="764"/>
      <c r="H43" s="764"/>
      <c r="I43" s="972">
        <v>1</v>
      </c>
      <c r="J43" s="972">
        <v>1</v>
      </c>
      <c r="K43" s="972">
        <v>1</v>
      </c>
      <c r="L43" s="972">
        <v>1</v>
      </c>
      <c r="M43" s="972">
        <v>1</v>
      </c>
      <c r="N43" s="972"/>
      <c r="O43" s="972"/>
      <c r="P43" s="972">
        <v>9</v>
      </c>
      <c r="Q43" s="972">
        <v>9</v>
      </c>
      <c r="R43" s="1124">
        <v>9</v>
      </c>
      <c r="S43" s="972">
        <v>9</v>
      </c>
      <c r="T43" s="972">
        <v>9</v>
      </c>
      <c r="U43" s="972" t="s">
        <v>519</v>
      </c>
      <c r="V43" s="972" t="s">
        <v>514</v>
      </c>
      <c r="W43" s="972" t="s">
        <v>481</v>
      </c>
      <c r="X43" s="972" t="s">
        <v>481</v>
      </c>
      <c r="Y43" s="972" t="s">
        <v>481</v>
      </c>
      <c r="Z43" s="972" t="s">
        <v>481</v>
      </c>
      <c r="AA43" s="972" t="s">
        <v>481</v>
      </c>
      <c r="AB43" s="972"/>
      <c r="AC43" s="972"/>
      <c r="AD43" s="764">
        <v>6</v>
      </c>
      <c r="AE43" s="764">
        <v>6</v>
      </c>
      <c r="AF43" s="764">
        <v>6</v>
      </c>
      <c r="AG43" s="777">
        <v>6</v>
      </c>
      <c r="AH43" s="924">
        <v>93</v>
      </c>
      <c r="AI43" s="925">
        <v>37</v>
      </c>
    </row>
    <row r="44" spans="1:38" ht="21.95" customHeight="1">
      <c r="A44" s="541">
        <v>8</v>
      </c>
      <c r="B44" s="319" t="s">
        <v>525</v>
      </c>
      <c r="C44" s="768" t="s">
        <v>481</v>
      </c>
      <c r="D44" s="768" t="s">
        <v>481</v>
      </c>
      <c r="E44" s="768" t="s">
        <v>481</v>
      </c>
      <c r="F44" s="768" t="s">
        <v>481</v>
      </c>
      <c r="G44" s="778"/>
      <c r="H44" s="768"/>
      <c r="I44" s="768">
        <v>8</v>
      </c>
      <c r="J44" s="768">
        <v>8</v>
      </c>
      <c r="K44" s="768">
        <v>8</v>
      </c>
      <c r="L44" s="768">
        <v>8</v>
      </c>
      <c r="M44" s="768">
        <v>8</v>
      </c>
      <c r="N44" s="768"/>
      <c r="O44" s="768"/>
      <c r="P44" s="768">
        <v>10</v>
      </c>
      <c r="Q44" s="769">
        <v>10</v>
      </c>
      <c r="R44" s="768">
        <v>10</v>
      </c>
      <c r="S44" s="779">
        <v>10</v>
      </c>
      <c r="T44" s="768">
        <v>10</v>
      </c>
      <c r="U44" s="768" t="s">
        <v>514</v>
      </c>
      <c r="V44" s="768" t="s">
        <v>514</v>
      </c>
      <c r="W44" s="768" t="s">
        <v>481</v>
      </c>
      <c r="X44" s="768" t="s">
        <v>481</v>
      </c>
      <c r="Y44" s="768" t="s">
        <v>481</v>
      </c>
      <c r="Z44" s="768" t="s">
        <v>481</v>
      </c>
      <c r="AA44" s="768" t="s">
        <v>481</v>
      </c>
      <c r="AB44" s="980" t="s">
        <v>515</v>
      </c>
      <c r="AC44" s="980" t="s">
        <v>515</v>
      </c>
      <c r="AD44" s="768">
        <v>7</v>
      </c>
      <c r="AE44" s="768">
        <v>7</v>
      </c>
      <c r="AF44" s="768">
        <v>7</v>
      </c>
      <c r="AG44" s="768">
        <v>7</v>
      </c>
      <c r="AH44" s="924">
        <v>100.5</v>
      </c>
      <c r="AI44" s="925">
        <v>12.5</v>
      </c>
    </row>
    <row r="45" spans="1:38" ht="21.95" customHeight="1" thickBot="1">
      <c r="A45" s="543">
        <v>13</v>
      </c>
      <c r="B45" s="52" t="s">
        <v>526</v>
      </c>
      <c r="C45" s="761">
        <v>4</v>
      </c>
      <c r="D45" s="761">
        <v>4</v>
      </c>
      <c r="E45" s="761">
        <v>4</v>
      </c>
      <c r="F45" s="761">
        <v>4</v>
      </c>
      <c r="G45" s="761"/>
      <c r="H45" s="761"/>
      <c r="I45" s="761">
        <v>3</v>
      </c>
      <c r="J45" s="761">
        <v>3</v>
      </c>
      <c r="K45" s="761">
        <v>3</v>
      </c>
      <c r="L45" s="761">
        <v>3</v>
      </c>
      <c r="M45" s="761">
        <v>3</v>
      </c>
      <c r="N45" s="761"/>
      <c r="O45" s="761"/>
      <c r="P45" s="761">
        <v>11</v>
      </c>
      <c r="Q45" s="761">
        <v>11</v>
      </c>
      <c r="R45" s="770">
        <v>11</v>
      </c>
      <c r="S45" s="761">
        <v>11</v>
      </c>
      <c r="T45" s="761">
        <v>11</v>
      </c>
      <c r="U45" s="761" t="s">
        <v>517</v>
      </c>
      <c r="V45" s="761" t="s">
        <v>517</v>
      </c>
      <c r="W45" s="761" t="s">
        <v>481</v>
      </c>
      <c r="X45" s="761" t="s">
        <v>481</v>
      </c>
      <c r="Y45" s="761" t="s">
        <v>481</v>
      </c>
      <c r="Z45" s="761" t="s">
        <v>481</v>
      </c>
      <c r="AA45" s="761" t="s">
        <v>481</v>
      </c>
      <c r="AB45" s="761"/>
      <c r="AC45" s="761"/>
      <c r="AD45" s="967">
        <v>8</v>
      </c>
      <c r="AE45" s="967">
        <v>8</v>
      </c>
      <c r="AF45" s="967">
        <v>8</v>
      </c>
      <c r="AG45" s="967">
        <v>8</v>
      </c>
      <c r="AH45" s="924">
        <v>185</v>
      </c>
      <c r="AI45" s="925">
        <v>37</v>
      </c>
    </row>
    <row r="46" spans="1:38" ht="21.95" customHeight="1">
      <c r="A46" s="545">
        <v>4</v>
      </c>
      <c r="B46" s="319" t="s">
        <v>527</v>
      </c>
      <c r="C46" s="970">
        <v>1</v>
      </c>
      <c r="D46" s="970">
        <v>1</v>
      </c>
      <c r="E46" s="970">
        <v>1</v>
      </c>
      <c r="F46" s="970">
        <v>1</v>
      </c>
      <c r="G46" s="970"/>
      <c r="H46" s="970"/>
      <c r="I46" s="768">
        <v>9</v>
      </c>
      <c r="J46" s="764">
        <v>9</v>
      </c>
      <c r="K46" s="764">
        <v>9</v>
      </c>
      <c r="L46" s="764">
        <v>9</v>
      </c>
      <c r="M46" s="764">
        <v>9</v>
      </c>
      <c r="N46" s="764" t="s">
        <v>519</v>
      </c>
      <c r="O46" s="764" t="s">
        <v>514</v>
      </c>
      <c r="P46" s="764" t="s">
        <v>481</v>
      </c>
      <c r="Q46" s="764" t="s">
        <v>481</v>
      </c>
      <c r="R46" s="764" t="s">
        <v>481</v>
      </c>
      <c r="S46" s="764" t="s">
        <v>481</v>
      </c>
      <c r="T46" s="764" t="s">
        <v>481</v>
      </c>
      <c r="U46" s="764"/>
      <c r="V46" s="764"/>
      <c r="W46" s="764">
        <v>6</v>
      </c>
      <c r="X46" s="764">
        <v>6</v>
      </c>
      <c r="Y46" s="764">
        <v>6</v>
      </c>
      <c r="Z46" s="764">
        <v>6</v>
      </c>
      <c r="AA46" s="764">
        <v>6</v>
      </c>
      <c r="AB46" s="764" t="s">
        <v>512</v>
      </c>
      <c r="AC46" s="764" t="s">
        <v>513</v>
      </c>
      <c r="AD46" s="764" t="s">
        <v>481</v>
      </c>
      <c r="AE46" s="764" t="s">
        <v>481</v>
      </c>
      <c r="AF46" s="764" t="s">
        <v>481</v>
      </c>
      <c r="AG46" s="771" t="s">
        <v>481</v>
      </c>
      <c r="AH46" s="924">
        <v>126.5</v>
      </c>
      <c r="AI46" s="925">
        <v>37</v>
      </c>
    </row>
    <row r="47" spans="1:38" ht="21.95" customHeight="1">
      <c r="A47" s="541">
        <v>9</v>
      </c>
      <c r="B47" s="319" t="s">
        <v>528</v>
      </c>
      <c r="C47" s="1038">
        <v>5</v>
      </c>
      <c r="D47" s="1038">
        <v>5</v>
      </c>
      <c r="E47" s="1038">
        <v>5</v>
      </c>
      <c r="F47" s="1038" t="s">
        <v>521</v>
      </c>
      <c r="G47" s="768"/>
      <c r="H47" s="768"/>
      <c r="I47" s="970">
        <v>10</v>
      </c>
      <c r="J47" s="970">
        <v>10</v>
      </c>
      <c r="K47" s="970">
        <v>10</v>
      </c>
      <c r="L47" s="970">
        <v>10</v>
      </c>
      <c r="M47" s="970">
        <v>10</v>
      </c>
      <c r="N47" s="970" t="s">
        <v>514</v>
      </c>
      <c r="O47" s="970" t="s">
        <v>514</v>
      </c>
      <c r="P47" s="970" t="s">
        <v>481</v>
      </c>
      <c r="Q47" s="970" t="s">
        <v>481</v>
      </c>
      <c r="R47" s="970" t="s">
        <v>481</v>
      </c>
      <c r="S47" s="970" t="s">
        <v>481</v>
      </c>
      <c r="T47" s="970" t="s">
        <v>481</v>
      </c>
      <c r="U47" s="970" t="s">
        <v>515</v>
      </c>
      <c r="V47" s="970" t="s">
        <v>515</v>
      </c>
      <c r="W47" s="970">
        <v>7</v>
      </c>
      <c r="X47" s="970">
        <v>7</v>
      </c>
      <c r="Y47" s="970">
        <v>7</v>
      </c>
      <c r="Z47" s="970">
        <v>7</v>
      </c>
      <c r="AA47" s="970">
        <v>7</v>
      </c>
      <c r="AB47" s="970"/>
      <c r="AC47" s="970"/>
      <c r="AD47" s="768">
        <v>4</v>
      </c>
      <c r="AE47" s="768">
        <v>4</v>
      </c>
      <c r="AF47" s="768">
        <v>4</v>
      </c>
      <c r="AG47" s="769">
        <v>4</v>
      </c>
      <c r="AH47" s="924">
        <v>128</v>
      </c>
      <c r="AI47" s="925">
        <v>37</v>
      </c>
    </row>
    <row r="48" spans="1:38" ht="21.95" customHeight="1" thickBot="1">
      <c r="A48" s="543">
        <v>14</v>
      </c>
      <c r="B48" s="544" t="s">
        <v>529</v>
      </c>
      <c r="C48" s="761">
        <v>3</v>
      </c>
      <c r="D48" s="761">
        <v>3</v>
      </c>
      <c r="E48" s="764">
        <v>3</v>
      </c>
      <c r="F48" s="764">
        <v>3</v>
      </c>
      <c r="G48" s="764"/>
      <c r="H48" s="764"/>
      <c r="I48" s="764">
        <v>11</v>
      </c>
      <c r="J48" s="764">
        <v>11</v>
      </c>
      <c r="K48" s="764">
        <v>11</v>
      </c>
      <c r="L48" s="761">
        <v>11</v>
      </c>
      <c r="M48" s="761">
        <v>11</v>
      </c>
      <c r="N48" s="761" t="s">
        <v>517</v>
      </c>
      <c r="O48" s="761" t="s">
        <v>517</v>
      </c>
      <c r="P48" s="761" t="s">
        <v>481</v>
      </c>
      <c r="Q48" s="761" t="s">
        <v>481</v>
      </c>
      <c r="R48" s="761" t="s">
        <v>481</v>
      </c>
      <c r="S48" s="761" t="s">
        <v>481</v>
      </c>
      <c r="T48" s="761" t="s">
        <v>481</v>
      </c>
      <c r="U48" s="761"/>
      <c r="V48" s="761"/>
      <c r="W48" s="1126">
        <v>8</v>
      </c>
      <c r="X48" s="1126">
        <v>8</v>
      </c>
      <c r="Y48" s="1126">
        <v>8</v>
      </c>
      <c r="Z48" s="1126">
        <v>8</v>
      </c>
      <c r="AA48" s="1126">
        <v>8</v>
      </c>
      <c r="AB48" s="761" t="s">
        <v>513</v>
      </c>
      <c r="AC48" s="761" t="s">
        <v>513</v>
      </c>
      <c r="AD48" s="761" t="s">
        <v>481</v>
      </c>
      <c r="AE48" s="761" t="s">
        <v>481</v>
      </c>
      <c r="AF48" s="761" t="s">
        <v>481</v>
      </c>
      <c r="AG48" s="780" t="s">
        <v>481</v>
      </c>
      <c r="AH48" s="924">
        <v>185</v>
      </c>
      <c r="AI48" s="925">
        <v>37</v>
      </c>
    </row>
    <row r="49" spans="1:35" ht="21.95" customHeight="1">
      <c r="A49" s="540">
        <v>5</v>
      </c>
      <c r="B49" s="542" t="s">
        <v>530</v>
      </c>
      <c r="C49" s="763">
        <v>9</v>
      </c>
      <c r="D49" s="763">
        <v>9</v>
      </c>
      <c r="E49" s="763">
        <v>9</v>
      </c>
      <c r="F49" s="763">
        <v>9</v>
      </c>
      <c r="G49" s="763" t="s">
        <v>519</v>
      </c>
      <c r="H49" s="763" t="s">
        <v>514</v>
      </c>
      <c r="I49" s="763" t="s">
        <v>481</v>
      </c>
      <c r="J49" s="763" t="s">
        <v>481</v>
      </c>
      <c r="K49" s="763" t="s">
        <v>481</v>
      </c>
      <c r="L49" s="763" t="s">
        <v>481</v>
      </c>
      <c r="M49" s="763" t="s">
        <v>481</v>
      </c>
      <c r="N49" s="763"/>
      <c r="O49" s="763"/>
      <c r="P49" s="763">
        <v>6</v>
      </c>
      <c r="Q49" s="763">
        <v>6</v>
      </c>
      <c r="R49" s="763">
        <v>6</v>
      </c>
      <c r="S49" s="768">
        <v>6</v>
      </c>
      <c r="T49" s="768">
        <v>6</v>
      </c>
      <c r="U49" s="768" t="s">
        <v>512</v>
      </c>
      <c r="V49" s="768" t="s">
        <v>513</v>
      </c>
      <c r="W49" s="768" t="s">
        <v>481</v>
      </c>
      <c r="X49" s="768" t="s">
        <v>481</v>
      </c>
      <c r="Y49" s="768" t="s">
        <v>481</v>
      </c>
      <c r="Z49" s="768" t="s">
        <v>481</v>
      </c>
      <c r="AA49" s="768" t="s">
        <v>481</v>
      </c>
      <c r="AB49" s="768"/>
      <c r="AC49" s="768"/>
      <c r="AD49" s="768">
        <v>5</v>
      </c>
      <c r="AE49" s="768">
        <v>5</v>
      </c>
      <c r="AF49" s="768">
        <v>5</v>
      </c>
      <c r="AG49" s="768">
        <v>5</v>
      </c>
      <c r="AH49" s="924">
        <v>185</v>
      </c>
      <c r="AI49" s="925">
        <v>37</v>
      </c>
    </row>
    <row r="50" spans="1:35" ht="21.95" customHeight="1">
      <c r="A50" s="541">
        <v>10</v>
      </c>
      <c r="B50" s="319" t="s">
        <v>531</v>
      </c>
      <c r="C50" s="970">
        <v>10</v>
      </c>
      <c r="D50" s="970">
        <v>10</v>
      </c>
      <c r="E50" s="970">
        <v>10</v>
      </c>
      <c r="F50" s="970">
        <v>10</v>
      </c>
      <c r="G50" s="970" t="s">
        <v>514</v>
      </c>
      <c r="H50" s="970" t="s">
        <v>514</v>
      </c>
      <c r="I50" s="768" t="s">
        <v>481</v>
      </c>
      <c r="J50" s="768" t="s">
        <v>481</v>
      </c>
      <c r="K50" s="768" t="s">
        <v>481</v>
      </c>
      <c r="L50" s="768" t="s">
        <v>481</v>
      </c>
      <c r="M50" s="768" t="s">
        <v>481</v>
      </c>
      <c r="N50" s="768" t="s">
        <v>515</v>
      </c>
      <c r="O50" s="768" t="s">
        <v>515</v>
      </c>
      <c r="P50" s="768">
        <v>7</v>
      </c>
      <c r="Q50" s="768">
        <v>7</v>
      </c>
      <c r="R50" s="768">
        <v>7</v>
      </c>
      <c r="S50" s="768">
        <v>7</v>
      </c>
      <c r="T50" s="768">
        <v>7</v>
      </c>
      <c r="U50" s="768"/>
      <c r="V50" s="768"/>
      <c r="W50" s="768">
        <v>4</v>
      </c>
      <c r="X50" s="768">
        <v>4</v>
      </c>
      <c r="Y50" s="768">
        <v>4</v>
      </c>
      <c r="Z50" s="768">
        <v>4</v>
      </c>
      <c r="AA50" s="768">
        <v>4</v>
      </c>
      <c r="AB50" s="768"/>
      <c r="AC50" s="768"/>
      <c r="AD50" s="768">
        <v>3</v>
      </c>
      <c r="AE50" s="769">
        <v>3</v>
      </c>
      <c r="AF50" s="1007">
        <v>3</v>
      </c>
      <c r="AG50" s="769">
        <v>3</v>
      </c>
      <c r="AH50" s="924">
        <v>116</v>
      </c>
      <c r="AI50" s="925">
        <v>37</v>
      </c>
    </row>
    <row r="51" spans="1:35" ht="21.95" customHeight="1" thickBot="1">
      <c r="A51" s="543">
        <v>15</v>
      </c>
      <c r="B51" s="52" t="s">
        <v>532</v>
      </c>
      <c r="C51" s="761">
        <v>11</v>
      </c>
      <c r="D51" s="761">
        <v>11</v>
      </c>
      <c r="E51" s="761">
        <v>11</v>
      </c>
      <c r="F51" s="761">
        <v>11</v>
      </c>
      <c r="G51" s="761" t="s">
        <v>517</v>
      </c>
      <c r="H51" s="761" t="s">
        <v>517</v>
      </c>
      <c r="I51" s="761" t="s">
        <v>481</v>
      </c>
      <c r="J51" s="761" t="s">
        <v>481</v>
      </c>
      <c r="K51" s="761" t="s">
        <v>481</v>
      </c>
      <c r="L51" s="761" t="s">
        <v>481</v>
      </c>
      <c r="M51" s="761" t="s">
        <v>481</v>
      </c>
      <c r="N51" s="761"/>
      <c r="O51" s="761"/>
      <c r="P51" s="761">
        <v>8</v>
      </c>
      <c r="Q51" s="761">
        <v>8</v>
      </c>
      <c r="R51" s="761">
        <v>8</v>
      </c>
      <c r="S51" s="761">
        <v>8</v>
      </c>
      <c r="T51" s="761">
        <v>8</v>
      </c>
      <c r="U51" s="761" t="s">
        <v>513</v>
      </c>
      <c r="V51" s="761" t="s">
        <v>513</v>
      </c>
      <c r="W51" s="761" t="s">
        <v>481</v>
      </c>
      <c r="X51" s="761" t="s">
        <v>481</v>
      </c>
      <c r="Y51" s="761" t="s">
        <v>481</v>
      </c>
      <c r="Z51" s="761" t="s">
        <v>481</v>
      </c>
      <c r="AA51" s="761" t="s">
        <v>481</v>
      </c>
      <c r="AB51" s="761"/>
      <c r="AC51" s="761"/>
      <c r="AD51" s="761">
        <v>1</v>
      </c>
      <c r="AE51" s="780">
        <v>1</v>
      </c>
      <c r="AF51" s="761">
        <v>1</v>
      </c>
      <c r="AG51" s="780">
        <v>1</v>
      </c>
      <c r="AH51" s="924">
        <v>187.5</v>
      </c>
      <c r="AI51" s="925">
        <v>37</v>
      </c>
    </row>
    <row r="52" spans="1:35" ht="21.95" customHeight="1">
      <c r="A52" s="516"/>
      <c r="C52" s="538"/>
      <c r="D52" s="538"/>
      <c r="E52" s="538"/>
      <c r="F52" s="538"/>
      <c r="G52" s="538"/>
      <c r="H52" s="538"/>
      <c r="I52" s="538"/>
      <c r="J52" s="538"/>
      <c r="K52" s="538"/>
      <c r="L52" s="538"/>
      <c r="M52" s="538"/>
      <c r="N52" s="538"/>
      <c r="O52" s="538"/>
      <c r="P52" s="538"/>
      <c r="Q52" s="538"/>
      <c r="R52" s="538"/>
      <c r="S52" s="538"/>
      <c r="T52" s="538"/>
      <c r="U52" s="538"/>
      <c r="V52" s="538"/>
      <c r="W52" s="538"/>
      <c r="X52" s="538"/>
      <c r="Y52" s="538"/>
      <c r="Z52" s="538"/>
      <c r="AA52" s="538"/>
      <c r="AB52" s="538"/>
      <c r="AC52" s="538"/>
      <c r="AD52" s="538"/>
      <c r="AE52" s="538"/>
      <c r="AF52" s="538"/>
      <c r="AG52" s="538"/>
      <c r="AH52" s="1"/>
    </row>
    <row r="53" spans="1:35" ht="21.95" customHeight="1">
      <c r="A53" s="516"/>
      <c r="C53" s="538"/>
      <c r="D53" s="538"/>
      <c r="E53" s="538"/>
      <c r="F53" s="538"/>
      <c r="G53" s="538"/>
      <c r="H53" s="538"/>
      <c r="I53" s="538"/>
      <c r="J53" s="538"/>
      <c r="K53" s="538"/>
      <c r="L53" s="538"/>
      <c r="M53" s="538"/>
      <c r="N53" s="538"/>
      <c r="O53" s="538"/>
      <c r="P53" s="538"/>
      <c r="Q53" s="538"/>
      <c r="R53" s="538"/>
      <c r="S53" s="538"/>
      <c r="T53" s="538"/>
      <c r="U53" s="538"/>
      <c r="V53" s="538"/>
      <c r="W53" s="538"/>
      <c r="X53" s="538"/>
      <c r="Y53" s="538"/>
      <c r="Z53" s="538"/>
      <c r="AA53" s="538"/>
      <c r="AB53" s="538"/>
      <c r="AC53" s="538"/>
      <c r="AD53" s="538"/>
      <c r="AE53" s="538"/>
      <c r="AF53" s="538"/>
      <c r="AG53" s="538"/>
      <c r="AH53" s="1"/>
    </row>
    <row r="54" spans="1:35" ht="21.95" customHeight="1">
      <c r="A54" s="516"/>
      <c r="C54" s="538"/>
      <c r="D54" s="538"/>
      <c r="E54" s="538"/>
      <c r="F54" s="538"/>
      <c r="G54" s="538"/>
      <c r="H54" s="538"/>
      <c r="I54" s="538"/>
      <c r="J54" s="538"/>
      <c r="K54" s="538"/>
      <c r="L54" s="538"/>
      <c r="M54" s="538"/>
      <c r="N54" s="538"/>
      <c r="O54" s="538"/>
      <c r="P54" s="538"/>
      <c r="Q54" s="538"/>
      <c r="R54" s="538"/>
      <c r="S54" s="538"/>
      <c r="T54" s="538"/>
      <c r="U54" s="538"/>
      <c r="V54" s="538"/>
      <c r="W54" s="538"/>
      <c r="X54" s="538"/>
      <c r="Y54" s="538"/>
      <c r="Z54" s="538"/>
      <c r="AA54" s="538"/>
      <c r="AB54" s="538"/>
      <c r="AC54" s="538"/>
      <c r="AD54" s="538"/>
      <c r="AE54" s="538"/>
      <c r="AF54" s="538"/>
      <c r="AG54" s="538"/>
      <c r="AH54" s="1"/>
    </row>
    <row r="55" spans="1:35" ht="21.95" customHeight="1" thickBot="1">
      <c r="A55" s="554"/>
      <c r="C55" s="555"/>
      <c r="D55" s="555"/>
      <c r="E55" s="555"/>
      <c r="F55" s="555"/>
      <c r="G55" s="555"/>
      <c r="H55" s="555"/>
      <c r="I55" s="555"/>
      <c r="J55" s="555"/>
      <c r="K55" s="555"/>
      <c r="L55" s="555"/>
      <c r="M55" s="555"/>
      <c r="N55" s="555"/>
      <c r="O55" s="555"/>
      <c r="P55" s="555"/>
      <c r="Q55" s="555"/>
      <c r="R55" s="555"/>
      <c r="S55" s="555"/>
      <c r="T55" s="555"/>
      <c r="U55" s="555"/>
      <c r="V55" s="555"/>
      <c r="W55" s="555"/>
      <c r="X55" s="555"/>
      <c r="Y55" s="555"/>
      <c r="Z55" s="555"/>
      <c r="AA55" s="555"/>
      <c r="AB55" s="555"/>
      <c r="AC55" s="555"/>
      <c r="AD55" s="555"/>
      <c r="AE55" s="555"/>
      <c r="AF55" s="555"/>
      <c r="AG55" s="555"/>
      <c r="AH55" s="556"/>
      <c r="AI55" s="556"/>
    </row>
    <row r="56" spans="1:35" ht="21.95" customHeight="1">
      <c r="A56" s="361"/>
      <c r="B56" s="23" t="s">
        <v>533</v>
      </c>
      <c r="C56" s="7"/>
      <c r="D56" s="414" t="s">
        <v>2</v>
      </c>
      <c r="E56" s="547"/>
      <c r="F56" s="7"/>
      <c r="G56" s="6" t="s">
        <v>3</v>
      </c>
      <c r="H56" s="548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49"/>
      <c r="R56" s="118"/>
      <c r="S56" s="6" t="s">
        <v>7</v>
      </c>
      <c r="T56" s="550"/>
      <c r="U56" s="118"/>
      <c r="V56" s="6" t="s">
        <v>8</v>
      </c>
      <c r="W56" s="549"/>
      <c r="X56" s="349" t="s">
        <v>9</v>
      </c>
      <c r="Y56" s="557"/>
      <c r="Z56" s="557"/>
      <c r="AA56" s="558"/>
      <c r="AB56" s="27" t="s">
        <v>10</v>
      </c>
      <c r="AC56" s="551"/>
      <c r="AD56" s="551"/>
      <c r="AE56" s="559"/>
      <c r="AF56" s="559"/>
      <c r="AG56" s="560"/>
    </row>
    <row r="57" spans="1:35" ht="21.95" customHeight="1">
      <c r="A57" s="361"/>
      <c r="B57" s="306" t="s">
        <v>534</v>
      </c>
      <c r="C57" s="561" t="s">
        <v>535</v>
      </c>
      <c r="D57" s="483"/>
      <c r="E57" s="484"/>
      <c r="F57" s="561" t="s">
        <v>535</v>
      </c>
      <c r="G57" s="483"/>
      <c r="H57" s="484"/>
      <c r="I57" s="561" t="s">
        <v>535</v>
      </c>
      <c r="J57" s="483"/>
      <c r="K57" s="484"/>
      <c r="L57" s="561" t="s">
        <v>535</v>
      </c>
      <c r="M57" s="483"/>
      <c r="N57" s="484"/>
      <c r="O57" s="561" t="s">
        <v>116</v>
      </c>
      <c r="P57" s="483"/>
      <c r="Q57" s="484"/>
      <c r="R57" s="561"/>
      <c r="S57" s="483"/>
      <c r="T57" s="484"/>
      <c r="U57" s="561"/>
      <c r="V57" s="483"/>
      <c r="W57" s="484"/>
      <c r="X57" s="561"/>
      <c r="Y57" s="483"/>
      <c r="Z57" s="483"/>
      <c r="AA57" s="483"/>
      <c r="AB57" s="476"/>
      <c r="AC57" s="483"/>
      <c r="AD57" s="483"/>
      <c r="AE57" s="483"/>
      <c r="AF57" s="483"/>
      <c r="AG57" s="562"/>
    </row>
    <row r="58" spans="1:35" ht="21.95" customHeight="1">
      <c r="A58" s="361"/>
      <c r="B58" s="306" t="s">
        <v>536</v>
      </c>
      <c r="C58" s="561" t="s">
        <v>147</v>
      </c>
      <c r="D58" s="483"/>
      <c r="E58" s="484"/>
      <c r="F58" s="561" t="s">
        <v>147</v>
      </c>
      <c r="G58" s="483"/>
      <c r="H58" s="484"/>
      <c r="I58" s="561" t="s">
        <v>147</v>
      </c>
      <c r="J58" s="483"/>
      <c r="K58" s="484"/>
      <c r="L58" s="561" t="s">
        <v>147</v>
      </c>
      <c r="M58" s="483"/>
      <c r="N58" s="484"/>
      <c r="O58" s="561" t="s">
        <v>537</v>
      </c>
      <c r="P58" s="483"/>
      <c r="Q58" s="484"/>
      <c r="R58" s="561"/>
      <c r="S58" s="483"/>
      <c r="T58" s="484"/>
      <c r="U58" s="561"/>
      <c r="V58" s="483"/>
      <c r="W58" s="484"/>
      <c r="X58" s="561"/>
      <c r="Y58" s="483"/>
      <c r="Z58" s="483"/>
      <c r="AA58" s="483"/>
      <c r="AB58" s="476"/>
      <c r="AC58" s="483"/>
      <c r="AD58" s="483"/>
      <c r="AE58" s="483"/>
      <c r="AF58" s="483"/>
      <c r="AG58" s="562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 thickBot="1">
      <c r="A60" s="861" t="s">
        <v>475</v>
      </c>
      <c r="B60" s="862" t="s">
        <v>476</v>
      </c>
      <c r="C60" s="863">
        <v>1</v>
      </c>
      <c r="D60" s="863">
        <v>2</v>
      </c>
      <c r="E60" s="863">
        <v>3</v>
      </c>
      <c r="F60" s="863">
        <v>4</v>
      </c>
      <c r="G60" s="880">
        <v>5</v>
      </c>
      <c r="H60" s="880">
        <v>6</v>
      </c>
      <c r="I60" s="863">
        <v>7</v>
      </c>
      <c r="J60" s="863">
        <v>8</v>
      </c>
      <c r="K60" s="863">
        <v>9</v>
      </c>
      <c r="L60" s="863">
        <v>10</v>
      </c>
      <c r="M60" s="863">
        <v>11</v>
      </c>
      <c r="N60" s="880">
        <v>12</v>
      </c>
      <c r="O60" s="880">
        <v>13</v>
      </c>
      <c r="P60" s="863">
        <v>14</v>
      </c>
      <c r="Q60" s="863">
        <v>15</v>
      </c>
      <c r="R60" s="863">
        <v>16</v>
      </c>
      <c r="S60" s="863">
        <v>17</v>
      </c>
      <c r="T60" s="863">
        <v>18</v>
      </c>
      <c r="U60" s="880">
        <v>19</v>
      </c>
      <c r="V60" s="880">
        <v>20</v>
      </c>
      <c r="W60" s="863">
        <v>21</v>
      </c>
      <c r="X60" s="863">
        <v>22</v>
      </c>
      <c r="Y60" s="863">
        <v>23</v>
      </c>
      <c r="Z60" s="863">
        <v>24</v>
      </c>
      <c r="AA60" s="863">
        <v>25</v>
      </c>
      <c r="AB60" s="880">
        <v>26</v>
      </c>
      <c r="AC60" s="880">
        <v>27</v>
      </c>
      <c r="AD60" s="863">
        <v>28</v>
      </c>
      <c r="AE60" s="863">
        <v>29</v>
      </c>
      <c r="AF60" s="863">
        <v>30</v>
      </c>
      <c r="AG60" s="943">
        <v>31</v>
      </c>
      <c r="AH60" s="864" t="s">
        <v>477</v>
      </c>
      <c r="AI60" s="865" t="s">
        <v>478</v>
      </c>
    </row>
    <row r="61" spans="1:35" ht="21.95" customHeight="1">
      <c r="A61" s="860">
        <v>8520</v>
      </c>
      <c r="B61" s="860" t="s">
        <v>538</v>
      </c>
      <c r="C61" s="972" t="s">
        <v>539</v>
      </c>
      <c r="D61" s="972" t="s">
        <v>539</v>
      </c>
      <c r="E61" s="972" t="s">
        <v>539</v>
      </c>
      <c r="F61" s="972" t="s">
        <v>539</v>
      </c>
      <c r="G61" s="972"/>
      <c r="H61" s="972"/>
      <c r="I61" s="972" t="s">
        <v>539</v>
      </c>
      <c r="J61" s="972" t="s">
        <v>539</v>
      </c>
      <c r="K61" s="972" t="s">
        <v>539</v>
      </c>
      <c r="L61" s="972" t="s">
        <v>539</v>
      </c>
      <c r="M61" s="972" t="s">
        <v>539</v>
      </c>
      <c r="N61" s="972"/>
      <c r="O61" s="972"/>
      <c r="P61" s="972" t="s">
        <v>539</v>
      </c>
      <c r="Q61" s="972" t="s">
        <v>539</v>
      </c>
      <c r="R61" s="972" t="s">
        <v>539</v>
      </c>
      <c r="S61" s="972" t="s">
        <v>539</v>
      </c>
      <c r="T61" s="972" t="s">
        <v>539</v>
      </c>
      <c r="U61" s="972"/>
      <c r="V61" s="972"/>
      <c r="W61" s="764" t="s">
        <v>539</v>
      </c>
      <c r="X61" s="764" t="s">
        <v>539</v>
      </c>
      <c r="Y61" s="764" t="s">
        <v>539</v>
      </c>
      <c r="Z61" s="764" t="s">
        <v>539</v>
      </c>
      <c r="AA61" s="764" t="s">
        <v>539</v>
      </c>
      <c r="AB61" s="764"/>
      <c r="AC61" s="764"/>
      <c r="AD61" s="764" t="s">
        <v>539</v>
      </c>
      <c r="AE61" s="764" t="s">
        <v>539</v>
      </c>
      <c r="AF61" s="764" t="s">
        <v>539</v>
      </c>
      <c r="AG61" s="764" t="s">
        <v>539</v>
      </c>
      <c r="AH61" s="510">
        <v>75.75</v>
      </c>
      <c r="AI61" s="511">
        <v>31</v>
      </c>
    </row>
    <row r="62" spans="1:35" ht="21.95" customHeight="1" thickBot="1">
      <c r="A62" s="866">
        <v>8521</v>
      </c>
      <c r="B62" s="866"/>
      <c r="C62" s="867" t="s">
        <v>540</v>
      </c>
      <c r="D62" s="867" t="s">
        <v>540</v>
      </c>
      <c r="E62" s="867" t="s">
        <v>540</v>
      </c>
      <c r="F62" s="867" t="s">
        <v>540</v>
      </c>
      <c r="G62" s="867"/>
      <c r="H62" s="867"/>
      <c r="I62" s="867" t="s">
        <v>540</v>
      </c>
      <c r="J62" s="867" t="s">
        <v>540</v>
      </c>
      <c r="K62" s="867" t="s">
        <v>540</v>
      </c>
      <c r="L62" s="867" t="s">
        <v>540</v>
      </c>
      <c r="M62" s="867" t="s">
        <v>540</v>
      </c>
      <c r="N62" s="867"/>
      <c r="O62" s="867"/>
      <c r="P62" s="867" t="s">
        <v>540</v>
      </c>
      <c r="Q62" s="867" t="s">
        <v>540</v>
      </c>
      <c r="R62" s="867" t="s">
        <v>540</v>
      </c>
      <c r="S62" s="867" t="s">
        <v>540</v>
      </c>
      <c r="T62" s="867" t="s">
        <v>540</v>
      </c>
      <c r="U62" s="867"/>
      <c r="V62" s="867"/>
      <c r="W62" s="867" t="s">
        <v>540</v>
      </c>
      <c r="X62" s="867" t="s">
        <v>540</v>
      </c>
      <c r="Y62" s="867" t="s">
        <v>540</v>
      </c>
      <c r="Z62" s="867" t="s">
        <v>540</v>
      </c>
      <c r="AA62" s="867" t="s">
        <v>540</v>
      </c>
      <c r="AB62" s="867"/>
      <c r="AC62" s="867"/>
      <c r="AD62" s="867" t="s">
        <v>540</v>
      </c>
      <c r="AE62" s="867" t="s">
        <v>540</v>
      </c>
      <c r="AF62" s="867" t="s">
        <v>540</v>
      </c>
      <c r="AG62" s="867" t="s">
        <v>540</v>
      </c>
      <c r="AH62" s="868">
        <v>185</v>
      </c>
      <c r="AI62" s="869">
        <v>37</v>
      </c>
    </row>
    <row r="63" spans="1:35" ht="21.95" customHeight="1">
      <c r="A63" s="361"/>
      <c r="B63" s="361"/>
      <c r="C63" s="538"/>
      <c r="D63" s="517"/>
      <c r="E63" s="517"/>
      <c r="F63" s="517"/>
      <c r="G63" s="517"/>
      <c r="H63" s="517"/>
      <c r="I63" s="517"/>
      <c r="J63" s="517"/>
      <c r="K63" s="517"/>
      <c r="L63" s="517"/>
      <c r="M63" s="517"/>
      <c r="N63" s="517"/>
      <c r="O63" s="517"/>
      <c r="P63" s="517"/>
      <c r="Q63" s="517"/>
      <c r="R63" s="517"/>
      <c r="S63" s="517"/>
      <c r="T63" s="517"/>
      <c r="U63" s="517"/>
      <c r="V63" s="517"/>
      <c r="W63" s="517"/>
      <c r="X63" s="517"/>
      <c r="Y63" s="517"/>
      <c r="Z63" s="517"/>
      <c r="AA63" s="517"/>
      <c r="AB63" s="517"/>
      <c r="AC63" s="517"/>
      <c r="AD63" s="517"/>
      <c r="AE63" s="517"/>
      <c r="AF63" s="517"/>
      <c r="AG63" s="517"/>
      <c r="AH63" s="556"/>
      <c r="AI63" s="556"/>
    </row>
    <row r="64" spans="1:35" ht="21.95" customHeight="1">
      <c r="A64" s="361"/>
      <c r="B64" s="361"/>
      <c r="C64" s="538"/>
      <c r="D64" s="517"/>
      <c r="E64" s="517"/>
      <c r="F64" s="517"/>
      <c r="G64" s="517"/>
      <c r="H64" s="517"/>
      <c r="I64" s="517"/>
      <c r="J64" s="517"/>
      <c r="K64" s="517"/>
      <c r="L64" s="517"/>
      <c r="M64" s="517"/>
      <c r="N64" s="517"/>
      <c r="O64" s="517"/>
      <c r="P64" s="517"/>
      <c r="Q64" s="517"/>
      <c r="R64" s="517"/>
      <c r="S64" s="517"/>
      <c r="T64" s="517"/>
      <c r="U64" s="517"/>
      <c r="V64" s="517"/>
      <c r="W64" s="517"/>
      <c r="X64" s="517"/>
      <c r="Y64" s="517"/>
      <c r="Z64" s="517"/>
      <c r="AA64" s="517"/>
      <c r="AB64" s="517"/>
      <c r="AC64" s="517"/>
      <c r="AD64" s="517"/>
      <c r="AE64" s="517"/>
      <c r="AF64" s="517"/>
      <c r="AG64" s="517"/>
      <c r="AH64" s="556"/>
      <c r="AI64" s="556"/>
    </row>
    <row r="65" spans="1:35" ht="21.95" customHeight="1">
      <c r="A65" s="361"/>
      <c r="B65" s="361"/>
      <c r="C65" s="538"/>
      <c r="D65" s="517"/>
      <c r="E65" s="517"/>
      <c r="F65" s="517"/>
      <c r="G65" s="517"/>
      <c r="H65" s="517"/>
      <c r="I65" s="517"/>
      <c r="J65" s="517"/>
      <c r="K65" s="517"/>
      <c r="L65" s="517"/>
      <c r="M65" s="517"/>
      <c r="N65" s="517"/>
      <c r="O65" s="517"/>
      <c r="P65" s="517"/>
      <c r="Q65" s="517"/>
      <c r="R65" s="517"/>
      <c r="S65" s="517"/>
      <c r="T65" s="517"/>
      <c r="U65" s="517"/>
      <c r="V65" s="517"/>
      <c r="W65" s="517"/>
      <c r="X65" s="517"/>
      <c r="Y65" s="517"/>
      <c r="Z65" s="517"/>
      <c r="AA65" s="517"/>
      <c r="AB65" s="517"/>
      <c r="AC65" s="517"/>
      <c r="AD65" s="517"/>
      <c r="AE65" s="517"/>
      <c r="AF65" s="517"/>
      <c r="AG65" s="517"/>
      <c r="AH65" s="556"/>
      <c r="AI65" s="556"/>
    </row>
    <row r="66" spans="1:35" ht="21.95" customHeight="1" thickBot="1">
      <c r="A66" s="1" t="s">
        <v>541</v>
      </c>
      <c r="D66" s="361"/>
      <c r="E66" s="361"/>
      <c r="F66" s="361"/>
      <c r="G66" s="546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35" ht="21.95" customHeight="1">
      <c r="A67" s="1"/>
      <c r="B67" s="23" t="s">
        <v>542</v>
      </c>
      <c r="C67" s="7"/>
      <c r="D67" s="522" t="s">
        <v>2</v>
      </c>
      <c r="E67" s="51"/>
      <c r="F67" s="548"/>
      <c r="G67" s="7"/>
      <c r="H67" s="522" t="s">
        <v>3</v>
      </c>
      <c r="I67" s="51"/>
      <c r="J67" s="548"/>
      <c r="K67" s="7"/>
      <c r="L67" s="522" t="s">
        <v>4</v>
      </c>
      <c r="M67" s="51"/>
      <c r="N67" s="548"/>
      <c r="O67" s="7"/>
      <c r="P67" s="522" t="s">
        <v>5</v>
      </c>
      <c r="Q67" s="51"/>
      <c r="R67" s="548"/>
      <c r="S67" s="7"/>
      <c r="T67" s="522" t="s">
        <v>6</v>
      </c>
      <c r="U67" s="51"/>
      <c r="V67" s="548"/>
      <c r="W67" s="27"/>
      <c r="X67" s="713" t="s">
        <v>7</v>
      </c>
      <c r="Y67" s="519"/>
      <c r="Z67" s="238"/>
      <c r="AA67" s="7"/>
      <c r="AB67" s="522" t="s">
        <v>8</v>
      </c>
      <c r="AC67" s="51"/>
      <c r="AD67" s="51"/>
      <c r="AE67" s="349" t="s">
        <v>9</v>
      </c>
      <c r="AF67" s="51"/>
      <c r="AG67" s="51"/>
      <c r="AH67" s="51"/>
      <c r="AI67" s="523"/>
    </row>
    <row r="68" spans="1:35" ht="21.95" customHeight="1">
      <c r="A68" s="1"/>
      <c r="B68" s="129" t="s">
        <v>324</v>
      </c>
      <c r="C68" s="563" t="s">
        <v>735</v>
      </c>
      <c r="E68" s="157"/>
      <c r="F68" s="564"/>
      <c r="G68" s="563" t="s">
        <v>735</v>
      </c>
      <c r="H68" s="157"/>
      <c r="I68" s="157"/>
      <c r="J68" s="564"/>
      <c r="K68" s="563" t="s">
        <v>735</v>
      </c>
      <c r="L68" s="157"/>
      <c r="M68" s="157"/>
      <c r="N68" s="564"/>
      <c r="O68" s="563" t="s">
        <v>544</v>
      </c>
      <c r="P68" s="157"/>
      <c r="Q68" s="157"/>
      <c r="R68" s="564"/>
      <c r="S68" s="563" t="s">
        <v>736</v>
      </c>
      <c r="T68" s="157"/>
      <c r="U68" s="157"/>
      <c r="V68" s="565"/>
      <c r="W68" s="714"/>
      <c r="X68" s="715"/>
      <c r="Y68" s="715"/>
      <c r="Z68" s="716"/>
      <c r="AA68" s="565"/>
      <c r="AB68" s="157"/>
      <c r="AC68" s="157"/>
      <c r="AD68" s="565"/>
      <c r="AE68" s="121">
        <v>37</v>
      </c>
      <c r="AG68" s="157"/>
      <c r="AH68" s="565"/>
      <c r="AI68" s="490"/>
    </row>
    <row r="69" spans="1:35" ht="21.95" customHeight="1">
      <c r="A69" s="1"/>
      <c r="B69" s="129" t="s">
        <v>325</v>
      </c>
      <c r="C69" s="563" t="s">
        <v>546</v>
      </c>
      <c r="D69" s="157"/>
      <c r="E69" s="157"/>
      <c r="F69" s="564"/>
      <c r="G69" s="563" t="s">
        <v>546</v>
      </c>
      <c r="H69" s="157"/>
      <c r="I69" s="157"/>
      <c r="J69" s="564"/>
      <c r="K69" s="563" t="s">
        <v>546</v>
      </c>
      <c r="L69" s="157"/>
      <c r="M69" s="157"/>
      <c r="N69" s="564"/>
      <c r="O69" s="563" t="s">
        <v>547</v>
      </c>
      <c r="P69" s="157"/>
      <c r="Q69" s="157"/>
      <c r="R69" s="564"/>
      <c r="S69" s="563" t="s">
        <v>548</v>
      </c>
      <c r="T69" s="157"/>
      <c r="U69" s="157"/>
      <c r="V69" s="564"/>
      <c r="W69" s="604" t="s">
        <v>549</v>
      </c>
      <c r="X69" s="55"/>
      <c r="Y69" s="55"/>
      <c r="Z69" s="55"/>
      <c r="AA69" s="563" t="s">
        <v>550</v>
      </c>
      <c r="AB69" s="563"/>
      <c r="AC69" s="563"/>
      <c r="AD69" s="563"/>
      <c r="AE69" s="155">
        <v>68.25</v>
      </c>
      <c r="AF69" s="157"/>
      <c r="AG69" s="567"/>
      <c r="AH69" s="568"/>
      <c r="AI69" s="569"/>
    </row>
    <row r="70" spans="1:35" ht="21.95" customHeight="1">
      <c r="A70" s="1"/>
      <c r="B70" s="129" t="s">
        <v>326</v>
      </c>
      <c r="C70" s="712" t="s">
        <v>167</v>
      </c>
      <c r="D70" s="157"/>
      <c r="E70" s="157"/>
      <c r="F70" s="564"/>
      <c r="G70" s="157" t="s">
        <v>167</v>
      </c>
      <c r="H70" s="157"/>
      <c r="I70" s="157"/>
      <c r="J70" s="564"/>
      <c r="K70" s="157" t="s">
        <v>167</v>
      </c>
      <c r="L70" s="157"/>
      <c r="M70" s="157"/>
      <c r="N70" s="564"/>
      <c r="O70" s="157" t="s">
        <v>167</v>
      </c>
      <c r="P70" s="157"/>
      <c r="Q70" s="157"/>
      <c r="R70" s="564"/>
      <c r="S70" s="157" t="s">
        <v>167</v>
      </c>
      <c r="T70" s="157"/>
      <c r="U70" s="157"/>
      <c r="V70" s="564"/>
      <c r="W70" s="563"/>
      <c r="X70" s="157"/>
      <c r="Y70" s="157"/>
      <c r="Z70" s="564"/>
      <c r="AA70" s="563"/>
      <c r="AB70" s="157"/>
      <c r="AC70" s="157"/>
      <c r="AD70" s="565"/>
      <c r="AE70" s="566">
        <v>0</v>
      </c>
      <c r="AF70" s="567"/>
      <c r="AG70" s="157"/>
      <c r="AH70" s="565"/>
      <c r="AI70" s="490"/>
    </row>
    <row r="71" spans="1:35" ht="21.95" customHeight="1" thickBot="1">
      <c r="A71" s="1"/>
      <c r="B71" s="47"/>
      <c r="C71" s="570"/>
      <c r="D71" s="53"/>
      <c r="E71" s="53"/>
      <c r="F71" s="571"/>
      <c r="G71" s="570"/>
      <c r="H71" s="53"/>
      <c r="I71" s="53"/>
      <c r="J71" s="571"/>
      <c r="K71" s="570"/>
      <c r="L71" s="53"/>
      <c r="M71" s="53"/>
      <c r="N71" s="571"/>
      <c r="O71" s="570"/>
      <c r="P71" s="53"/>
      <c r="Q71" s="53"/>
      <c r="R71" s="571"/>
      <c r="S71" s="570"/>
      <c r="T71" s="53"/>
      <c r="U71" s="53"/>
      <c r="V71" s="571"/>
      <c r="W71" s="53"/>
      <c r="X71" s="53"/>
      <c r="Y71" s="53"/>
      <c r="Z71" s="53"/>
      <c r="AA71" s="53"/>
      <c r="AB71" s="53"/>
      <c r="AC71" s="53"/>
      <c r="AD71" s="53"/>
      <c r="AE71" s="572"/>
      <c r="AF71" s="53"/>
      <c r="AG71" s="53"/>
      <c r="AH71" s="573"/>
      <c r="AI71" s="536"/>
    </row>
    <row r="72" spans="1:35" ht="21.95" customHeight="1" thickBot="1">
      <c r="A72" s="574"/>
      <c r="B72" s="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</row>
    <row r="73" spans="1:35" ht="21.95" customHeight="1" thickBot="1">
      <c r="A73" s="861"/>
      <c r="B73" s="862" t="s">
        <v>476</v>
      </c>
      <c r="C73" s="863">
        <v>1</v>
      </c>
      <c r="D73" s="863">
        <v>2</v>
      </c>
      <c r="E73" s="863">
        <v>3</v>
      </c>
      <c r="F73" s="863">
        <v>4</v>
      </c>
      <c r="G73" s="880">
        <v>5</v>
      </c>
      <c r="H73" s="880">
        <v>6</v>
      </c>
      <c r="I73" s="863">
        <v>7</v>
      </c>
      <c r="J73" s="863">
        <v>8</v>
      </c>
      <c r="K73" s="863">
        <v>9</v>
      </c>
      <c r="L73" s="863">
        <v>10</v>
      </c>
      <c r="M73" s="863">
        <v>11</v>
      </c>
      <c r="N73" s="880">
        <v>12</v>
      </c>
      <c r="O73" s="880">
        <v>13</v>
      </c>
      <c r="P73" s="863">
        <v>14</v>
      </c>
      <c r="Q73" s="863">
        <v>15</v>
      </c>
      <c r="R73" s="863">
        <v>16</v>
      </c>
      <c r="S73" s="863">
        <v>17</v>
      </c>
      <c r="T73" s="863">
        <v>18</v>
      </c>
      <c r="U73" s="880">
        <v>19</v>
      </c>
      <c r="V73" s="880">
        <v>20</v>
      </c>
      <c r="W73" s="863">
        <v>21</v>
      </c>
      <c r="X73" s="863">
        <v>22</v>
      </c>
      <c r="Y73" s="863">
        <v>23</v>
      </c>
      <c r="Z73" s="863">
        <v>24</v>
      </c>
      <c r="AA73" s="863">
        <v>25</v>
      </c>
      <c r="AB73" s="880">
        <v>26</v>
      </c>
      <c r="AC73" s="880">
        <v>27</v>
      </c>
      <c r="AD73" s="863">
        <v>28</v>
      </c>
      <c r="AE73" s="863">
        <v>29</v>
      </c>
      <c r="AF73" s="863">
        <v>30</v>
      </c>
      <c r="AG73" s="943">
        <v>31</v>
      </c>
      <c r="AH73" s="864" t="s">
        <v>477</v>
      </c>
      <c r="AI73" s="865" t="s">
        <v>478</v>
      </c>
    </row>
    <row r="74" spans="1:35" ht="21.95" customHeight="1">
      <c r="A74" s="870">
        <v>1</v>
      </c>
      <c r="B74" s="836" t="s">
        <v>551</v>
      </c>
      <c r="C74" s="871" t="s">
        <v>481</v>
      </c>
      <c r="D74" s="871" t="s">
        <v>481</v>
      </c>
      <c r="E74" s="871" t="s">
        <v>481</v>
      </c>
      <c r="F74" s="871" t="s">
        <v>481</v>
      </c>
      <c r="G74" s="871" t="s">
        <v>481</v>
      </c>
      <c r="H74" s="871" t="s">
        <v>481</v>
      </c>
      <c r="I74" s="871" t="s">
        <v>552</v>
      </c>
      <c r="J74" s="871" t="s">
        <v>552</v>
      </c>
      <c r="K74" s="871" t="s">
        <v>552</v>
      </c>
      <c r="L74" s="871" t="s">
        <v>552</v>
      </c>
      <c r="M74" s="871" t="s">
        <v>552</v>
      </c>
      <c r="N74" s="871" t="s">
        <v>28</v>
      </c>
      <c r="O74" s="939" t="s">
        <v>28</v>
      </c>
      <c r="P74" s="871" t="s">
        <v>553</v>
      </c>
      <c r="Q74" s="871" t="s">
        <v>553</v>
      </c>
      <c r="R74" s="976" t="s">
        <v>553</v>
      </c>
      <c r="S74" s="871" t="s">
        <v>554</v>
      </c>
      <c r="T74" s="976" t="s">
        <v>554</v>
      </c>
      <c r="U74" s="871" t="s">
        <v>555</v>
      </c>
      <c r="V74" s="871" t="s">
        <v>555</v>
      </c>
      <c r="W74" s="871" t="s">
        <v>481</v>
      </c>
      <c r="X74" s="871" t="s">
        <v>481</v>
      </c>
      <c r="Y74" s="871" t="s">
        <v>481</v>
      </c>
      <c r="Z74" s="871" t="s">
        <v>481</v>
      </c>
      <c r="AA74" s="871" t="s">
        <v>481</v>
      </c>
      <c r="AB74" s="871"/>
      <c r="AC74" s="871"/>
      <c r="AD74" s="871" t="s">
        <v>552</v>
      </c>
      <c r="AE74" s="871" t="s">
        <v>552</v>
      </c>
      <c r="AF74" s="871" t="s">
        <v>552</v>
      </c>
      <c r="AG74" s="976" t="s">
        <v>552</v>
      </c>
      <c r="AH74" s="510">
        <v>134</v>
      </c>
      <c r="AI74" s="511">
        <v>37</v>
      </c>
    </row>
    <row r="75" spans="1:35" ht="21.95" customHeight="1">
      <c r="A75" s="575">
        <v>2</v>
      </c>
      <c r="B75" s="542" t="s">
        <v>556</v>
      </c>
      <c r="C75" s="762" t="s">
        <v>552</v>
      </c>
      <c r="D75" s="762" t="s">
        <v>552</v>
      </c>
      <c r="E75" s="762" t="s">
        <v>552</v>
      </c>
      <c r="F75" s="762" t="s">
        <v>552</v>
      </c>
      <c r="G75" s="762" t="s">
        <v>28</v>
      </c>
      <c r="H75" s="762" t="s">
        <v>28</v>
      </c>
      <c r="I75" s="762" t="s">
        <v>553</v>
      </c>
      <c r="J75" s="762" t="s">
        <v>553</v>
      </c>
      <c r="K75" s="762" t="s">
        <v>553</v>
      </c>
      <c r="L75" s="762" t="s">
        <v>554</v>
      </c>
      <c r="M75" s="762" t="s">
        <v>554</v>
      </c>
      <c r="N75" s="762" t="s">
        <v>555</v>
      </c>
      <c r="O75" s="762" t="s">
        <v>555</v>
      </c>
      <c r="P75" s="762" t="s">
        <v>481</v>
      </c>
      <c r="Q75" s="762" t="s">
        <v>481</v>
      </c>
      <c r="R75" s="762" t="s">
        <v>481</v>
      </c>
      <c r="S75" s="762" t="s">
        <v>481</v>
      </c>
      <c r="T75" s="762" t="s">
        <v>481</v>
      </c>
      <c r="U75" s="762"/>
      <c r="V75" s="762"/>
      <c r="W75" s="762" t="s">
        <v>552</v>
      </c>
      <c r="X75" s="762" t="s">
        <v>552</v>
      </c>
      <c r="Y75" s="762" t="s">
        <v>552</v>
      </c>
      <c r="Z75" s="762" t="s">
        <v>552</v>
      </c>
      <c r="AA75" s="762" t="s">
        <v>552</v>
      </c>
      <c r="AB75" s="762"/>
      <c r="AC75" s="762"/>
      <c r="AD75" s="762" t="s">
        <v>553</v>
      </c>
      <c r="AE75" s="762" t="s">
        <v>553</v>
      </c>
      <c r="AF75" s="762" t="s">
        <v>553</v>
      </c>
      <c r="AG75" s="1059" t="s">
        <v>554</v>
      </c>
      <c r="AH75" s="924">
        <v>187</v>
      </c>
      <c r="AI75" s="925">
        <v>37</v>
      </c>
    </row>
    <row r="76" spans="1:35" ht="21.95" customHeight="1" thickBot="1">
      <c r="A76" s="873">
        <v>3</v>
      </c>
      <c r="B76" s="874" t="s">
        <v>558</v>
      </c>
      <c r="C76" s="990" t="s">
        <v>553</v>
      </c>
      <c r="D76" s="990" t="s">
        <v>553</v>
      </c>
      <c r="E76" s="990" t="s">
        <v>554</v>
      </c>
      <c r="F76" s="990" t="s">
        <v>554</v>
      </c>
      <c r="G76" s="990" t="s">
        <v>555</v>
      </c>
      <c r="H76" s="990" t="s">
        <v>555</v>
      </c>
      <c r="I76" s="875" t="s">
        <v>481</v>
      </c>
      <c r="J76" s="875" t="s">
        <v>481</v>
      </c>
      <c r="K76" s="875" t="s">
        <v>481</v>
      </c>
      <c r="L76" s="875" t="s">
        <v>481</v>
      </c>
      <c r="M76" s="875" t="s">
        <v>481</v>
      </c>
      <c r="N76" s="875"/>
      <c r="O76" s="875"/>
      <c r="P76" s="875" t="s">
        <v>552</v>
      </c>
      <c r="Q76" s="875" t="s">
        <v>552</v>
      </c>
      <c r="R76" s="875" t="s">
        <v>552</v>
      </c>
      <c r="S76" s="875" t="s">
        <v>552</v>
      </c>
      <c r="T76" s="875" t="s">
        <v>552</v>
      </c>
      <c r="U76" s="875"/>
      <c r="V76" s="875"/>
      <c r="W76" s="875" t="s">
        <v>553</v>
      </c>
      <c r="X76" s="875" t="s">
        <v>553</v>
      </c>
      <c r="Y76" s="875" t="s">
        <v>553</v>
      </c>
      <c r="Z76" s="875" t="s">
        <v>554</v>
      </c>
      <c r="AA76" s="875" t="s">
        <v>554</v>
      </c>
      <c r="AB76" s="875" t="s">
        <v>555</v>
      </c>
      <c r="AC76" s="875" t="s">
        <v>555</v>
      </c>
      <c r="AD76" s="875" t="s">
        <v>481</v>
      </c>
      <c r="AE76" s="875" t="s">
        <v>481</v>
      </c>
      <c r="AF76" s="875" t="s">
        <v>481</v>
      </c>
      <c r="AG76" s="875" t="s">
        <v>481</v>
      </c>
      <c r="AH76" s="868">
        <v>144.75</v>
      </c>
      <c r="AI76" s="869">
        <v>37</v>
      </c>
    </row>
    <row r="77" spans="1:35" ht="21.95" customHeight="1"/>
    <row r="78" spans="1:35" ht="21.95" customHeight="1" thickBot="1">
      <c r="A78" s="312" t="s">
        <v>559</v>
      </c>
      <c r="C78" s="555"/>
      <c r="D78" s="555"/>
      <c r="E78" s="555"/>
      <c r="F78" s="555"/>
      <c r="G78" s="555"/>
      <c r="H78" s="555"/>
      <c r="I78" s="555"/>
      <c r="J78" s="555"/>
      <c r="K78" s="555"/>
      <c r="L78" s="555"/>
      <c r="M78" s="555"/>
      <c r="N78" s="555"/>
      <c r="O78" s="555"/>
      <c r="P78" s="555"/>
      <c r="Q78" s="555"/>
      <c r="R78" s="555"/>
      <c r="S78" s="555"/>
      <c r="T78" s="555"/>
      <c r="U78" s="555"/>
      <c r="V78" s="555"/>
      <c r="W78" s="555"/>
      <c r="X78" s="555"/>
      <c r="Y78" s="555"/>
      <c r="Z78" s="555"/>
      <c r="AA78" s="555"/>
      <c r="AB78" s="555"/>
      <c r="AC78" s="555"/>
      <c r="AD78" s="555"/>
      <c r="AE78" s="555"/>
      <c r="AF78" s="555"/>
      <c r="AH78" s="556"/>
      <c r="AI78" s="556"/>
    </row>
    <row r="79" spans="1:35" ht="21.95" customHeight="1">
      <c r="A79" s="576"/>
      <c r="B79" s="23" t="s">
        <v>542</v>
      </c>
      <c r="C79" s="7"/>
      <c r="D79" s="522" t="s">
        <v>2</v>
      </c>
      <c r="E79" s="51"/>
      <c r="F79" s="548"/>
      <c r="G79" s="7"/>
      <c r="H79" s="522" t="s">
        <v>3</v>
      </c>
      <c r="I79" s="51"/>
      <c r="J79" s="548"/>
      <c r="K79" s="7"/>
      <c r="L79" s="522" t="s">
        <v>4</v>
      </c>
      <c r="M79" s="51"/>
      <c r="N79" s="548"/>
      <c r="O79" s="7"/>
      <c r="P79" s="522" t="s">
        <v>5</v>
      </c>
      <c r="Q79" s="51"/>
      <c r="R79" s="548"/>
      <c r="S79" s="7"/>
      <c r="T79" s="522" t="s">
        <v>6</v>
      </c>
      <c r="U79" s="51"/>
      <c r="V79" s="548"/>
      <c r="W79" s="27"/>
      <c r="X79" s="713" t="s">
        <v>7</v>
      </c>
      <c r="Y79" s="519"/>
      <c r="Z79" s="238"/>
      <c r="AA79" s="7"/>
      <c r="AB79" s="522" t="s">
        <v>8</v>
      </c>
      <c r="AC79" s="51"/>
      <c r="AD79" s="51"/>
      <c r="AE79" s="349" t="s">
        <v>9</v>
      </c>
      <c r="AF79" s="51"/>
      <c r="AG79" s="51"/>
      <c r="AH79" s="51"/>
      <c r="AI79" s="523"/>
    </row>
    <row r="80" spans="1:35" ht="21.95" customHeight="1">
      <c r="B80" s="129" t="s">
        <v>324</v>
      </c>
      <c r="C80" s="589" t="s">
        <v>560</v>
      </c>
      <c r="E80" s="157"/>
      <c r="F80" s="564"/>
      <c r="G80" s="563" t="s">
        <v>561</v>
      </c>
      <c r="H80" s="483" t="s">
        <v>562</v>
      </c>
      <c r="I80" s="157"/>
      <c r="J80" s="564"/>
      <c r="K80" s="589" t="s">
        <v>560</v>
      </c>
      <c r="L80" s="483"/>
      <c r="M80" s="483"/>
      <c r="N80" s="588"/>
      <c r="O80" s="589" t="s">
        <v>563</v>
      </c>
      <c r="P80" s="483"/>
      <c r="Q80" s="483"/>
      <c r="R80" s="588"/>
      <c r="S80" s="589" t="s">
        <v>738</v>
      </c>
      <c r="T80" s="483"/>
      <c r="U80" s="483"/>
      <c r="V80" s="477"/>
      <c r="W80" s="714"/>
      <c r="X80" s="715"/>
      <c r="Y80" s="715"/>
      <c r="Z80" s="716"/>
      <c r="AA80" s="565"/>
      <c r="AB80" s="157"/>
      <c r="AC80" s="157"/>
      <c r="AD80" s="565"/>
      <c r="AE80" s="121">
        <v>37</v>
      </c>
      <c r="AG80" s="157"/>
      <c r="AH80" s="565"/>
      <c r="AI80" s="490"/>
    </row>
    <row r="81" spans="1:35" ht="21.95" customHeight="1">
      <c r="B81" s="129" t="s">
        <v>325</v>
      </c>
      <c r="C81" s="589" t="s">
        <v>565</v>
      </c>
      <c r="E81" s="157"/>
      <c r="F81" s="564"/>
      <c r="G81" s="589" t="s">
        <v>565</v>
      </c>
      <c r="I81" s="157"/>
      <c r="J81" s="564"/>
      <c r="K81" s="589" t="s">
        <v>565</v>
      </c>
      <c r="L81" s="157"/>
      <c r="M81" s="157"/>
      <c r="N81" s="564"/>
      <c r="O81" s="589" t="s">
        <v>566</v>
      </c>
      <c r="P81" s="157"/>
      <c r="Q81" s="157"/>
      <c r="R81" s="564"/>
      <c r="S81" s="563" t="s">
        <v>567</v>
      </c>
      <c r="T81" s="157"/>
      <c r="U81" s="157"/>
      <c r="V81" s="564"/>
      <c r="W81" s="604" t="s">
        <v>291</v>
      </c>
      <c r="X81" s="55"/>
      <c r="Y81" s="55"/>
      <c r="Z81" s="55"/>
      <c r="AA81" s="563" t="s">
        <v>28</v>
      </c>
      <c r="AB81" s="563"/>
      <c r="AC81" s="563"/>
      <c r="AD81" s="563"/>
      <c r="AE81" s="155">
        <v>37</v>
      </c>
      <c r="AF81" s="157"/>
      <c r="AG81" s="567"/>
      <c r="AH81" s="568"/>
      <c r="AI81" s="569"/>
    </row>
    <row r="82" spans="1:35" ht="21.95" customHeight="1">
      <c r="B82" s="129" t="s">
        <v>326</v>
      </c>
      <c r="C82" s="834" t="s">
        <v>568</v>
      </c>
      <c r="D82" s="157"/>
      <c r="E82" s="157"/>
      <c r="F82" s="564"/>
      <c r="G82" s="157" t="s">
        <v>569</v>
      </c>
      <c r="H82" s="157"/>
      <c r="I82" s="157"/>
      <c r="J82" s="564"/>
      <c r="K82" s="835" t="s">
        <v>570</v>
      </c>
      <c r="L82" s="157"/>
      <c r="M82" s="157"/>
      <c r="N82" s="564"/>
      <c r="O82" s="835" t="s">
        <v>571</v>
      </c>
      <c r="P82" s="157"/>
      <c r="Q82" s="157"/>
      <c r="R82" s="564"/>
      <c r="S82" s="835" t="s">
        <v>571</v>
      </c>
      <c r="T82" s="157"/>
      <c r="U82" s="157"/>
      <c r="V82" s="564"/>
      <c r="W82" s="563"/>
      <c r="X82" s="157"/>
      <c r="Y82" s="157"/>
      <c r="Z82" s="564"/>
      <c r="AA82" s="563"/>
      <c r="AB82" s="157"/>
      <c r="AC82" s="157"/>
      <c r="AD82" s="565"/>
      <c r="AE82" s="566">
        <v>36</v>
      </c>
      <c r="AF82" s="567"/>
      <c r="AG82" s="157"/>
      <c r="AH82" s="565"/>
      <c r="AI82" s="490"/>
    </row>
    <row r="83" spans="1:35" ht="21.95" customHeight="1" thickBot="1">
      <c r="B83" s="47"/>
      <c r="C83" s="570"/>
      <c r="D83" s="53"/>
      <c r="E83" s="53"/>
      <c r="F83" s="571"/>
      <c r="G83" s="570"/>
      <c r="H83" s="53"/>
      <c r="I83" s="53"/>
      <c r="J83" s="571"/>
      <c r="K83" s="570"/>
      <c r="L83" s="53"/>
      <c r="M83" s="53"/>
      <c r="N83" s="571"/>
      <c r="O83" s="570"/>
      <c r="P83" s="53"/>
      <c r="Q83" s="53"/>
      <c r="R83" s="571"/>
      <c r="S83" s="570"/>
      <c r="T83" s="53"/>
      <c r="U83" s="53"/>
      <c r="V83" s="571"/>
      <c r="W83" s="53"/>
      <c r="X83" s="53"/>
      <c r="Y83" s="53"/>
      <c r="Z83" s="53"/>
      <c r="AA83" s="53"/>
      <c r="AB83" s="53"/>
      <c r="AC83" s="53"/>
      <c r="AD83" s="53"/>
      <c r="AE83" s="572"/>
      <c r="AF83" s="53"/>
      <c r="AG83" s="53"/>
      <c r="AH83" s="573"/>
      <c r="AI83" s="536"/>
    </row>
    <row r="84" spans="1:35" ht="21.95" customHeight="1" thickBot="1"/>
    <row r="85" spans="1:35" ht="21.95" customHeight="1" thickBot="1">
      <c r="A85" s="861"/>
      <c r="B85" s="862" t="s">
        <v>476</v>
      </c>
      <c r="C85" s="863">
        <v>1</v>
      </c>
      <c r="D85" s="863">
        <v>2</v>
      </c>
      <c r="E85" s="863">
        <v>3</v>
      </c>
      <c r="F85" s="863">
        <v>4</v>
      </c>
      <c r="G85" s="880">
        <v>5</v>
      </c>
      <c r="H85" s="880">
        <v>6</v>
      </c>
      <c r="I85" s="863">
        <v>7</v>
      </c>
      <c r="J85" s="863">
        <v>8</v>
      </c>
      <c r="K85" s="863">
        <v>9</v>
      </c>
      <c r="L85" s="863">
        <v>10</v>
      </c>
      <c r="M85" s="863">
        <v>11</v>
      </c>
      <c r="N85" s="880">
        <v>12</v>
      </c>
      <c r="O85" s="880">
        <v>13</v>
      </c>
      <c r="P85" s="863">
        <v>14</v>
      </c>
      <c r="Q85" s="863">
        <v>15</v>
      </c>
      <c r="R85" s="863">
        <v>16</v>
      </c>
      <c r="S85" s="863">
        <v>17</v>
      </c>
      <c r="T85" s="863">
        <v>18</v>
      </c>
      <c r="U85" s="880">
        <v>19</v>
      </c>
      <c r="V85" s="880">
        <v>20</v>
      </c>
      <c r="W85" s="863">
        <v>21</v>
      </c>
      <c r="X85" s="863">
        <v>22</v>
      </c>
      <c r="Y85" s="863">
        <v>23</v>
      </c>
      <c r="Z85" s="863">
        <v>24</v>
      </c>
      <c r="AA85" s="863">
        <v>25</v>
      </c>
      <c r="AB85" s="880">
        <v>26</v>
      </c>
      <c r="AC85" s="880">
        <v>27</v>
      </c>
      <c r="AD85" s="863">
        <v>28</v>
      </c>
      <c r="AE85" s="863">
        <v>29</v>
      </c>
      <c r="AF85" s="863">
        <v>30</v>
      </c>
      <c r="AG85" s="943">
        <v>31</v>
      </c>
      <c r="AH85" s="864" t="s">
        <v>477</v>
      </c>
      <c r="AI85" s="865" t="s">
        <v>478</v>
      </c>
    </row>
    <row r="86" spans="1:35" ht="21.95" customHeight="1">
      <c r="A86" s="870">
        <v>1</v>
      </c>
      <c r="B86" s="54" t="s">
        <v>572</v>
      </c>
      <c r="C86" s="871" t="s">
        <v>554</v>
      </c>
      <c r="D86" s="871" t="s">
        <v>554</v>
      </c>
      <c r="E86" s="871" t="s">
        <v>751</v>
      </c>
      <c r="F86" s="871" t="s">
        <v>751</v>
      </c>
      <c r="G86" s="871"/>
      <c r="H86" s="871"/>
      <c r="I86" s="871" t="s">
        <v>561</v>
      </c>
      <c r="J86" s="871" t="s">
        <v>561</v>
      </c>
      <c r="K86" s="871" t="s">
        <v>561</v>
      </c>
      <c r="L86" s="871" t="s">
        <v>561</v>
      </c>
      <c r="M86" s="871" t="s">
        <v>561</v>
      </c>
      <c r="N86" s="871"/>
      <c r="O86" s="871"/>
      <c r="P86" s="871" t="s">
        <v>573</v>
      </c>
      <c r="Q86" s="871" t="s">
        <v>573</v>
      </c>
      <c r="R86" s="871" t="s">
        <v>573</v>
      </c>
      <c r="S86" s="871" t="s">
        <v>573</v>
      </c>
      <c r="T86" s="871" t="s">
        <v>573</v>
      </c>
      <c r="U86" s="871"/>
      <c r="V86" s="871"/>
      <c r="W86" s="871" t="s">
        <v>554</v>
      </c>
      <c r="X86" s="871" t="s">
        <v>554</v>
      </c>
      <c r="Y86" s="871" t="s">
        <v>554</v>
      </c>
      <c r="Z86" s="871" t="s">
        <v>553</v>
      </c>
      <c r="AA86" s="871" t="s">
        <v>553</v>
      </c>
      <c r="AB86" s="871"/>
      <c r="AC86" s="871"/>
      <c r="AD86" s="871" t="s">
        <v>561</v>
      </c>
      <c r="AE86" s="871" t="s">
        <v>561</v>
      </c>
      <c r="AF86" s="871" t="s">
        <v>561</v>
      </c>
      <c r="AG86" s="871" t="s">
        <v>561</v>
      </c>
      <c r="AH86" s="510">
        <v>240.5</v>
      </c>
      <c r="AI86" s="511">
        <v>37</v>
      </c>
    </row>
    <row r="87" spans="1:35" ht="21.95" customHeight="1" thickBot="1">
      <c r="A87" s="575">
        <v>2</v>
      </c>
      <c r="B87" s="853" t="s">
        <v>574</v>
      </c>
      <c r="C87" s="762" t="s">
        <v>561</v>
      </c>
      <c r="D87" s="762" t="s">
        <v>561</v>
      </c>
      <c r="E87" s="762" t="s">
        <v>561</v>
      </c>
      <c r="F87" s="762" t="s">
        <v>561</v>
      </c>
      <c r="G87" s="762"/>
      <c r="H87" s="762"/>
      <c r="I87" s="762" t="s">
        <v>539</v>
      </c>
      <c r="J87" s="762" t="s">
        <v>539</v>
      </c>
      <c r="K87" s="762" t="s">
        <v>539</v>
      </c>
      <c r="L87" s="762" t="s">
        <v>539</v>
      </c>
      <c r="M87" s="762" t="s">
        <v>539</v>
      </c>
      <c r="N87" s="762"/>
      <c r="O87" s="762"/>
      <c r="P87" s="762" t="s">
        <v>554</v>
      </c>
      <c r="Q87" s="762" t="s">
        <v>554</v>
      </c>
      <c r="R87" s="762" t="s">
        <v>554</v>
      </c>
      <c r="S87" s="762" t="s">
        <v>553</v>
      </c>
      <c r="T87" s="762" t="s">
        <v>553</v>
      </c>
      <c r="U87" s="762"/>
      <c r="V87" s="762"/>
      <c r="W87" s="762" t="s">
        <v>561</v>
      </c>
      <c r="X87" s="762" t="s">
        <v>561</v>
      </c>
      <c r="Y87" s="762" t="s">
        <v>561</v>
      </c>
      <c r="Z87" s="762" t="s">
        <v>561</v>
      </c>
      <c r="AA87" s="762" t="s">
        <v>561</v>
      </c>
      <c r="AB87" s="762"/>
      <c r="AC87" s="762"/>
      <c r="AD87" s="875" t="s">
        <v>573</v>
      </c>
      <c r="AE87" s="875" t="s">
        <v>573</v>
      </c>
      <c r="AF87" s="990" t="s">
        <v>573</v>
      </c>
      <c r="AG87" s="990" t="s">
        <v>573</v>
      </c>
      <c r="AH87" s="924">
        <v>254.75</v>
      </c>
      <c r="AI87" s="925">
        <v>37</v>
      </c>
    </row>
    <row r="88" spans="1:35" ht="21.95" customHeight="1" thickBot="1">
      <c r="A88" s="877">
        <v>3</v>
      </c>
      <c r="B88" s="878" t="s">
        <v>575</v>
      </c>
      <c r="C88" s="875" t="s">
        <v>553</v>
      </c>
      <c r="D88" s="875" t="s">
        <v>573</v>
      </c>
      <c r="E88" s="875" t="s">
        <v>573</v>
      </c>
      <c r="F88" s="875" t="s">
        <v>573</v>
      </c>
      <c r="G88" s="875"/>
      <c r="H88" s="875"/>
      <c r="I88" s="875" t="s">
        <v>554</v>
      </c>
      <c r="J88" s="875" t="s">
        <v>554</v>
      </c>
      <c r="K88" s="875" t="s">
        <v>554</v>
      </c>
      <c r="L88" s="875" t="s">
        <v>553</v>
      </c>
      <c r="M88" s="875" t="s">
        <v>553</v>
      </c>
      <c r="N88" s="875"/>
      <c r="O88" s="875"/>
      <c r="P88" s="762" t="s">
        <v>561</v>
      </c>
      <c r="Q88" s="762" t="s">
        <v>561</v>
      </c>
      <c r="R88" s="762" t="s">
        <v>561</v>
      </c>
      <c r="S88" s="762" t="s">
        <v>561</v>
      </c>
      <c r="T88" s="762" t="s">
        <v>561</v>
      </c>
      <c r="U88" s="875"/>
      <c r="V88" s="875"/>
      <c r="W88" s="875" t="s">
        <v>573</v>
      </c>
      <c r="X88" s="875" t="s">
        <v>573</v>
      </c>
      <c r="Y88" s="875" t="s">
        <v>573</v>
      </c>
      <c r="Z88" s="875" t="s">
        <v>573</v>
      </c>
      <c r="AA88" s="875" t="s">
        <v>573</v>
      </c>
      <c r="AB88" s="875"/>
      <c r="AC88" s="875"/>
      <c r="AD88" s="875" t="s">
        <v>554</v>
      </c>
      <c r="AE88" s="875" t="s">
        <v>554</v>
      </c>
      <c r="AF88" s="875" t="s">
        <v>554</v>
      </c>
      <c r="AG88" s="875" t="s">
        <v>553</v>
      </c>
      <c r="AH88" s="868">
        <v>128.69999999999999</v>
      </c>
      <c r="AI88" s="869">
        <v>37</v>
      </c>
    </row>
    <row r="89" spans="1:35" ht="21.95" customHeight="1">
      <c r="A89" s="576"/>
      <c r="B89" s="583"/>
      <c r="C89" s="583"/>
      <c r="D89" s="583"/>
      <c r="E89" s="583"/>
      <c r="F89" s="583"/>
      <c r="G89" s="583"/>
      <c r="H89" s="583"/>
      <c r="I89" s="555"/>
      <c r="J89" s="555"/>
      <c r="K89" s="555"/>
      <c r="L89" s="555"/>
      <c r="M89" s="555"/>
      <c r="N89" s="555"/>
      <c r="O89" s="555"/>
      <c r="P89" s="555"/>
      <c r="Q89" s="555"/>
      <c r="R89" s="555"/>
      <c r="S89" s="555"/>
      <c r="T89" s="555"/>
      <c r="U89" s="555"/>
      <c r="V89" s="555"/>
      <c r="W89" s="555"/>
      <c r="X89" s="555"/>
      <c r="Y89" s="555"/>
      <c r="Z89" s="555"/>
      <c r="AA89" s="555"/>
      <c r="AB89" s="555"/>
      <c r="AC89" s="555"/>
      <c r="AD89" s="555"/>
      <c r="AE89" s="555"/>
      <c r="AF89" s="555"/>
      <c r="AH89" s="556"/>
      <c r="AI89" s="556"/>
    </row>
    <row r="90" spans="1:35" ht="21.95" customHeight="1">
      <c r="A90" s="576"/>
      <c r="B90" s="583"/>
      <c r="C90" s="555"/>
      <c r="D90" s="555"/>
      <c r="E90" s="555"/>
      <c r="F90" s="555"/>
      <c r="G90" s="555"/>
      <c r="H90" s="555"/>
      <c r="I90" s="555"/>
      <c r="J90" s="555"/>
      <c r="K90" s="555"/>
      <c r="L90" s="555"/>
      <c r="M90" s="555"/>
      <c r="N90" s="555"/>
      <c r="O90" s="555"/>
      <c r="P90" s="555"/>
      <c r="Q90" s="555"/>
      <c r="R90" s="555"/>
      <c r="S90" s="555"/>
      <c r="T90" s="555"/>
      <c r="U90" s="555"/>
      <c r="V90" s="555"/>
      <c r="W90" s="555"/>
      <c r="X90" s="555"/>
      <c r="Y90" s="555"/>
      <c r="Z90" s="555"/>
      <c r="AA90" s="555"/>
      <c r="AB90" s="555"/>
      <c r="AC90" s="555"/>
      <c r="AD90" s="555"/>
      <c r="AE90" s="555"/>
      <c r="AF90" s="555"/>
      <c r="AG90" s="555"/>
      <c r="AH90" s="556"/>
      <c r="AI90" s="556"/>
    </row>
    <row r="91" spans="1:35" ht="21.95" customHeight="1" thickBot="1">
      <c r="A91" s="1" t="s">
        <v>576</v>
      </c>
      <c r="D91" s="361"/>
      <c r="E91" s="361"/>
      <c r="F91" s="361"/>
      <c r="G91" s="546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5" ht="21.95" customHeight="1">
      <c r="A92" s="1"/>
      <c r="B92" s="23" t="s">
        <v>577</v>
      </c>
      <c r="C92" s="7"/>
      <c r="D92" s="522" t="s">
        <v>2</v>
      </c>
      <c r="E92" s="51"/>
      <c r="F92" s="548"/>
      <c r="G92" s="7"/>
      <c r="H92" s="522" t="s">
        <v>3</v>
      </c>
      <c r="I92" s="51"/>
      <c r="J92" s="548"/>
      <c r="K92" s="7"/>
      <c r="L92" s="522" t="s">
        <v>4</v>
      </c>
      <c r="M92" s="51"/>
      <c r="N92" s="548"/>
      <c r="O92" s="7"/>
      <c r="P92" s="522" t="s">
        <v>5</v>
      </c>
      <c r="Q92" s="51"/>
      <c r="R92" s="548"/>
      <c r="S92" s="7"/>
      <c r="T92" s="522" t="s">
        <v>6</v>
      </c>
      <c r="U92" s="51"/>
      <c r="V92" s="548"/>
      <c r="W92" s="7"/>
      <c r="X92" s="522" t="s">
        <v>7</v>
      </c>
      <c r="Y92" s="51"/>
      <c r="Z92" s="548"/>
      <c r="AA92" s="7"/>
      <c r="AB92" s="522" t="s">
        <v>8</v>
      </c>
      <c r="AC92" s="51"/>
      <c r="AD92" s="51"/>
      <c r="AE92" s="425" t="s">
        <v>10</v>
      </c>
      <c r="AF92" s="51"/>
      <c r="AG92" s="51"/>
      <c r="AH92" s="51"/>
      <c r="AI92" s="523"/>
    </row>
    <row r="93" spans="1:35" ht="21.95" customHeight="1">
      <c r="A93" s="1"/>
      <c r="B93" s="129" t="s">
        <v>324</v>
      </c>
      <c r="C93" s="121" t="s">
        <v>578</v>
      </c>
      <c r="D93" s="157"/>
      <c r="E93" s="157"/>
      <c r="F93" s="564"/>
      <c r="G93" s="121" t="s">
        <v>578</v>
      </c>
      <c r="H93" s="157"/>
      <c r="I93" s="157"/>
      <c r="J93" s="564"/>
      <c r="K93" s="121" t="s">
        <v>578</v>
      </c>
      <c r="L93" s="157"/>
      <c r="M93" s="157"/>
      <c r="N93" s="564"/>
      <c r="O93" s="121" t="s">
        <v>579</v>
      </c>
      <c r="P93" s="157"/>
      <c r="Q93" s="157"/>
      <c r="R93" s="564"/>
      <c r="S93" s="121" t="s">
        <v>167</v>
      </c>
      <c r="T93" s="157"/>
      <c r="U93" s="157"/>
      <c r="V93" s="564"/>
      <c r="W93" s="795"/>
      <c r="X93" s="577"/>
      <c r="Y93" s="577"/>
      <c r="Z93" s="578"/>
      <c r="AA93" s="563"/>
      <c r="AB93" s="157"/>
      <c r="AC93" s="157"/>
      <c r="AD93" s="565"/>
      <c r="AE93" s="128">
        <v>27</v>
      </c>
      <c r="AF93" s="157"/>
      <c r="AG93" s="157" t="s">
        <v>28</v>
      </c>
      <c r="AH93" s="565"/>
      <c r="AI93" s="490"/>
    </row>
    <row r="94" spans="1:35" ht="21.95" customHeight="1">
      <c r="A94" s="1"/>
      <c r="B94" s="129" t="s">
        <v>325</v>
      </c>
      <c r="C94" s="121" t="s">
        <v>580</v>
      </c>
      <c r="D94" s="157"/>
      <c r="E94" s="157"/>
      <c r="F94" s="564"/>
      <c r="G94" s="121" t="s">
        <v>580</v>
      </c>
      <c r="H94" s="157"/>
      <c r="I94" s="157"/>
      <c r="J94" s="564"/>
      <c r="K94" s="121" t="s">
        <v>580</v>
      </c>
      <c r="L94" s="157"/>
      <c r="M94" s="157"/>
      <c r="N94" s="564"/>
      <c r="O94" s="121" t="s">
        <v>580</v>
      </c>
      <c r="P94" s="157"/>
      <c r="Q94" s="157"/>
      <c r="R94" s="564"/>
      <c r="S94" s="121" t="s">
        <v>578</v>
      </c>
      <c r="T94" s="157"/>
      <c r="U94" s="157"/>
      <c r="V94" s="564"/>
      <c r="W94" s="121"/>
      <c r="X94" s="157"/>
      <c r="Y94" s="157"/>
      <c r="Z94" s="564"/>
      <c r="AA94" s="157"/>
      <c r="AB94" s="157"/>
      <c r="AC94" s="157"/>
      <c r="AD94" s="565"/>
      <c r="AE94" s="128">
        <v>39</v>
      </c>
      <c r="AF94" s="157"/>
      <c r="AG94" s="157"/>
      <c r="AH94" s="565"/>
      <c r="AI94" s="490"/>
    </row>
    <row r="95" spans="1:35" ht="21.95" customHeight="1">
      <c r="A95" s="1"/>
      <c r="B95" s="129" t="s">
        <v>326</v>
      </c>
      <c r="C95" s="121" t="s">
        <v>580</v>
      </c>
      <c r="D95" s="157"/>
      <c r="E95" s="157"/>
      <c r="F95" s="564"/>
      <c r="G95" s="121" t="s">
        <v>580</v>
      </c>
      <c r="H95" s="157"/>
      <c r="I95" s="157"/>
      <c r="J95" s="564"/>
      <c r="K95" s="121" t="s">
        <v>580</v>
      </c>
      <c r="L95" s="157"/>
      <c r="M95" s="157"/>
      <c r="N95" s="564"/>
      <c r="O95" s="121" t="s">
        <v>580</v>
      </c>
      <c r="P95" s="157"/>
      <c r="Q95" s="157"/>
      <c r="R95" s="564"/>
      <c r="S95" s="121" t="s">
        <v>580</v>
      </c>
      <c r="T95" s="157"/>
      <c r="U95" s="157"/>
      <c r="V95" s="564"/>
      <c r="W95" s="584" t="s">
        <v>581</v>
      </c>
      <c r="X95" s="135"/>
      <c r="Y95" s="135"/>
      <c r="Z95" s="580"/>
      <c r="AA95" s="579"/>
      <c r="AB95" s="135"/>
      <c r="AC95" s="135"/>
      <c r="AD95" s="581"/>
      <c r="AE95" s="128">
        <v>45</v>
      </c>
      <c r="AF95" s="157"/>
      <c r="AG95" s="157"/>
      <c r="AH95" s="565"/>
      <c r="AI95" s="490"/>
    </row>
    <row r="96" spans="1:35" ht="21.95" customHeight="1" thickBot="1">
      <c r="A96" s="1"/>
      <c r="B96" s="16" t="s">
        <v>236</v>
      </c>
      <c r="C96" s="57"/>
      <c r="D96" s="53"/>
      <c r="E96" s="53"/>
      <c r="F96" s="571"/>
      <c r="G96" s="57"/>
      <c r="H96" s="53"/>
      <c r="I96" s="53"/>
      <c r="J96" s="571"/>
      <c r="K96" s="57"/>
      <c r="L96" s="53"/>
      <c r="M96" s="53"/>
      <c r="N96" s="571"/>
      <c r="O96" s="57"/>
      <c r="P96" s="53"/>
      <c r="Q96" s="53"/>
      <c r="R96" s="571"/>
      <c r="S96" s="57"/>
      <c r="T96" s="53"/>
      <c r="U96" s="53"/>
      <c r="V96" s="573"/>
      <c r="W96" s="57"/>
      <c r="X96" s="573"/>
      <c r="Y96" s="53"/>
      <c r="Z96" s="571"/>
      <c r="AA96" s="57"/>
      <c r="AB96" s="573"/>
      <c r="AC96" s="53"/>
      <c r="AD96" s="571"/>
      <c r="AE96" s="582"/>
      <c r="AF96" s="53"/>
      <c r="AG96" s="53"/>
      <c r="AH96" s="573"/>
      <c r="AI96" s="536"/>
    </row>
    <row r="97" spans="1:35" ht="21.95" customHeight="1" thickBot="1">
      <c r="A97" s="574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 thickBot="1">
      <c r="A98" s="861"/>
      <c r="B98" s="862" t="s">
        <v>476</v>
      </c>
      <c r="C98" s="863">
        <v>1</v>
      </c>
      <c r="D98" s="863">
        <v>2</v>
      </c>
      <c r="E98" s="863">
        <v>3</v>
      </c>
      <c r="F98" s="863">
        <v>4</v>
      </c>
      <c r="G98" s="880">
        <v>5</v>
      </c>
      <c r="H98" s="880">
        <v>6</v>
      </c>
      <c r="I98" s="863">
        <v>7</v>
      </c>
      <c r="J98" s="863">
        <v>8</v>
      </c>
      <c r="K98" s="863">
        <v>9</v>
      </c>
      <c r="L98" s="863">
        <v>10</v>
      </c>
      <c r="M98" s="863">
        <v>11</v>
      </c>
      <c r="N98" s="880">
        <v>12</v>
      </c>
      <c r="O98" s="880">
        <v>13</v>
      </c>
      <c r="P98" s="863">
        <v>14</v>
      </c>
      <c r="Q98" s="863">
        <v>15</v>
      </c>
      <c r="R98" s="863">
        <v>16</v>
      </c>
      <c r="S98" s="863">
        <v>17</v>
      </c>
      <c r="T98" s="863">
        <v>18</v>
      </c>
      <c r="U98" s="880">
        <v>19</v>
      </c>
      <c r="V98" s="880">
        <v>20</v>
      </c>
      <c r="W98" s="863">
        <v>21</v>
      </c>
      <c r="X98" s="863">
        <v>22</v>
      </c>
      <c r="Y98" s="863">
        <v>23</v>
      </c>
      <c r="Z98" s="863">
        <v>24</v>
      </c>
      <c r="AA98" s="863">
        <v>25</v>
      </c>
      <c r="AB98" s="880">
        <v>26</v>
      </c>
      <c r="AC98" s="880">
        <v>27</v>
      </c>
      <c r="AD98" s="863">
        <v>28</v>
      </c>
      <c r="AE98" s="863">
        <v>29</v>
      </c>
      <c r="AF98" s="863">
        <v>30</v>
      </c>
      <c r="AG98" s="943">
        <v>31</v>
      </c>
      <c r="AH98" s="864" t="s">
        <v>477</v>
      </c>
      <c r="AI98" s="865" t="s">
        <v>478</v>
      </c>
    </row>
    <row r="99" spans="1:35" ht="21.95" customHeight="1">
      <c r="A99" s="870">
        <v>1</v>
      </c>
      <c r="B99" s="879" t="s">
        <v>582</v>
      </c>
      <c r="C99" s="972" t="s">
        <v>583</v>
      </c>
      <c r="D99" s="972" t="s">
        <v>583</v>
      </c>
      <c r="E99" s="972" t="s">
        <v>583</v>
      </c>
      <c r="F99" s="972" t="s">
        <v>583</v>
      </c>
      <c r="G99" s="972" t="s">
        <v>583</v>
      </c>
      <c r="H99" s="972"/>
      <c r="I99" s="965" t="s">
        <v>584</v>
      </c>
      <c r="J99" s="965" t="s">
        <v>584</v>
      </c>
      <c r="K99" s="965" t="s">
        <v>584</v>
      </c>
      <c r="L99" s="965" t="s">
        <v>584</v>
      </c>
      <c r="M99" s="764" t="s">
        <v>481</v>
      </c>
      <c r="N99" s="764"/>
      <c r="O99" s="764"/>
      <c r="P99" s="764" t="s">
        <v>585</v>
      </c>
      <c r="Q99" s="764" t="s">
        <v>585</v>
      </c>
      <c r="R99" s="764" t="s">
        <v>585</v>
      </c>
      <c r="S99" s="764" t="s">
        <v>585</v>
      </c>
      <c r="T99" s="764" t="s">
        <v>585</v>
      </c>
      <c r="U99" s="764"/>
      <c r="V99" s="764"/>
      <c r="W99" s="965" t="s">
        <v>583</v>
      </c>
      <c r="X99" s="764" t="s">
        <v>583</v>
      </c>
      <c r="Y99" s="764" t="s">
        <v>583</v>
      </c>
      <c r="Z99" s="764" t="s">
        <v>583</v>
      </c>
      <c r="AA99" s="764" t="s">
        <v>583</v>
      </c>
      <c r="AB99" s="764" t="s">
        <v>583</v>
      </c>
      <c r="AC99" s="764"/>
      <c r="AD99" s="1000" t="s">
        <v>584</v>
      </c>
      <c r="AE99" s="1000" t="s">
        <v>584</v>
      </c>
      <c r="AF99" s="1000" t="s">
        <v>752</v>
      </c>
      <c r="AG99" s="764" t="s">
        <v>584</v>
      </c>
      <c r="AH99" s="510">
        <v>177</v>
      </c>
      <c r="AI99" s="511">
        <v>37</v>
      </c>
    </row>
    <row r="100" spans="1:35" ht="21.95" customHeight="1">
      <c r="A100" s="575">
        <v>2</v>
      </c>
      <c r="B100" s="857" t="s">
        <v>587</v>
      </c>
      <c r="C100" s="768" t="s">
        <v>584</v>
      </c>
      <c r="D100" s="768" t="s">
        <v>584</v>
      </c>
      <c r="E100" s="768" t="s">
        <v>584</v>
      </c>
      <c r="F100" s="768" t="s">
        <v>481</v>
      </c>
      <c r="G100" s="768"/>
      <c r="H100" s="768"/>
      <c r="I100" s="768" t="s">
        <v>585</v>
      </c>
      <c r="J100" s="768" t="s">
        <v>585</v>
      </c>
      <c r="K100" s="768" t="s">
        <v>585</v>
      </c>
      <c r="L100" s="768" t="s">
        <v>585</v>
      </c>
      <c r="M100" s="768" t="s">
        <v>585</v>
      </c>
      <c r="N100" s="768"/>
      <c r="O100" s="768"/>
      <c r="P100" s="768" t="s">
        <v>583</v>
      </c>
      <c r="Q100" s="768" t="s">
        <v>583</v>
      </c>
      <c r="R100" s="768" t="s">
        <v>583</v>
      </c>
      <c r="S100" s="768" t="s">
        <v>583</v>
      </c>
      <c r="T100" s="768" t="s">
        <v>583</v>
      </c>
      <c r="U100" s="768" t="s">
        <v>583</v>
      </c>
      <c r="V100" s="768"/>
      <c r="W100" s="768" t="s">
        <v>584</v>
      </c>
      <c r="X100" s="768" t="s">
        <v>584</v>
      </c>
      <c r="Y100" s="768" t="s">
        <v>584</v>
      </c>
      <c r="Z100" s="768" t="s">
        <v>584</v>
      </c>
      <c r="AA100" s="768" t="s">
        <v>481</v>
      </c>
      <c r="AB100" s="768"/>
      <c r="AC100" s="768"/>
      <c r="AD100" s="970" t="s">
        <v>585</v>
      </c>
      <c r="AE100" s="970" t="s">
        <v>585</v>
      </c>
      <c r="AF100" s="970" t="s">
        <v>585</v>
      </c>
      <c r="AG100" s="970" t="s">
        <v>585</v>
      </c>
      <c r="AH100" s="924">
        <v>148</v>
      </c>
      <c r="AI100" s="925">
        <v>37</v>
      </c>
    </row>
    <row r="101" spans="1:35" ht="21.95" customHeight="1">
      <c r="A101" s="575">
        <v>3</v>
      </c>
      <c r="B101" s="857" t="s">
        <v>289</v>
      </c>
      <c r="C101" s="1038" t="s">
        <v>585</v>
      </c>
      <c r="D101" s="1038" t="s">
        <v>585</v>
      </c>
      <c r="E101" s="1038" t="s">
        <v>585</v>
      </c>
      <c r="F101" s="1038" t="s">
        <v>585</v>
      </c>
      <c r="G101" s="768"/>
      <c r="H101" s="768"/>
      <c r="I101" s="1038" t="s">
        <v>753</v>
      </c>
      <c r="J101" s="768" t="s">
        <v>583</v>
      </c>
      <c r="K101" s="768" t="s">
        <v>583</v>
      </c>
      <c r="L101" s="768" t="s">
        <v>583</v>
      </c>
      <c r="M101" s="768" t="s">
        <v>583</v>
      </c>
      <c r="N101" s="768" t="s">
        <v>583</v>
      </c>
      <c r="O101" s="768"/>
      <c r="P101" s="768" t="s">
        <v>584</v>
      </c>
      <c r="Q101" s="768" t="s">
        <v>584</v>
      </c>
      <c r="R101" s="768" t="s">
        <v>584</v>
      </c>
      <c r="S101" s="768" t="s">
        <v>584</v>
      </c>
      <c r="T101" s="768" t="s">
        <v>481</v>
      </c>
      <c r="U101" s="768"/>
      <c r="V101" s="768"/>
      <c r="W101" s="768" t="s">
        <v>585</v>
      </c>
      <c r="X101" s="768" t="s">
        <v>585</v>
      </c>
      <c r="Y101" s="768" t="s">
        <v>585</v>
      </c>
      <c r="Z101" s="768" t="s">
        <v>585</v>
      </c>
      <c r="AA101" s="768" t="s">
        <v>585</v>
      </c>
      <c r="AB101" s="768"/>
      <c r="AC101" s="768"/>
      <c r="AD101" s="768" t="s">
        <v>583</v>
      </c>
      <c r="AE101" s="768" t="s">
        <v>583</v>
      </c>
      <c r="AF101" s="768" t="s">
        <v>583</v>
      </c>
      <c r="AG101" s="768" t="s">
        <v>583</v>
      </c>
      <c r="AH101" s="924">
        <v>222</v>
      </c>
      <c r="AI101" s="925">
        <v>37</v>
      </c>
    </row>
    <row r="102" spans="1:35" ht="21.95" customHeight="1">
      <c r="A102" s="575">
        <v>4</v>
      </c>
      <c r="B102" s="857"/>
      <c r="C102" s="768"/>
      <c r="D102" s="762"/>
      <c r="E102" s="768"/>
      <c r="F102" s="768"/>
      <c r="G102" s="768"/>
      <c r="H102" s="768"/>
      <c r="I102" s="768"/>
      <c r="J102" s="762"/>
      <c r="K102" s="762"/>
      <c r="L102" s="768"/>
      <c r="M102" s="768"/>
      <c r="N102" s="768"/>
      <c r="O102" s="768"/>
      <c r="P102" s="768"/>
      <c r="Q102" s="762"/>
      <c r="R102" s="762"/>
      <c r="S102" s="762"/>
      <c r="T102" s="762"/>
      <c r="U102" s="762"/>
      <c r="V102" s="762"/>
      <c r="W102" s="762"/>
      <c r="X102" s="768"/>
      <c r="Y102" s="762"/>
      <c r="Z102" s="768"/>
      <c r="AA102" s="768"/>
      <c r="AB102" s="768"/>
      <c r="AC102" s="768"/>
      <c r="AD102" s="768"/>
      <c r="AE102" s="768"/>
      <c r="AF102" s="762"/>
      <c r="AG102" s="768"/>
      <c r="AH102" s="924">
        <v>185</v>
      </c>
      <c r="AI102" s="925">
        <v>37</v>
      </c>
    </row>
    <row r="103" spans="1:35" ht="21.95" customHeight="1">
      <c r="A103" s="576"/>
      <c r="B103" s="583"/>
      <c r="C103" s="555"/>
      <c r="D103" s="538"/>
      <c r="E103" s="538"/>
      <c r="F103" s="538"/>
      <c r="G103" s="538"/>
      <c r="H103" s="538"/>
      <c r="I103" s="555"/>
      <c r="J103" s="555"/>
      <c r="K103" s="538"/>
      <c r="L103" s="538"/>
      <c r="M103" s="538"/>
      <c r="N103" s="538"/>
      <c r="O103" s="538"/>
      <c r="P103" s="538"/>
      <c r="Q103" s="555"/>
      <c r="R103" s="538"/>
      <c r="S103" s="817"/>
      <c r="T103" s="817"/>
      <c r="U103" s="817"/>
      <c r="V103" s="817"/>
      <c r="W103" s="555"/>
      <c r="X103" s="555"/>
      <c r="Y103" s="538"/>
      <c r="Z103" s="538"/>
      <c r="AA103" s="538"/>
      <c r="AB103" s="538"/>
      <c r="AC103" s="538"/>
      <c r="AD103" s="538"/>
      <c r="AE103" s="555"/>
      <c r="AF103" s="538"/>
      <c r="AG103" s="538"/>
      <c r="AH103" s="556"/>
      <c r="AI103" s="556"/>
    </row>
    <row r="104" spans="1:35" ht="21.95" customHeight="1" thickBot="1">
      <c r="A104" s="805" t="s">
        <v>588</v>
      </c>
      <c r="B104" s="538"/>
      <c r="C104" s="555"/>
      <c r="D104" s="538"/>
      <c r="E104" s="538"/>
      <c r="F104" s="538"/>
      <c r="G104" s="538"/>
      <c r="H104" s="538"/>
      <c r="I104" s="555"/>
      <c r="J104" s="555"/>
      <c r="K104" s="538"/>
      <c r="L104" s="538"/>
      <c r="M104" s="538"/>
      <c r="N104" s="538"/>
      <c r="O104" s="538"/>
      <c r="P104" s="538"/>
      <c r="Q104" s="555"/>
      <c r="R104" s="538"/>
      <c r="S104" s="538"/>
      <c r="T104" s="538"/>
      <c r="U104" s="538"/>
      <c r="V104" s="538"/>
      <c r="W104" s="555"/>
      <c r="X104" s="555"/>
      <c r="Y104" s="538"/>
      <c r="Z104" s="538"/>
      <c r="AA104" s="538"/>
      <c r="AB104" s="538"/>
      <c r="AC104" s="538"/>
      <c r="AD104" s="538"/>
      <c r="AE104" s="555"/>
      <c r="AF104" s="538"/>
      <c r="AG104" s="538"/>
      <c r="AH104" s="556"/>
      <c r="AI104" s="556"/>
    </row>
    <row r="105" spans="1:35" ht="21.95" customHeight="1">
      <c r="A105" s="576"/>
      <c r="B105" s="806" t="s">
        <v>589</v>
      </c>
      <c r="C105" s="814"/>
      <c r="D105" s="807" t="s">
        <v>2</v>
      </c>
      <c r="E105" s="808"/>
      <c r="F105" s="809"/>
      <c r="G105" s="810"/>
      <c r="H105" s="807" t="s">
        <v>3</v>
      </c>
      <c r="I105" s="808"/>
      <c r="J105" s="809"/>
      <c r="K105" s="810"/>
      <c r="L105" s="807" t="s">
        <v>4</v>
      </c>
      <c r="M105" s="808"/>
      <c r="N105" s="809"/>
      <c r="O105" s="810"/>
      <c r="P105" s="807" t="s">
        <v>5</v>
      </c>
      <c r="Q105" s="808"/>
      <c r="R105" s="809"/>
      <c r="S105" s="810"/>
      <c r="T105" s="807" t="s">
        <v>6</v>
      </c>
      <c r="U105" s="808"/>
      <c r="V105" s="809"/>
      <c r="W105" s="810"/>
      <c r="X105" s="807" t="s">
        <v>7</v>
      </c>
      <c r="Y105" s="808"/>
      <c r="Z105" s="809"/>
      <c r="AA105" s="810"/>
      <c r="AB105" s="807" t="s">
        <v>8</v>
      </c>
      <c r="AC105" s="808"/>
      <c r="AD105" s="808"/>
      <c r="AE105" s="811" t="s">
        <v>10</v>
      </c>
      <c r="AF105" s="808"/>
      <c r="AG105" s="808"/>
      <c r="AH105" s="808"/>
      <c r="AI105" s="812"/>
    </row>
    <row r="106" spans="1:35" ht="21.95" customHeight="1">
      <c r="A106" s="576"/>
      <c r="B106" s="832" t="s">
        <v>590</v>
      </c>
      <c r="C106" s="815" t="s">
        <v>591</v>
      </c>
      <c r="D106" s="831" t="s">
        <v>592</v>
      </c>
      <c r="E106" s="816"/>
      <c r="F106" s="813"/>
      <c r="G106" s="815"/>
      <c r="H106" s="831" t="s">
        <v>592</v>
      </c>
      <c r="I106" s="816"/>
      <c r="J106" s="813"/>
      <c r="K106" s="815"/>
      <c r="L106" s="831" t="s">
        <v>592</v>
      </c>
      <c r="M106" s="816"/>
      <c r="N106" s="813"/>
      <c r="O106" s="815"/>
      <c r="P106" s="831" t="s">
        <v>593</v>
      </c>
      <c r="Q106" s="816"/>
      <c r="R106" s="813"/>
      <c r="S106" s="815"/>
      <c r="T106" s="831" t="s">
        <v>594</v>
      </c>
      <c r="U106" s="816"/>
      <c r="V106" s="813"/>
      <c r="W106" s="815"/>
      <c r="X106" s="816"/>
      <c r="Y106" s="816"/>
      <c r="Z106" s="813"/>
      <c r="AA106" s="815"/>
      <c r="AB106" s="816"/>
      <c r="AC106" s="816"/>
      <c r="AD106" s="816"/>
      <c r="AE106" s="815"/>
      <c r="AF106" s="816"/>
      <c r="AG106" s="816"/>
      <c r="AH106" s="818"/>
      <c r="AI106" s="819"/>
    </row>
    <row r="107" spans="1:35" ht="21.95" customHeight="1">
      <c r="A107" s="576"/>
      <c r="B107" s="833" t="s">
        <v>595</v>
      </c>
      <c r="C107" s="815" t="s">
        <v>596</v>
      </c>
      <c r="D107" s="831" t="s">
        <v>592</v>
      </c>
      <c r="E107" s="816"/>
      <c r="F107" s="813"/>
      <c r="G107" s="815"/>
      <c r="H107" s="831" t="s">
        <v>592</v>
      </c>
      <c r="I107" s="816"/>
      <c r="J107" s="813"/>
      <c r="K107" s="815"/>
      <c r="L107" s="831" t="s">
        <v>592</v>
      </c>
      <c r="M107" s="816"/>
      <c r="N107" s="813"/>
      <c r="O107" s="815"/>
      <c r="P107" s="831" t="s">
        <v>593</v>
      </c>
      <c r="Q107" s="816"/>
      <c r="R107" s="813"/>
      <c r="S107" s="815"/>
      <c r="T107" s="831" t="s">
        <v>594</v>
      </c>
      <c r="U107" s="816"/>
      <c r="V107" s="813"/>
      <c r="W107" s="815"/>
      <c r="X107" s="816"/>
      <c r="Y107" s="816"/>
      <c r="Z107" s="813"/>
      <c r="AA107" s="815"/>
      <c r="AB107" s="816"/>
      <c r="AC107" s="816"/>
      <c r="AD107" s="816"/>
      <c r="AE107" s="815"/>
      <c r="AF107" s="816"/>
      <c r="AG107" s="816"/>
      <c r="AH107" s="818"/>
      <c r="AI107" s="819"/>
    </row>
    <row r="108" spans="1:35" ht="21.95" customHeight="1">
      <c r="A108" s="576"/>
      <c r="B108" s="833" t="s">
        <v>597</v>
      </c>
      <c r="C108" s="815" t="s">
        <v>598</v>
      </c>
      <c r="D108" s="831" t="s">
        <v>592</v>
      </c>
      <c r="E108" s="816"/>
      <c r="F108" s="813"/>
      <c r="G108" s="815"/>
      <c r="H108" s="831" t="s">
        <v>592</v>
      </c>
      <c r="I108" s="816"/>
      <c r="J108" s="813"/>
      <c r="K108" s="815"/>
      <c r="L108" s="831" t="s">
        <v>592</v>
      </c>
      <c r="M108" s="816"/>
      <c r="N108" s="813"/>
      <c r="O108" s="815"/>
      <c r="P108" s="831" t="s">
        <v>593</v>
      </c>
      <c r="Q108" s="816"/>
      <c r="R108" s="813"/>
      <c r="S108" s="815"/>
      <c r="T108" s="831" t="s">
        <v>594</v>
      </c>
      <c r="U108" s="816"/>
      <c r="V108" s="813"/>
      <c r="W108" s="815"/>
      <c r="X108" s="816"/>
      <c r="Y108" s="816"/>
      <c r="Z108" s="813"/>
      <c r="AA108" s="815"/>
      <c r="AB108" s="816"/>
      <c r="AC108" s="816"/>
      <c r="AD108" s="816"/>
      <c r="AE108" s="815"/>
      <c r="AF108" s="816"/>
      <c r="AG108" s="816"/>
      <c r="AH108" s="818"/>
      <c r="AI108" s="819"/>
    </row>
    <row r="109" spans="1:35" ht="21.95" customHeight="1">
      <c r="A109" s="576"/>
      <c r="B109" s="833" t="s">
        <v>599</v>
      </c>
      <c r="C109" s="815" t="s">
        <v>600</v>
      </c>
      <c r="D109" s="831" t="s">
        <v>592</v>
      </c>
      <c r="E109" s="816"/>
      <c r="F109" s="813"/>
      <c r="G109" s="815"/>
      <c r="H109" s="831" t="s">
        <v>592</v>
      </c>
      <c r="I109" s="816"/>
      <c r="J109" s="813"/>
      <c r="K109" s="815"/>
      <c r="L109" s="831" t="s">
        <v>592</v>
      </c>
      <c r="M109" s="816"/>
      <c r="N109" s="813"/>
      <c r="O109" s="815"/>
      <c r="P109" s="831" t="s">
        <v>593</v>
      </c>
      <c r="Q109" s="816"/>
      <c r="R109" s="813"/>
      <c r="S109" s="815"/>
      <c r="T109" s="831" t="s">
        <v>594</v>
      </c>
      <c r="U109" s="816"/>
      <c r="V109" s="813"/>
      <c r="W109" s="815"/>
      <c r="X109" s="816"/>
      <c r="Y109" s="816"/>
      <c r="Z109" s="813"/>
      <c r="AA109" s="815"/>
      <c r="AB109" s="816"/>
      <c r="AC109" s="816"/>
      <c r="AD109" s="816"/>
      <c r="AE109" s="815"/>
      <c r="AF109" s="816"/>
      <c r="AG109" s="816"/>
      <c r="AH109" s="818"/>
      <c r="AI109" s="819"/>
    </row>
    <row r="110" spans="1:35" ht="21.95" customHeight="1">
      <c r="A110" s="576"/>
      <c r="B110" s="833" t="s">
        <v>601</v>
      </c>
      <c r="C110" s="815" t="s">
        <v>602</v>
      </c>
      <c r="D110" s="831" t="s">
        <v>592</v>
      </c>
      <c r="E110" s="816"/>
      <c r="F110" s="813"/>
      <c r="G110" s="815"/>
      <c r="H110" s="831" t="s">
        <v>592</v>
      </c>
      <c r="I110" s="816"/>
      <c r="J110" s="813"/>
      <c r="K110" s="815"/>
      <c r="L110" s="831" t="s">
        <v>592</v>
      </c>
      <c r="M110" s="816"/>
      <c r="N110" s="813"/>
      <c r="O110" s="815"/>
      <c r="P110" s="831" t="s">
        <v>593</v>
      </c>
      <c r="Q110" s="816"/>
      <c r="R110" s="813"/>
      <c r="S110" s="815"/>
      <c r="T110" s="831" t="s">
        <v>594</v>
      </c>
      <c r="U110" s="816"/>
      <c r="V110" s="813"/>
      <c r="W110" s="815"/>
      <c r="X110" s="816"/>
      <c r="Y110" s="816"/>
      <c r="Z110" s="813"/>
      <c r="AA110" s="815"/>
      <c r="AB110" s="816"/>
      <c r="AC110" s="816"/>
      <c r="AD110" s="816"/>
      <c r="AE110" s="815"/>
      <c r="AF110" s="816"/>
      <c r="AG110" s="816"/>
      <c r="AH110" s="818"/>
      <c r="AI110" s="819"/>
    </row>
    <row r="111" spans="1:35" ht="21.95" customHeight="1">
      <c r="A111" s="576"/>
      <c r="B111" s="833" t="s">
        <v>603</v>
      </c>
      <c r="C111" s="815" t="s">
        <v>604</v>
      </c>
      <c r="D111" s="831" t="s">
        <v>592</v>
      </c>
      <c r="E111" s="816"/>
      <c r="F111" s="813"/>
      <c r="G111" s="815"/>
      <c r="H111" s="831" t="s">
        <v>592</v>
      </c>
      <c r="I111" s="816"/>
      <c r="J111" s="813"/>
      <c r="K111" s="815"/>
      <c r="L111" s="831" t="s">
        <v>592</v>
      </c>
      <c r="M111" s="816"/>
      <c r="N111" s="813"/>
      <c r="O111" s="815"/>
      <c r="P111" s="831" t="s">
        <v>593</v>
      </c>
      <c r="Q111" s="816"/>
      <c r="R111" s="813"/>
      <c r="S111" s="815"/>
      <c r="T111" s="831" t="s">
        <v>594</v>
      </c>
      <c r="U111" s="816"/>
      <c r="V111" s="813"/>
      <c r="W111" s="815"/>
      <c r="X111" s="816"/>
      <c r="Y111" s="816"/>
      <c r="Z111" s="813"/>
      <c r="AA111" s="815"/>
      <c r="AB111" s="816"/>
      <c r="AC111" s="816"/>
      <c r="AD111" s="816"/>
      <c r="AE111" s="815"/>
      <c r="AF111" s="816"/>
      <c r="AG111" s="816"/>
      <c r="AH111" s="818"/>
      <c r="AI111" s="819"/>
    </row>
    <row r="112" spans="1:35" ht="21.95" customHeight="1">
      <c r="A112" s="576"/>
      <c r="B112" s="833" t="s">
        <v>605</v>
      </c>
      <c r="C112" s="815" t="s">
        <v>606</v>
      </c>
      <c r="D112" s="831" t="s">
        <v>592</v>
      </c>
      <c r="E112" s="816"/>
      <c r="F112" s="813"/>
      <c r="G112" s="815"/>
      <c r="H112" s="831" t="s">
        <v>592</v>
      </c>
      <c r="I112" s="816"/>
      <c r="J112" s="813"/>
      <c r="K112" s="815"/>
      <c r="L112" s="831" t="s">
        <v>592</v>
      </c>
      <c r="M112" s="816"/>
      <c r="N112" s="813"/>
      <c r="O112" s="815"/>
      <c r="P112" s="831" t="s">
        <v>593</v>
      </c>
      <c r="Q112" s="816"/>
      <c r="R112" s="813"/>
      <c r="S112" s="815"/>
      <c r="T112" s="831" t="s">
        <v>594</v>
      </c>
      <c r="U112" s="816"/>
      <c r="V112" s="813"/>
      <c r="W112" s="815"/>
      <c r="X112" s="816"/>
      <c r="Y112" s="816"/>
      <c r="Z112" s="813"/>
      <c r="AA112" s="815"/>
      <c r="AB112" s="816"/>
      <c r="AC112" s="816"/>
      <c r="AD112" s="816"/>
      <c r="AE112" s="815"/>
      <c r="AF112" s="816"/>
      <c r="AG112" s="816"/>
      <c r="AH112" s="818"/>
      <c r="AI112" s="819"/>
    </row>
    <row r="113" spans="1:35" ht="21.95" customHeight="1">
      <c r="A113" s="576"/>
      <c r="B113" s="833" t="s">
        <v>605</v>
      </c>
      <c r="C113" s="815" t="s">
        <v>607</v>
      </c>
      <c r="D113" s="831" t="s">
        <v>592</v>
      </c>
      <c r="E113" s="816"/>
      <c r="F113" s="813"/>
      <c r="G113" s="815"/>
      <c r="H113" s="831" t="s">
        <v>592</v>
      </c>
      <c r="I113" s="816"/>
      <c r="J113" s="813"/>
      <c r="K113" s="815"/>
      <c r="L113" s="831" t="s">
        <v>592</v>
      </c>
      <c r="M113" s="816"/>
      <c r="N113" s="813"/>
      <c r="O113" s="815"/>
      <c r="P113" s="831" t="s">
        <v>593</v>
      </c>
      <c r="Q113" s="816"/>
      <c r="R113" s="813"/>
      <c r="S113" s="815"/>
      <c r="T113" s="831" t="s">
        <v>594</v>
      </c>
      <c r="U113" s="816"/>
      <c r="V113" s="813"/>
      <c r="W113" s="815"/>
      <c r="X113" s="816"/>
      <c r="Y113" s="816"/>
      <c r="Z113" s="813"/>
      <c r="AA113" s="815"/>
      <c r="AB113" s="816"/>
      <c r="AC113" s="816"/>
      <c r="AD113" s="816"/>
      <c r="AE113" s="815"/>
      <c r="AF113" s="816"/>
      <c r="AG113" s="816"/>
      <c r="AH113" s="818"/>
      <c r="AI113" s="819"/>
    </row>
    <row r="114" spans="1:35" ht="21.95" customHeight="1">
      <c r="A114" s="576"/>
      <c r="B114" s="833" t="s">
        <v>608</v>
      </c>
      <c r="C114" s="815" t="s">
        <v>609</v>
      </c>
      <c r="D114" s="831" t="s">
        <v>592</v>
      </c>
      <c r="E114" s="816"/>
      <c r="F114" s="813"/>
      <c r="G114" s="815"/>
      <c r="H114" s="831" t="s">
        <v>592</v>
      </c>
      <c r="I114" s="816"/>
      <c r="J114" s="813"/>
      <c r="K114" s="815"/>
      <c r="L114" s="831" t="s">
        <v>592</v>
      </c>
      <c r="M114" s="816"/>
      <c r="N114" s="813"/>
      <c r="O114" s="815"/>
      <c r="P114" s="831" t="s">
        <v>593</v>
      </c>
      <c r="Q114" s="816"/>
      <c r="R114" s="813"/>
      <c r="S114" s="815"/>
      <c r="T114" s="831" t="s">
        <v>594</v>
      </c>
      <c r="U114" s="816"/>
      <c r="V114" s="813"/>
      <c r="W114" s="815"/>
      <c r="X114" s="816"/>
      <c r="Y114" s="816"/>
      <c r="Z114" s="813"/>
      <c r="AA114" s="815"/>
      <c r="AB114" s="816"/>
      <c r="AC114" s="816"/>
      <c r="AD114" s="816"/>
      <c r="AE114" s="815"/>
      <c r="AF114" s="816"/>
      <c r="AG114" s="816"/>
      <c r="AH114" s="818"/>
      <c r="AI114" s="819"/>
    </row>
    <row r="115" spans="1:35" ht="21.95" customHeight="1">
      <c r="A115" s="576"/>
      <c r="B115" s="833" t="s">
        <v>610</v>
      </c>
      <c r="C115" s="815" t="s">
        <v>611</v>
      </c>
      <c r="D115" s="831" t="s">
        <v>592</v>
      </c>
      <c r="E115" s="816"/>
      <c r="F115" s="813"/>
      <c r="G115" s="815"/>
      <c r="H115" s="831" t="s">
        <v>592</v>
      </c>
      <c r="I115" s="816"/>
      <c r="J115" s="813"/>
      <c r="K115" s="815"/>
      <c r="L115" s="831" t="s">
        <v>592</v>
      </c>
      <c r="M115" s="816"/>
      <c r="N115" s="813"/>
      <c r="O115" s="815"/>
      <c r="P115" s="831" t="s">
        <v>593</v>
      </c>
      <c r="Q115" s="816"/>
      <c r="R115" s="813"/>
      <c r="S115" s="815"/>
      <c r="T115" s="831" t="s">
        <v>594</v>
      </c>
      <c r="U115" s="816"/>
      <c r="V115" s="813"/>
      <c r="W115" s="815"/>
      <c r="X115" s="816"/>
      <c r="Y115" s="816"/>
      <c r="Z115" s="813"/>
      <c r="AA115" s="815"/>
      <c r="AB115" s="816"/>
      <c r="AC115" s="816"/>
      <c r="AD115" s="816"/>
      <c r="AE115" s="815"/>
      <c r="AF115" s="816"/>
      <c r="AG115" s="816"/>
      <c r="AH115" s="818"/>
      <c r="AI115" s="819"/>
    </row>
    <row r="116" spans="1:35" ht="21.95" customHeight="1">
      <c r="A116" s="576"/>
      <c r="B116" s="833" t="s">
        <v>612</v>
      </c>
      <c r="C116" s="815" t="s">
        <v>613</v>
      </c>
      <c r="D116" s="831" t="s">
        <v>592</v>
      </c>
      <c r="E116" s="816"/>
      <c r="F116" s="813"/>
      <c r="G116" s="815"/>
      <c r="H116" s="831" t="s">
        <v>592</v>
      </c>
      <c r="I116" s="816"/>
      <c r="J116" s="813"/>
      <c r="K116" s="815"/>
      <c r="L116" s="831" t="s">
        <v>592</v>
      </c>
      <c r="M116" s="816"/>
      <c r="N116" s="813"/>
      <c r="O116" s="815"/>
      <c r="P116" s="831" t="s">
        <v>593</v>
      </c>
      <c r="Q116" s="816"/>
      <c r="R116" s="813"/>
      <c r="S116" s="815"/>
      <c r="T116" s="831" t="s">
        <v>594</v>
      </c>
      <c r="U116" s="816"/>
      <c r="V116" s="813"/>
      <c r="W116" s="815"/>
      <c r="X116" s="816"/>
      <c r="Y116" s="816"/>
      <c r="Z116" s="813"/>
      <c r="AA116" s="815"/>
      <c r="AB116" s="816"/>
      <c r="AC116" s="816"/>
      <c r="AD116" s="816"/>
      <c r="AE116" s="815"/>
      <c r="AF116" s="816"/>
      <c r="AG116" s="816"/>
      <c r="AH116" s="818"/>
      <c r="AI116" s="819"/>
    </row>
    <row r="117" spans="1:35" ht="21.95" customHeight="1" thickBot="1">
      <c r="A117" s="576"/>
      <c r="B117" s="583"/>
      <c r="C117" s="555"/>
      <c r="D117" s="538"/>
      <c r="E117" s="538"/>
      <c r="F117" s="538"/>
      <c r="G117" s="538"/>
      <c r="H117" s="538"/>
      <c r="I117" s="555"/>
      <c r="J117" s="555"/>
      <c r="K117" s="538"/>
      <c r="L117" s="538"/>
      <c r="M117" s="538"/>
      <c r="N117" s="538"/>
      <c r="O117" s="538"/>
      <c r="P117" s="538"/>
      <c r="Q117" s="555"/>
      <c r="R117" s="538"/>
      <c r="S117" s="538"/>
      <c r="T117" s="538"/>
      <c r="U117" s="538"/>
      <c r="V117" s="538"/>
      <c r="W117" s="555"/>
      <c r="X117" s="555"/>
      <c r="Y117" s="538"/>
      <c r="Z117" s="538"/>
      <c r="AA117" s="538"/>
      <c r="AB117" s="538"/>
      <c r="AC117" s="538"/>
      <c r="AD117" s="538"/>
      <c r="AE117" s="555"/>
      <c r="AF117" s="538"/>
      <c r="AG117" s="538"/>
      <c r="AH117" s="556"/>
      <c r="AI117" s="556"/>
    </row>
    <row r="118" spans="1:35" ht="21.95" customHeight="1" thickBot="1">
      <c r="A118" s="785"/>
      <c r="B118" s="883" t="s">
        <v>476</v>
      </c>
      <c r="C118" s="946">
        <v>1</v>
      </c>
      <c r="D118" s="863">
        <v>2</v>
      </c>
      <c r="E118" s="863">
        <v>3</v>
      </c>
      <c r="F118" s="863">
        <v>4</v>
      </c>
      <c r="G118" s="880">
        <v>5</v>
      </c>
      <c r="H118" s="880">
        <v>6</v>
      </c>
      <c r="I118" s="863">
        <v>7</v>
      </c>
      <c r="J118" s="863">
        <v>8</v>
      </c>
      <c r="K118" s="863">
        <v>9</v>
      </c>
      <c r="L118" s="863">
        <v>10</v>
      </c>
      <c r="M118" s="863">
        <v>11</v>
      </c>
      <c r="N118" s="880">
        <v>12</v>
      </c>
      <c r="O118" s="880">
        <v>13</v>
      </c>
      <c r="P118" s="863">
        <v>14</v>
      </c>
      <c r="Q118" s="863">
        <v>15</v>
      </c>
      <c r="R118" s="863">
        <v>16</v>
      </c>
      <c r="S118" s="863">
        <v>17</v>
      </c>
      <c r="T118" s="863">
        <v>18</v>
      </c>
      <c r="U118" s="880">
        <v>19</v>
      </c>
      <c r="V118" s="880">
        <v>20</v>
      </c>
      <c r="W118" s="863">
        <v>21</v>
      </c>
      <c r="X118" s="863">
        <v>22</v>
      </c>
      <c r="Y118" s="863">
        <v>23</v>
      </c>
      <c r="Z118" s="863">
        <v>24</v>
      </c>
      <c r="AA118" s="863">
        <v>25</v>
      </c>
      <c r="AB118" s="880">
        <v>26</v>
      </c>
      <c r="AC118" s="880">
        <v>27</v>
      </c>
      <c r="AD118" s="863">
        <v>28</v>
      </c>
      <c r="AE118" s="863">
        <v>29</v>
      </c>
      <c r="AF118" s="863">
        <v>30</v>
      </c>
      <c r="AG118" s="945">
        <v>31</v>
      </c>
      <c r="AH118" s="884" t="s">
        <v>477</v>
      </c>
      <c r="AI118" s="885" t="s">
        <v>478</v>
      </c>
    </row>
    <row r="119" spans="1:35" ht="21.95" customHeight="1">
      <c r="A119" s="576"/>
      <c r="B119" s="881" t="s">
        <v>614</v>
      </c>
      <c r="C119" s="882" t="s">
        <v>591</v>
      </c>
      <c r="D119" s="882" t="s">
        <v>591</v>
      </c>
      <c r="E119" s="882" t="s">
        <v>591</v>
      </c>
      <c r="F119" s="882" t="s">
        <v>591</v>
      </c>
      <c r="G119" s="882"/>
      <c r="H119" s="882"/>
      <c r="I119" s="882" t="s">
        <v>591</v>
      </c>
      <c r="J119" s="882" t="s">
        <v>591</v>
      </c>
      <c r="K119" s="882" t="s">
        <v>591</v>
      </c>
      <c r="L119" s="882" t="s">
        <v>591</v>
      </c>
      <c r="M119" s="882" t="s">
        <v>591</v>
      </c>
      <c r="N119" s="882"/>
      <c r="O119" s="882"/>
      <c r="P119" s="882" t="s">
        <v>591</v>
      </c>
      <c r="Q119" s="882" t="s">
        <v>591</v>
      </c>
      <c r="R119" s="882" t="s">
        <v>591</v>
      </c>
      <c r="S119" s="882" t="s">
        <v>591</v>
      </c>
      <c r="T119" s="882" t="s">
        <v>591</v>
      </c>
      <c r="U119" s="882"/>
      <c r="V119" s="882"/>
      <c r="W119" s="882"/>
      <c r="X119" s="882" t="s">
        <v>591</v>
      </c>
      <c r="Y119" s="882" t="s">
        <v>591</v>
      </c>
      <c r="Z119" s="882" t="s">
        <v>591</v>
      </c>
      <c r="AA119" s="882" t="s">
        <v>591</v>
      </c>
      <c r="AB119" s="882"/>
      <c r="AC119" s="882"/>
      <c r="AD119" s="882" t="s">
        <v>591</v>
      </c>
      <c r="AE119" s="882" t="s">
        <v>591</v>
      </c>
      <c r="AF119" s="882" t="s">
        <v>591</v>
      </c>
      <c r="AG119" s="882" t="s">
        <v>591</v>
      </c>
      <c r="AH119" s="510">
        <v>214.75</v>
      </c>
      <c r="AI119" s="511">
        <v>37</v>
      </c>
    </row>
    <row r="120" spans="1:35" ht="21.95" customHeight="1">
      <c r="A120" s="576"/>
      <c r="B120" s="804" t="s">
        <v>615</v>
      </c>
      <c r="C120" s="969" t="s">
        <v>591</v>
      </c>
      <c r="D120" s="969" t="s">
        <v>591</v>
      </c>
      <c r="E120" s="969" t="s">
        <v>591</v>
      </c>
      <c r="F120" s="969" t="s">
        <v>591</v>
      </c>
      <c r="G120" s="969"/>
      <c r="H120" s="969"/>
      <c r="I120" s="969" t="s">
        <v>591</v>
      </c>
      <c r="J120" s="969" t="s">
        <v>591</v>
      </c>
      <c r="K120" s="969" t="s">
        <v>591</v>
      </c>
      <c r="L120" s="969" t="s">
        <v>591</v>
      </c>
      <c r="M120" s="969" t="s">
        <v>591</v>
      </c>
      <c r="N120" s="969"/>
      <c r="O120" s="969"/>
      <c r="P120" s="837" t="s">
        <v>591</v>
      </c>
      <c r="Q120" s="837" t="s">
        <v>591</v>
      </c>
      <c r="R120" s="837" t="s">
        <v>591</v>
      </c>
      <c r="S120" s="837" t="s">
        <v>591</v>
      </c>
      <c r="T120" s="837" t="s">
        <v>591</v>
      </c>
      <c r="U120" s="837"/>
      <c r="V120" s="837"/>
      <c r="W120" s="837"/>
      <c r="X120" s="837" t="s">
        <v>591</v>
      </c>
      <c r="Y120" s="837" t="s">
        <v>591</v>
      </c>
      <c r="Z120" s="837" t="s">
        <v>591</v>
      </c>
      <c r="AA120" s="837" t="s">
        <v>591</v>
      </c>
      <c r="AB120" s="837"/>
      <c r="AC120" s="837"/>
      <c r="AD120" s="837" t="s">
        <v>591</v>
      </c>
      <c r="AE120" s="837" t="s">
        <v>591</v>
      </c>
      <c r="AF120" s="837" t="s">
        <v>591</v>
      </c>
      <c r="AG120" s="837" t="s">
        <v>591</v>
      </c>
      <c r="AH120" s="924">
        <v>177.75</v>
      </c>
      <c r="AI120" s="925">
        <v>37</v>
      </c>
    </row>
    <row r="121" spans="1:35" ht="21.95" customHeight="1">
      <c r="A121" s="576"/>
      <c r="B121" s="804" t="s">
        <v>616</v>
      </c>
      <c r="C121" s="837" t="s">
        <v>596</v>
      </c>
      <c r="D121" s="837" t="s">
        <v>596</v>
      </c>
      <c r="E121" s="837" t="s">
        <v>596</v>
      </c>
      <c r="F121" s="837" t="s">
        <v>596</v>
      </c>
      <c r="G121" s="837"/>
      <c r="H121" s="837"/>
      <c r="I121" s="837" t="s">
        <v>596</v>
      </c>
      <c r="J121" s="837" t="s">
        <v>596</v>
      </c>
      <c r="K121" s="837" t="s">
        <v>596</v>
      </c>
      <c r="L121" s="837" t="s">
        <v>596</v>
      </c>
      <c r="M121" s="837" t="s">
        <v>596</v>
      </c>
      <c r="N121" s="837"/>
      <c r="O121" s="837"/>
      <c r="P121" s="837" t="s">
        <v>596</v>
      </c>
      <c r="Q121" s="837" t="s">
        <v>596</v>
      </c>
      <c r="R121" s="837" t="s">
        <v>596</v>
      </c>
      <c r="S121" s="837" t="s">
        <v>596</v>
      </c>
      <c r="T121" s="837" t="s">
        <v>596</v>
      </c>
      <c r="U121" s="837"/>
      <c r="V121" s="837"/>
      <c r="W121" s="837"/>
      <c r="X121" s="837" t="s">
        <v>596</v>
      </c>
      <c r="Y121" s="837" t="s">
        <v>596</v>
      </c>
      <c r="Z121" s="837" t="s">
        <v>596</v>
      </c>
      <c r="AA121" s="837" t="s">
        <v>596</v>
      </c>
      <c r="AB121" s="837"/>
      <c r="AC121" s="837"/>
      <c r="AD121" s="837" t="s">
        <v>596</v>
      </c>
      <c r="AE121" s="837" t="s">
        <v>596</v>
      </c>
      <c r="AF121" s="837" t="s">
        <v>596</v>
      </c>
      <c r="AG121" s="1023" t="s">
        <v>754</v>
      </c>
      <c r="AH121" s="924">
        <v>217</v>
      </c>
      <c r="AI121" s="925">
        <v>37</v>
      </c>
    </row>
    <row r="122" spans="1:35" ht="21.95" customHeight="1">
      <c r="A122" s="576"/>
      <c r="B122" s="804" t="s">
        <v>617</v>
      </c>
      <c r="C122" s="837" t="s">
        <v>598</v>
      </c>
      <c r="D122" s="837" t="s">
        <v>598</v>
      </c>
      <c r="E122" s="837" t="s">
        <v>598</v>
      </c>
      <c r="F122" s="837" t="s">
        <v>598</v>
      </c>
      <c r="G122" s="837"/>
      <c r="H122" s="837"/>
      <c r="I122" s="837" t="s">
        <v>598</v>
      </c>
      <c r="J122" s="837" t="s">
        <v>598</v>
      </c>
      <c r="K122" s="837" t="s">
        <v>598</v>
      </c>
      <c r="L122" s="837" t="s">
        <v>598</v>
      </c>
      <c r="M122" s="837" t="s">
        <v>598</v>
      </c>
      <c r="N122" s="837"/>
      <c r="O122" s="837"/>
      <c r="P122" s="969" t="s">
        <v>598</v>
      </c>
      <c r="Q122" s="969" t="s">
        <v>598</v>
      </c>
      <c r="R122" s="969" t="s">
        <v>598</v>
      </c>
      <c r="S122" s="969" t="s">
        <v>598</v>
      </c>
      <c r="T122" s="969" t="s">
        <v>598</v>
      </c>
      <c r="U122" s="969"/>
      <c r="V122" s="969"/>
      <c r="W122" s="969"/>
      <c r="X122" s="969" t="s">
        <v>598</v>
      </c>
      <c r="Y122" s="969" t="s">
        <v>598</v>
      </c>
      <c r="Z122" s="969" t="s">
        <v>598</v>
      </c>
      <c r="AA122" s="969" t="s">
        <v>598</v>
      </c>
      <c r="AB122" s="969"/>
      <c r="AC122" s="969"/>
      <c r="AD122" s="969" t="s">
        <v>598</v>
      </c>
      <c r="AE122" s="969" t="s">
        <v>598</v>
      </c>
      <c r="AF122" s="969" t="s">
        <v>598</v>
      </c>
      <c r="AG122" s="969" t="s">
        <v>598</v>
      </c>
      <c r="AH122" s="924">
        <v>103.5</v>
      </c>
      <c r="AI122" s="925">
        <v>37</v>
      </c>
    </row>
    <row r="123" spans="1:35" ht="21.95" customHeight="1">
      <c r="A123" s="576"/>
      <c r="B123" s="804" t="s">
        <v>619</v>
      </c>
      <c r="C123" s="837" t="s">
        <v>600</v>
      </c>
      <c r="D123" s="837" t="s">
        <v>600</v>
      </c>
      <c r="E123" s="837" t="s">
        <v>600</v>
      </c>
      <c r="F123" s="837" t="s">
        <v>600</v>
      </c>
      <c r="G123" s="837"/>
      <c r="H123" s="837"/>
      <c r="I123" s="837" t="s">
        <v>600</v>
      </c>
      <c r="J123" s="837" t="s">
        <v>600</v>
      </c>
      <c r="K123" s="837" t="s">
        <v>600</v>
      </c>
      <c r="L123" s="837" t="s">
        <v>600</v>
      </c>
      <c r="M123" s="837" t="s">
        <v>600</v>
      </c>
      <c r="N123" s="837"/>
      <c r="O123" s="837"/>
      <c r="P123" s="837" t="s">
        <v>600</v>
      </c>
      <c r="Q123" s="837" t="s">
        <v>600</v>
      </c>
      <c r="R123" s="837" t="s">
        <v>600</v>
      </c>
      <c r="S123" s="837" t="s">
        <v>600</v>
      </c>
      <c r="T123" s="837" t="s">
        <v>600</v>
      </c>
      <c r="U123" s="837"/>
      <c r="V123" s="837"/>
      <c r="W123" s="837"/>
      <c r="X123" s="837" t="s">
        <v>600</v>
      </c>
      <c r="Y123" s="837" t="s">
        <v>600</v>
      </c>
      <c r="Z123" s="837" t="s">
        <v>600</v>
      </c>
      <c r="AA123" s="837" t="s">
        <v>600</v>
      </c>
      <c r="AB123" s="837"/>
      <c r="AC123" s="837"/>
      <c r="AD123" s="837" t="s">
        <v>600</v>
      </c>
      <c r="AE123" s="837" t="s">
        <v>600</v>
      </c>
      <c r="AF123" s="837" t="s">
        <v>600</v>
      </c>
      <c r="AG123" s="837" t="s">
        <v>600</v>
      </c>
      <c r="AH123" s="924">
        <v>148</v>
      </c>
      <c r="AI123" s="925">
        <v>37</v>
      </c>
    </row>
    <row r="124" spans="1:35" ht="21.95" customHeight="1">
      <c r="A124" s="576"/>
      <c r="B124" s="804" t="s">
        <v>621</v>
      </c>
      <c r="C124" s="837" t="s">
        <v>602</v>
      </c>
      <c r="D124" s="837" t="s">
        <v>602</v>
      </c>
      <c r="E124" s="837" t="s">
        <v>602</v>
      </c>
      <c r="F124" s="837" t="s">
        <v>602</v>
      </c>
      <c r="G124" s="837"/>
      <c r="H124" s="837"/>
      <c r="I124" s="969" t="s">
        <v>602</v>
      </c>
      <c r="J124" s="969" t="s">
        <v>602</v>
      </c>
      <c r="K124" s="969" t="s">
        <v>602</v>
      </c>
      <c r="L124" s="969" t="s">
        <v>602</v>
      </c>
      <c r="M124" s="969" t="s">
        <v>602</v>
      </c>
      <c r="N124" s="969"/>
      <c r="O124" s="969"/>
      <c r="P124" s="969" t="s">
        <v>602</v>
      </c>
      <c r="Q124" s="969" t="s">
        <v>602</v>
      </c>
      <c r="R124" s="969" t="s">
        <v>602</v>
      </c>
      <c r="S124" s="969" t="s">
        <v>602</v>
      </c>
      <c r="T124" s="969" t="s">
        <v>602</v>
      </c>
      <c r="U124" s="969"/>
      <c r="V124" s="969"/>
      <c r="W124" s="969"/>
      <c r="X124" s="969" t="s">
        <v>602</v>
      </c>
      <c r="Y124" s="969" t="s">
        <v>602</v>
      </c>
      <c r="Z124" s="969" t="s">
        <v>602</v>
      </c>
      <c r="AA124" s="969" t="s">
        <v>602</v>
      </c>
      <c r="AB124" s="969"/>
      <c r="AC124" s="969"/>
      <c r="AD124" s="837" t="s">
        <v>602</v>
      </c>
      <c r="AE124" s="837" t="s">
        <v>602</v>
      </c>
      <c r="AF124" s="837" t="s">
        <v>602</v>
      </c>
      <c r="AG124" s="837" t="s">
        <v>602</v>
      </c>
      <c r="AH124" s="924">
        <v>148.75</v>
      </c>
      <c r="AI124" s="925">
        <v>37</v>
      </c>
    </row>
    <row r="125" spans="1:35" ht="21.95" customHeight="1">
      <c r="A125" s="576"/>
      <c r="B125" s="804" t="s">
        <v>622</v>
      </c>
      <c r="C125" s="837" t="s">
        <v>604</v>
      </c>
      <c r="D125" s="837" t="s">
        <v>604</v>
      </c>
      <c r="E125" s="1023" t="s">
        <v>604</v>
      </c>
      <c r="F125" s="1023" t="s">
        <v>743</v>
      </c>
      <c r="G125" s="837"/>
      <c r="H125" s="837"/>
      <c r="I125" s="837" t="s">
        <v>604</v>
      </c>
      <c r="J125" s="837" t="s">
        <v>604</v>
      </c>
      <c r="K125" s="837" t="s">
        <v>604</v>
      </c>
      <c r="L125" s="837" t="s">
        <v>604</v>
      </c>
      <c r="M125" s="837" t="s">
        <v>604</v>
      </c>
      <c r="N125" s="837"/>
      <c r="O125" s="837"/>
      <c r="P125" s="1005" t="s">
        <v>604</v>
      </c>
      <c r="Q125" s="837" t="s">
        <v>604</v>
      </c>
      <c r="R125" s="837" t="s">
        <v>604</v>
      </c>
      <c r="S125" s="837" t="s">
        <v>604</v>
      </c>
      <c r="T125" s="837" t="s">
        <v>604</v>
      </c>
      <c r="U125" s="837"/>
      <c r="V125" s="837"/>
      <c r="W125" s="837"/>
      <c r="X125" s="837" t="s">
        <v>604</v>
      </c>
      <c r="Y125" s="837" t="s">
        <v>604</v>
      </c>
      <c r="Z125" s="837" t="s">
        <v>604</v>
      </c>
      <c r="AA125" s="837" t="s">
        <v>604</v>
      </c>
      <c r="AB125" s="837"/>
      <c r="AC125" s="837"/>
      <c r="AD125" s="969" t="s">
        <v>604</v>
      </c>
      <c r="AE125" s="969" t="s">
        <v>604</v>
      </c>
      <c r="AF125" s="969" t="s">
        <v>604</v>
      </c>
      <c r="AG125" s="969" t="s">
        <v>604</v>
      </c>
      <c r="AH125" s="924">
        <v>192.5</v>
      </c>
      <c r="AI125" s="925">
        <v>37</v>
      </c>
    </row>
    <row r="126" spans="1:35" ht="21.95" customHeight="1">
      <c r="A126" s="576"/>
      <c r="B126" s="804" t="s">
        <v>623</v>
      </c>
      <c r="C126" s="837" t="s">
        <v>606</v>
      </c>
      <c r="D126" s="837" t="s">
        <v>606</v>
      </c>
      <c r="E126" s="837" t="s">
        <v>606</v>
      </c>
      <c r="F126" s="837" t="s">
        <v>606</v>
      </c>
      <c r="G126" s="837"/>
      <c r="H126" s="837"/>
      <c r="I126" s="837" t="s">
        <v>606</v>
      </c>
      <c r="J126" s="837" t="s">
        <v>606</v>
      </c>
      <c r="K126" s="837" t="s">
        <v>606</v>
      </c>
      <c r="L126" s="837" t="s">
        <v>606</v>
      </c>
      <c r="M126" s="837" t="s">
        <v>606</v>
      </c>
      <c r="N126" s="837"/>
      <c r="O126" s="837"/>
      <c r="P126" s="837" t="s">
        <v>606</v>
      </c>
      <c r="Q126" s="837" t="s">
        <v>606</v>
      </c>
      <c r="R126" s="837" t="s">
        <v>606</v>
      </c>
      <c r="S126" s="837" t="s">
        <v>606</v>
      </c>
      <c r="T126" s="837" t="s">
        <v>606</v>
      </c>
      <c r="U126" s="837"/>
      <c r="V126" s="837"/>
      <c r="W126" s="837"/>
      <c r="X126" s="837" t="s">
        <v>606</v>
      </c>
      <c r="Y126" s="837" t="s">
        <v>606</v>
      </c>
      <c r="Z126" s="837" t="s">
        <v>606</v>
      </c>
      <c r="AA126" s="837" t="s">
        <v>606</v>
      </c>
      <c r="AB126" s="837"/>
      <c r="AC126" s="837"/>
      <c r="AD126" s="837" t="s">
        <v>606</v>
      </c>
      <c r="AE126" s="837" t="s">
        <v>606</v>
      </c>
      <c r="AF126" s="837" t="s">
        <v>606</v>
      </c>
      <c r="AG126" s="837" t="s">
        <v>606</v>
      </c>
      <c r="AH126" s="924">
        <v>185</v>
      </c>
      <c r="AI126" s="925">
        <v>37</v>
      </c>
    </row>
    <row r="127" spans="1:35" ht="21.95" customHeight="1">
      <c r="A127" s="576"/>
      <c r="B127" s="804" t="s">
        <v>624</v>
      </c>
      <c r="C127" s="969" t="s">
        <v>607</v>
      </c>
      <c r="D127" s="969" t="s">
        <v>607</v>
      </c>
      <c r="E127" s="969" t="s">
        <v>607</v>
      </c>
      <c r="F127" s="969" t="s">
        <v>607</v>
      </c>
      <c r="G127" s="969"/>
      <c r="H127" s="969"/>
      <c r="I127" s="837" t="s">
        <v>607</v>
      </c>
      <c r="J127" s="837" t="s">
        <v>607</v>
      </c>
      <c r="K127" s="837" t="s">
        <v>607</v>
      </c>
      <c r="L127" s="837" t="s">
        <v>607</v>
      </c>
      <c r="M127" s="837" t="s">
        <v>607</v>
      </c>
      <c r="N127" s="837"/>
      <c r="O127" s="837"/>
      <c r="P127" s="837" t="s">
        <v>607</v>
      </c>
      <c r="Q127" s="837" t="s">
        <v>607</v>
      </c>
      <c r="R127" s="837" t="s">
        <v>607</v>
      </c>
      <c r="S127" s="837" t="s">
        <v>607</v>
      </c>
      <c r="T127" s="837" t="s">
        <v>607</v>
      </c>
      <c r="U127" s="837"/>
      <c r="V127" s="837"/>
      <c r="W127" s="837"/>
      <c r="X127" s="837" t="s">
        <v>607</v>
      </c>
      <c r="Y127" s="837" t="s">
        <v>607</v>
      </c>
      <c r="Z127" s="837" t="s">
        <v>607</v>
      </c>
      <c r="AA127" s="837" t="s">
        <v>607</v>
      </c>
      <c r="AB127" s="837"/>
      <c r="AC127" s="837"/>
      <c r="AD127" s="837" t="s">
        <v>607</v>
      </c>
      <c r="AE127" s="837" t="s">
        <v>607</v>
      </c>
      <c r="AF127" s="837" t="s">
        <v>607</v>
      </c>
      <c r="AG127" s="837" t="s">
        <v>607</v>
      </c>
      <c r="AH127" s="924">
        <v>81.25</v>
      </c>
      <c r="AI127" s="925">
        <v>37</v>
      </c>
    </row>
    <row r="128" spans="1:35" ht="21.95" customHeight="1">
      <c r="A128" s="576"/>
      <c r="B128" s="804" t="s">
        <v>626</v>
      </c>
      <c r="C128" s="837" t="s">
        <v>609</v>
      </c>
      <c r="D128" s="837" t="s">
        <v>609</v>
      </c>
      <c r="E128" s="837" t="s">
        <v>609</v>
      </c>
      <c r="F128" s="837" t="s">
        <v>609</v>
      </c>
      <c r="G128" s="837"/>
      <c r="H128" s="837"/>
      <c r="I128" s="837" t="s">
        <v>609</v>
      </c>
      <c r="J128" s="837" t="s">
        <v>609</v>
      </c>
      <c r="K128" s="837" t="s">
        <v>609</v>
      </c>
      <c r="L128" s="837" t="s">
        <v>609</v>
      </c>
      <c r="M128" s="837" t="s">
        <v>609</v>
      </c>
      <c r="N128" s="837"/>
      <c r="O128" s="837"/>
      <c r="P128" s="837" t="s">
        <v>609</v>
      </c>
      <c r="Q128" s="837" t="s">
        <v>609</v>
      </c>
      <c r="R128" s="837" t="s">
        <v>609</v>
      </c>
      <c r="S128" s="837" t="s">
        <v>609</v>
      </c>
      <c r="T128" s="837" t="s">
        <v>609</v>
      </c>
      <c r="U128" s="837"/>
      <c r="V128" s="837"/>
      <c r="W128" s="837"/>
      <c r="X128" s="837" t="s">
        <v>609</v>
      </c>
      <c r="Y128" s="837" t="s">
        <v>609</v>
      </c>
      <c r="Z128" s="837" t="s">
        <v>609</v>
      </c>
      <c r="AA128" s="837" t="s">
        <v>609</v>
      </c>
      <c r="AB128" s="837"/>
      <c r="AC128" s="837"/>
      <c r="AD128" s="837" t="s">
        <v>609</v>
      </c>
      <c r="AE128" s="837" t="s">
        <v>609</v>
      </c>
      <c r="AF128" s="837" t="s">
        <v>609</v>
      </c>
      <c r="AG128" s="837" t="s">
        <v>609</v>
      </c>
      <c r="AH128" s="924">
        <v>185</v>
      </c>
      <c r="AI128" s="925">
        <v>37</v>
      </c>
    </row>
    <row r="129" spans="1:35" ht="21.95" customHeight="1">
      <c r="A129" s="576"/>
      <c r="B129" s="804" t="s">
        <v>627</v>
      </c>
      <c r="C129" s="1023" t="s">
        <v>611</v>
      </c>
      <c r="D129" s="1023" t="s">
        <v>611</v>
      </c>
      <c r="E129" s="1023" t="s">
        <v>611</v>
      </c>
      <c r="F129" s="1023" t="s">
        <v>611</v>
      </c>
      <c r="G129" s="1023"/>
      <c r="H129" s="1023"/>
      <c r="I129" s="1023" t="s">
        <v>611</v>
      </c>
      <c r="J129" s="1023" t="s">
        <v>611</v>
      </c>
      <c r="K129" s="1023" t="s">
        <v>611</v>
      </c>
      <c r="L129" s="1023" t="s">
        <v>611</v>
      </c>
      <c r="M129" s="1023" t="s">
        <v>611</v>
      </c>
      <c r="N129" s="1023"/>
      <c r="O129" s="1023"/>
      <c r="P129" s="1023" t="s">
        <v>611</v>
      </c>
      <c r="Q129" s="1023" t="s">
        <v>611</v>
      </c>
      <c r="R129" s="1023" t="s">
        <v>611</v>
      </c>
      <c r="S129" s="1023" t="s">
        <v>611</v>
      </c>
      <c r="T129" s="1023" t="s">
        <v>611</v>
      </c>
      <c r="U129" s="1023"/>
      <c r="V129" s="1023"/>
      <c r="W129" s="1023"/>
      <c r="X129" s="1023" t="s">
        <v>611</v>
      </c>
      <c r="Y129" s="1023" t="s">
        <v>611</v>
      </c>
      <c r="Z129" s="1023" t="s">
        <v>611</v>
      </c>
      <c r="AA129" s="1023" t="s">
        <v>611</v>
      </c>
      <c r="AB129" s="1023"/>
      <c r="AC129" s="1023"/>
      <c r="AD129" s="1023" t="s">
        <v>611</v>
      </c>
      <c r="AE129" s="1023" t="s">
        <v>611</v>
      </c>
      <c r="AF129" s="1023" t="s">
        <v>611</v>
      </c>
      <c r="AG129" s="1023" t="s">
        <v>611</v>
      </c>
      <c r="AH129" s="924">
        <v>209.58</v>
      </c>
      <c r="AI129" s="925">
        <v>32</v>
      </c>
    </row>
    <row r="130" spans="1:35" ht="21.95" customHeight="1" thickBot="1">
      <c r="A130" s="576"/>
      <c r="B130" s="886" t="s">
        <v>629</v>
      </c>
      <c r="C130" s="887" t="s">
        <v>613</v>
      </c>
      <c r="D130" s="887" t="s">
        <v>613</v>
      </c>
      <c r="E130" s="887" t="s">
        <v>613</v>
      </c>
      <c r="F130" s="887" t="s">
        <v>613</v>
      </c>
      <c r="G130" s="887"/>
      <c r="H130" s="887"/>
      <c r="I130" s="887" t="s">
        <v>613</v>
      </c>
      <c r="J130" s="887" t="s">
        <v>613</v>
      </c>
      <c r="K130" s="887" t="s">
        <v>613</v>
      </c>
      <c r="L130" s="887" t="s">
        <v>613</v>
      </c>
      <c r="M130" s="887" t="s">
        <v>613</v>
      </c>
      <c r="N130" s="887"/>
      <c r="O130" s="887"/>
      <c r="P130" s="887" t="s">
        <v>613</v>
      </c>
      <c r="Q130" s="887" t="s">
        <v>613</v>
      </c>
      <c r="R130" s="887" t="s">
        <v>613</v>
      </c>
      <c r="S130" s="887" t="s">
        <v>613</v>
      </c>
      <c r="T130" s="887" t="s">
        <v>613</v>
      </c>
      <c r="U130" s="887"/>
      <c r="V130" s="887"/>
      <c r="W130" s="887"/>
      <c r="X130" s="887" t="s">
        <v>613</v>
      </c>
      <c r="Y130" s="887" t="s">
        <v>613</v>
      </c>
      <c r="Z130" s="887" t="s">
        <v>613</v>
      </c>
      <c r="AA130" s="887" t="s">
        <v>613</v>
      </c>
      <c r="AB130" s="887"/>
      <c r="AC130" s="887"/>
      <c r="AD130" s="887" t="s">
        <v>613</v>
      </c>
      <c r="AE130" s="887" t="s">
        <v>613</v>
      </c>
      <c r="AF130" s="887" t="s">
        <v>613</v>
      </c>
      <c r="AG130" s="887" t="s">
        <v>613</v>
      </c>
      <c r="AH130" s="868">
        <v>202.75</v>
      </c>
      <c r="AI130" s="869">
        <v>37</v>
      </c>
    </row>
    <row r="131" spans="1:35" ht="21.95" customHeight="1">
      <c r="A131" s="576"/>
      <c r="B131" s="847"/>
      <c r="C131" s="555"/>
      <c r="D131" s="555"/>
      <c r="E131" s="555"/>
      <c r="F131" s="555"/>
      <c r="G131" s="555"/>
      <c r="H131" s="555"/>
      <c r="I131" s="555"/>
      <c r="J131" s="555"/>
      <c r="K131" s="555"/>
      <c r="L131" s="555"/>
      <c r="M131" s="555"/>
      <c r="N131" s="555"/>
      <c r="O131" s="555"/>
      <c r="P131" s="555"/>
      <c r="Q131" s="555"/>
      <c r="R131" s="555"/>
      <c r="S131" s="555"/>
      <c r="T131" s="555"/>
      <c r="U131" s="555"/>
      <c r="V131" s="555"/>
      <c r="W131" s="555"/>
      <c r="X131" s="555"/>
      <c r="Y131" s="555"/>
      <c r="Z131" s="555"/>
      <c r="AA131" s="555"/>
      <c r="AB131" s="555"/>
      <c r="AC131" s="555"/>
      <c r="AD131" s="555"/>
      <c r="AE131" s="555"/>
      <c r="AF131" s="555"/>
      <c r="AG131" s="555"/>
      <c r="AH131" s="556"/>
      <c r="AI131" s="556"/>
    </row>
    <row r="132" spans="1:35" ht="21.95" customHeight="1" thickBot="1">
      <c r="A132" s="805" t="s">
        <v>630</v>
      </c>
      <c r="B132" s="538" t="s">
        <v>631</v>
      </c>
      <c r="C132" s="555"/>
      <c r="D132" s="538"/>
      <c r="E132" s="538"/>
      <c r="F132" s="538"/>
      <c r="G132" s="538"/>
      <c r="H132" s="538"/>
      <c r="I132" s="555"/>
      <c r="J132" s="555"/>
      <c r="K132" s="538"/>
      <c r="L132" s="538"/>
      <c r="M132" s="538"/>
      <c r="N132" s="538"/>
      <c r="O132" s="538"/>
      <c r="P132" s="538"/>
      <c r="Q132" s="555"/>
      <c r="R132" s="538"/>
      <c r="S132" s="538"/>
      <c r="T132" s="538"/>
      <c r="U132" s="538"/>
      <c r="V132" s="538"/>
      <c r="W132" s="555"/>
      <c r="X132" s="555"/>
      <c r="Y132" s="538"/>
      <c r="Z132" s="538"/>
      <c r="AA132" s="538"/>
      <c r="AB132" s="538"/>
      <c r="AC132" s="538"/>
      <c r="AD132" s="538"/>
      <c r="AE132" s="555"/>
      <c r="AF132" s="538"/>
      <c r="AG132" s="538"/>
      <c r="AH132" s="556"/>
      <c r="AI132" s="556"/>
    </row>
    <row r="133" spans="1:35" ht="21.95" customHeight="1">
      <c r="A133" s="576"/>
      <c r="B133" s="806" t="s">
        <v>589</v>
      </c>
      <c r="C133" s="814"/>
      <c r="D133" s="807" t="s">
        <v>2</v>
      </c>
      <c r="E133" s="808"/>
      <c r="F133" s="809"/>
      <c r="G133" s="810"/>
      <c r="H133" s="807" t="s">
        <v>3</v>
      </c>
      <c r="I133" s="808"/>
      <c r="J133" s="809"/>
      <c r="K133" s="810"/>
      <c r="L133" s="807" t="s">
        <v>4</v>
      </c>
      <c r="M133" s="808"/>
      <c r="N133" s="809"/>
      <c r="O133" s="810"/>
      <c r="P133" s="807" t="s">
        <v>5</v>
      </c>
      <c r="Q133" s="808"/>
      <c r="R133" s="809"/>
      <c r="S133" s="810"/>
      <c r="T133" s="807" t="s">
        <v>6</v>
      </c>
      <c r="U133" s="808"/>
      <c r="V133" s="809"/>
      <c r="W133" s="810"/>
      <c r="X133" s="807" t="s">
        <v>7</v>
      </c>
      <c r="Y133" s="808"/>
      <c r="Z133" s="809"/>
      <c r="AA133" s="810"/>
      <c r="AB133" s="807" t="s">
        <v>8</v>
      </c>
      <c r="AC133" s="808"/>
      <c r="AD133" s="808"/>
      <c r="AE133" s="811" t="s">
        <v>10</v>
      </c>
      <c r="AF133" s="808"/>
      <c r="AG133" s="808"/>
      <c r="AH133" s="808"/>
      <c r="AI133" s="812"/>
    </row>
    <row r="134" spans="1:35" ht="21.95" customHeight="1">
      <c r="A134" s="576"/>
      <c r="B134" s="832"/>
      <c r="C134" s="815"/>
      <c r="D134" s="831"/>
      <c r="E134" s="816"/>
      <c r="F134" s="813"/>
      <c r="G134" s="815"/>
      <c r="H134" s="831"/>
      <c r="I134" s="816"/>
      <c r="J134" s="813"/>
      <c r="K134" s="815"/>
      <c r="L134" s="831"/>
      <c r="M134" s="816"/>
      <c r="N134" s="813"/>
      <c r="O134" s="815"/>
      <c r="P134" s="831"/>
      <c r="Q134" s="816"/>
      <c r="R134" s="813"/>
      <c r="S134" s="815"/>
      <c r="T134" s="831"/>
      <c r="U134" s="816"/>
      <c r="V134" s="813"/>
      <c r="W134" s="815"/>
      <c r="X134" s="816"/>
      <c r="Y134" s="816"/>
      <c r="Z134" s="813"/>
      <c r="AA134" s="815"/>
      <c r="AB134" s="816"/>
      <c r="AC134" s="816"/>
      <c r="AD134" s="816"/>
      <c r="AE134" s="815"/>
      <c r="AF134" s="816"/>
      <c r="AG134" s="816"/>
      <c r="AH134" s="818"/>
      <c r="AI134" s="819"/>
    </row>
    <row r="135" spans="1:35" ht="21.95" customHeight="1">
      <c r="A135" s="576"/>
      <c r="B135" s="833"/>
      <c r="C135" s="815"/>
      <c r="D135" s="831"/>
      <c r="E135" s="816"/>
      <c r="F135" s="813"/>
      <c r="G135" s="815"/>
      <c r="H135" s="831"/>
      <c r="I135" s="816"/>
      <c r="J135" s="813"/>
      <c r="K135" s="815"/>
      <c r="L135" s="831"/>
      <c r="M135" s="816"/>
      <c r="N135" s="813"/>
      <c r="O135" s="815"/>
      <c r="P135" s="831"/>
      <c r="Q135" s="816"/>
      <c r="R135" s="813"/>
      <c r="S135" s="815"/>
      <c r="T135" s="831"/>
      <c r="U135" s="816"/>
      <c r="V135" s="813"/>
      <c r="W135" s="815"/>
      <c r="X135" s="816"/>
      <c r="Y135" s="816"/>
      <c r="Z135" s="813"/>
      <c r="AA135" s="815"/>
      <c r="AB135" s="816"/>
      <c r="AC135" s="816"/>
      <c r="AD135" s="816"/>
      <c r="AE135" s="815"/>
      <c r="AF135" s="816"/>
      <c r="AG135" s="816"/>
      <c r="AH135" s="818"/>
      <c r="AI135" s="819"/>
    </row>
    <row r="136" spans="1:35" ht="21.95" customHeight="1">
      <c r="A136" s="576"/>
      <c r="B136" s="833"/>
      <c r="C136" s="815"/>
      <c r="D136" s="831"/>
      <c r="E136" s="816"/>
      <c r="F136" s="813"/>
      <c r="G136" s="815"/>
      <c r="H136" s="831"/>
      <c r="I136" s="816"/>
      <c r="J136" s="813"/>
      <c r="K136" s="815"/>
      <c r="L136" s="831"/>
      <c r="M136" s="816"/>
      <c r="N136" s="813"/>
      <c r="O136" s="815"/>
      <c r="P136" s="831"/>
      <c r="Q136" s="816"/>
      <c r="R136" s="813"/>
      <c r="S136" s="815"/>
      <c r="T136" s="831"/>
      <c r="U136" s="816"/>
      <c r="V136" s="813"/>
      <c r="W136" s="815"/>
      <c r="X136" s="816"/>
      <c r="Y136" s="816"/>
      <c r="Z136" s="813"/>
      <c r="AA136" s="815"/>
      <c r="AB136" s="816"/>
      <c r="AC136" s="816"/>
      <c r="AD136" s="816"/>
      <c r="AE136" s="815"/>
      <c r="AF136" s="816"/>
      <c r="AG136" s="816"/>
      <c r="AH136" s="818"/>
      <c r="AI136" s="819"/>
    </row>
    <row r="137" spans="1:35" ht="21.75" customHeight="1" thickBot="1">
      <c r="A137" s="576"/>
      <c r="B137" s="847"/>
      <c r="C137" s="555"/>
      <c r="D137" s="555"/>
      <c r="E137" s="555"/>
      <c r="F137" s="555"/>
      <c r="G137" s="555"/>
      <c r="H137" s="555"/>
      <c r="I137" s="555"/>
      <c r="J137" s="555"/>
      <c r="K137" s="555"/>
      <c r="L137" s="555"/>
      <c r="M137" s="555"/>
      <c r="N137" s="555"/>
      <c r="O137" s="555"/>
      <c r="P137" s="555"/>
      <c r="Q137" s="555"/>
      <c r="R137" s="555"/>
      <c r="S137" s="555"/>
      <c r="T137" s="555"/>
      <c r="U137" s="555"/>
      <c r="V137" s="555"/>
      <c r="W137" s="555"/>
      <c r="X137" s="555"/>
      <c r="Y137" s="555"/>
      <c r="Z137" s="555"/>
      <c r="AA137" s="555"/>
      <c r="AB137" s="555"/>
      <c r="AC137" s="555"/>
      <c r="AD137" s="555"/>
      <c r="AE137" s="555"/>
      <c r="AF137" s="555"/>
      <c r="AG137" s="555"/>
      <c r="AH137" s="556"/>
      <c r="AI137" s="556"/>
    </row>
    <row r="138" spans="1:35" ht="21.95" customHeight="1" thickBot="1">
      <c r="A138" s="785"/>
      <c r="B138" s="883" t="s">
        <v>476</v>
      </c>
      <c r="C138" s="946">
        <v>1</v>
      </c>
      <c r="D138" s="863">
        <v>2</v>
      </c>
      <c r="E138" s="863">
        <v>3</v>
      </c>
      <c r="F138" s="863">
        <v>4</v>
      </c>
      <c r="G138" s="880">
        <v>5</v>
      </c>
      <c r="H138" s="880">
        <v>6</v>
      </c>
      <c r="I138" s="863">
        <v>7</v>
      </c>
      <c r="J138" s="863">
        <v>8</v>
      </c>
      <c r="K138" s="863">
        <v>9</v>
      </c>
      <c r="L138" s="863">
        <v>10</v>
      </c>
      <c r="M138" s="863">
        <v>11</v>
      </c>
      <c r="N138" s="880">
        <v>12</v>
      </c>
      <c r="O138" s="880">
        <v>13</v>
      </c>
      <c r="P138" s="863">
        <v>14</v>
      </c>
      <c r="Q138" s="863">
        <v>15</v>
      </c>
      <c r="R138" s="863">
        <v>16</v>
      </c>
      <c r="S138" s="863">
        <v>17</v>
      </c>
      <c r="T138" s="863">
        <v>18</v>
      </c>
      <c r="U138" s="880">
        <v>19</v>
      </c>
      <c r="V138" s="880">
        <v>20</v>
      </c>
      <c r="W138" s="863">
        <v>21</v>
      </c>
      <c r="X138" s="863">
        <v>22</v>
      </c>
      <c r="Y138" s="863">
        <v>23</v>
      </c>
      <c r="Z138" s="863">
        <v>24</v>
      </c>
      <c r="AA138" s="863">
        <v>25</v>
      </c>
      <c r="AB138" s="880">
        <v>26</v>
      </c>
      <c r="AC138" s="880">
        <v>27</v>
      </c>
      <c r="AD138" s="863">
        <v>28</v>
      </c>
      <c r="AE138" s="863">
        <v>29</v>
      </c>
      <c r="AF138" s="863">
        <v>30</v>
      </c>
      <c r="AG138" s="945">
        <v>31</v>
      </c>
      <c r="AH138" s="884" t="s">
        <v>477</v>
      </c>
      <c r="AI138" s="885" t="s">
        <v>478</v>
      </c>
    </row>
    <row r="139" spans="1:35" ht="21.95" customHeight="1">
      <c r="A139" s="576"/>
      <c r="B139" s="888" t="s">
        <v>632</v>
      </c>
      <c r="C139" s="768" t="s">
        <v>491</v>
      </c>
      <c r="D139" s="768" t="s">
        <v>491</v>
      </c>
      <c r="E139" s="768" t="s">
        <v>491</v>
      </c>
      <c r="F139" s="768" t="s">
        <v>491</v>
      </c>
      <c r="G139" s="768"/>
      <c r="H139" s="768"/>
      <c r="I139" s="768" t="s">
        <v>491</v>
      </c>
      <c r="J139" s="768" t="s">
        <v>491</v>
      </c>
      <c r="K139" s="768" t="s">
        <v>491</v>
      </c>
      <c r="L139" s="768" t="s">
        <v>491</v>
      </c>
      <c r="M139" s="768" t="s">
        <v>491</v>
      </c>
      <c r="N139" s="768"/>
      <c r="O139" s="768"/>
      <c r="P139" s="970" t="s">
        <v>491</v>
      </c>
      <c r="Q139" s="970" t="s">
        <v>491</v>
      </c>
      <c r="R139" s="970" t="s">
        <v>491</v>
      </c>
      <c r="S139" s="970" t="s">
        <v>491</v>
      </c>
      <c r="T139" s="970" t="s">
        <v>491</v>
      </c>
      <c r="U139" s="970"/>
      <c r="V139" s="970"/>
      <c r="W139" s="970" t="s">
        <v>491</v>
      </c>
      <c r="X139" s="970" t="s">
        <v>491</v>
      </c>
      <c r="Y139" s="970" t="s">
        <v>491</v>
      </c>
      <c r="Z139" s="970" t="s">
        <v>491</v>
      </c>
      <c r="AA139" s="970" t="s">
        <v>491</v>
      </c>
      <c r="AB139" s="970"/>
      <c r="AC139" s="970"/>
      <c r="AD139" s="970" t="s">
        <v>491</v>
      </c>
      <c r="AE139" s="970" t="s">
        <v>491</v>
      </c>
      <c r="AF139" s="970" t="s">
        <v>491</v>
      </c>
      <c r="AG139" s="970" t="s">
        <v>491</v>
      </c>
      <c r="AH139" s="510">
        <v>104.5</v>
      </c>
      <c r="AI139" s="511">
        <v>37</v>
      </c>
    </row>
    <row r="140" spans="1:35" ht="21.95" customHeight="1">
      <c r="A140" s="576"/>
      <c r="B140" s="858" t="s">
        <v>633</v>
      </c>
      <c r="C140" s="970" t="s">
        <v>491</v>
      </c>
      <c r="D140" s="970" t="s">
        <v>491</v>
      </c>
      <c r="E140" s="970" t="s">
        <v>491</v>
      </c>
      <c r="F140" s="970" t="s">
        <v>491</v>
      </c>
      <c r="G140" s="970"/>
      <c r="H140" s="970"/>
      <c r="I140" s="970" t="s">
        <v>491</v>
      </c>
      <c r="J140" s="970" t="s">
        <v>491</v>
      </c>
      <c r="K140" s="970" t="s">
        <v>491</v>
      </c>
      <c r="L140" s="970" t="s">
        <v>491</v>
      </c>
      <c r="M140" s="970" t="s">
        <v>491</v>
      </c>
      <c r="N140" s="970"/>
      <c r="O140" s="970"/>
      <c r="P140" s="970" t="s">
        <v>491</v>
      </c>
      <c r="Q140" s="970" t="s">
        <v>491</v>
      </c>
      <c r="R140" s="970" t="s">
        <v>491</v>
      </c>
      <c r="S140" s="970" t="s">
        <v>491</v>
      </c>
      <c r="T140" s="970" t="s">
        <v>491</v>
      </c>
      <c r="U140" s="970"/>
      <c r="V140" s="970"/>
      <c r="W140" s="768" t="s">
        <v>491</v>
      </c>
      <c r="X140" s="768" t="s">
        <v>491</v>
      </c>
      <c r="Y140" s="768" t="s">
        <v>491</v>
      </c>
      <c r="Z140" s="768" t="s">
        <v>491</v>
      </c>
      <c r="AA140" s="768" t="s">
        <v>491</v>
      </c>
      <c r="AB140" s="768"/>
      <c r="AC140" s="768"/>
      <c r="AD140" s="768" t="s">
        <v>491</v>
      </c>
      <c r="AE140" s="768" t="s">
        <v>491</v>
      </c>
      <c r="AF140" s="768" t="s">
        <v>491</v>
      </c>
      <c r="AG140" s="768" t="s">
        <v>491</v>
      </c>
      <c r="AH140" s="924">
        <v>74</v>
      </c>
      <c r="AI140" s="925">
        <v>37</v>
      </c>
    </row>
    <row r="141" spans="1:35" ht="21.95" customHeight="1">
      <c r="A141" s="576"/>
      <c r="B141" s="858" t="s">
        <v>634</v>
      </c>
      <c r="C141" s="768" t="s">
        <v>491</v>
      </c>
      <c r="D141" s="768" t="s">
        <v>491</v>
      </c>
      <c r="E141" s="768" t="s">
        <v>491</v>
      </c>
      <c r="F141" s="768" t="s">
        <v>491</v>
      </c>
      <c r="G141" s="768"/>
      <c r="H141" s="768"/>
      <c r="I141" s="970" t="s">
        <v>491</v>
      </c>
      <c r="J141" s="970" t="s">
        <v>491</v>
      </c>
      <c r="K141" s="970" t="s">
        <v>491</v>
      </c>
      <c r="L141" s="970" t="s">
        <v>491</v>
      </c>
      <c r="M141" s="970" t="s">
        <v>491</v>
      </c>
      <c r="N141" s="970"/>
      <c r="O141" s="970"/>
      <c r="P141" s="970" t="s">
        <v>491</v>
      </c>
      <c r="Q141" s="970" t="s">
        <v>491</v>
      </c>
      <c r="R141" s="970" t="s">
        <v>491</v>
      </c>
      <c r="S141" s="970" t="s">
        <v>491</v>
      </c>
      <c r="T141" s="970" t="s">
        <v>491</v>
      </c>
      <c r="U141" s="970"/>
      <c r="V141" s="970"/>
      <c r="W141" s="970" t="s">
        <v>491</v>
      </c>
      <c r="X141" s="970" t="s">
        <v>491</v>
      </c>
      <c r="Y141" s="970" t="s">
        <v>491</v>
      </c>
      <c r="Z141" s="970" t="s">
        <v>491</v>
      </c>
      <c r="AA141" s="970" t="s">
        <v>491</v>
      </c>
      <c r="AB141" s="970"/>
      <c r="AC141" s="970"/>
      <c r="AD141" s="768" t="s">
        <v>491</v>
      </c>
      <c r="AE141" s="768" t="s">
        <v>491</v>
      </c>
      <c r="AF141" s="768" t="s">
        <v>491</v>
      </c>
      <c r="AG141" s="768" t="s">
        <v>491</v>
      </c>
      <c r="AH141" s="924">
        <v>74</v>
      </c>
      <c r="AI141" s="925">
        <v>37</v>
      </c>
    </row>
    <row r="142" spans="1:35" ht="21.95" customHeight="1">
      <c r="A142" s="576"/>
      <c r="B142" s="859" t="s">
        <v>638</v>
      </c>
      <c r="C142" s="970" t="s">
        <v>491</v>
      </c>
      <c r="D142" s="970" t="s">
        <v>491</v>
      </c>
      <c r="E142" s="970" t="s">
        <v>491</v>
      </c>
      <c r="F142" s="970" t="s">
        <v>491</v>
      </c>
      <c r="G142" s="970"/>
      <c r="H142" s="970"/>
      <c r="I142" s="768" t="s">
        <v>491</v>
      </c>
      <c r="J142" s="768" t="s">
        <v>491</v>
      </c>
      <c r="K142" s="768" t="s">
        <v>491</v>
      </c>
      <c r="L142" s="768" t="s">
        <v>491</v>
      </c>
      <c r="M142" s="768" t="s">
        <v>491</v>
      </c>
      <c r="N142" s="768"/>
      <c r="O142" s="768"/>
      <c r="P142" s="768" t="s">
        <v>491</v>
      </c>
      <c r="Q142" s="768" t="s">
        <v>491</v>
      </c>
      <c r="R142" s="768" t="s">
        <v>491</v>
      </c>
      <c r="S142" s="768" t="s">
        <v>491</v>
      </c>
      <c r="T142" s="768" t="s">
        <v>491</v>
      </c>
      <c r="U142" s="768"/>
      <c r="V142" s="768"/>
      <c r="W142" s="768" t="s">
        <v>491</v>
      </c>
      <c r="X142" s="768" t="s">
        <v>491</v>
      </c>
      <c r="Y142" s="768" t="s">
        <v>491</v>
      </c>
      <c r="Z142" s="768" t="s">
        <v>491</v>
      </c>
      <c r="AA142" s="768" t="s">
        <v>491</v>
      </c>
      <c r="AB142" s="768"/>
      <c r="AC142" s="768"/>
      <c r="AD142" s="768" t="s">
        <v>491</v>
      </c>
      <c r="AE142" s="768" t="s">
        <v>491</v>
      </c>
      <c r="AF142" s="768" t="s">
        <v>491</v>
      </c>
      <c r="AG142" s="768" t="s">
        <v>491</v>
      </c>
      <c r="AH142" s="924">
        <v>74</v>
      </c>
      <c r="AI142" s="925">
        <v>37</v>
      </c>
    </row>
    <row r="143" spans="1:35" ht="21.95" customHeight="1">
      <c r="A143" s="576"/>
      <c r="B143" s="994" t="s">
        <v>635</v>
      </c>
      <c r="C143" s="768" t="s">
        <v>491</v>
      </c>
      <c r="D143" s="768" t="s">
        <v>491</v>
      </c>
      <c r="E143" s="768" t="s">
        <v>491</v>
      </c>
      <c r="F143" s="768" t="s">
        <v>491</v>
      </c>
      <c r="G143" s="768"/>
      <c r="H143" s="768"/>
      <c r="I143" s="768" t="s">
        <v>491</v>
      </c>
      <c r="J143" s="768" t="s">
        <v>491</v>
      </c>
      <c r="K143" s="768" t="s">
        <v>491</v>
      </c>
      <c r="L143" s="768" t="s">
        <v>491</v>
      </c>
      <c r="M143" s="768" t="s">
        <v>491</v>
      </c>
      <c r="N143" s="768"/>
      <c r="O143" s="768"/>
      <c r="P143" s="768" t="s">
        <v>491</v>
      </c>
      <c r="Q143" s="768" t="s">
        <v>491</v>
      </c>
      <c r="R143" s="768" t="s">
        <v>491</v>
      </c>
      <c r="S143" s="768" t="s">
        <v>491</v>
      </c>
      <c r="T143" s="768" t="s">
        <v>491</v>
      </c>
      <c r="U143" s="768"/>
      <c r="V143" s="768"/>
      <c r="W143" s="768" t="s">
        <v>491</v>
      </c>
      <c r="X143" s="768" t="s">
        <v>491</v>
      </c>
      <c r="Y143" s="768" t="s">
        <v>491</v>
      </c>
      <c r="Z143" s="768" t="s">
        <v>491</v>
      </c>
      <c r="AA143" s="768" t="s">
        <v>491</v>
      </c>
      <c r="AB143" s="768"/>
      <c r="AC143" s="768"/>
      <c r="AD143" s="768" t="s">
        <v>491</v>
      </c>
      <c r="AE143" s="768" t="s">
        <v>491</v>
      </c>
      <c r="AF143" s="768" t="s">
        <v>491</v>
      </c>
      <c r="AG143" s="768" t="s">
        <v>491</v>
      </c>
      <c r="AH143" s="924">
        <v>185</v>
      </c>
      <c r="AI143" s="925">
        <v>37</v>
      </c>
    </row>
    <row r="144" spans="1:35" ht="21.95" customHeight="1" thickBot="1">
      <c r="A144" s="576"/>
      <c r="B144" s="889" t="s">
        <v>637</v>
      </c>
      <c r="C144" s="768" t="s">
        <v>491</v>
      </c>
      <c r="D144" s="768" t="s">
        <v>491</v>
      </c>
      <c r="E144" s="768" t="s">
        <v>491</v>
      </c>
      <c r="F144" s="768" t="s">
        <v>491</v>
      </c>
      <c r="G144" s="768"/>
      <c r="H144" s="768"/>
      <c r="I144" s="768" t="s">
        <v>491</v>
      </c>
      <c r="J144" s="768" t="s">
        <v>491</v>
      </c>
      <c r="K144" s="768" t="s">
        <v>491</v>
      </c>
      <c r="L144" s="768" t="s">
        <v>491</v>
      </c>
      <c r="M144" s="768" t="s">
        <v>491</v>
      </c>
      <c r="N144" s="768"/>
      <c r="O144" s="768"/>
      <c r="P144" s="768" t="s">
        <v>491</v>
      </c>
      <c r="Q144" s="768" t="s">
        <v>491</v>
      </c>
      <c r="R144" s="768" t="s">
        <v>491</v>
      </c>
      <c r="S144" s="768" t="s">
        <v>491</v>
      </c>
      <c r="T144" s="768" t="s">
        <v>491</v>
      </c>
      <c r="U144" s="768"/>
      <c r="V144" s="768"/>
      <c r="W144" s="768" t="s">
        <v>491</v>
      </c>
      <c r="X144" s="768" t="s">
        <v>491</v>
      </c>
      <c r="Y144" s="768" t="s">
        <v>491</v>
      </c>
      <c r="Z144" s="768" t="s">
        <v>491</v>
      </c>
      <c r="AA144" s="768" t="s">
        <v>491</v>
      </c>
      <c r="AB144" s="768"/>
      <c r="AC144" s="768"/>
      <c r="AD144" s="768" t="s">
        <v>491</v>
      </c>
      <c r="AE144" s="768" t="s">
        <v>491</v>
      </c>
      <c r="AF144" s="768" t="s">
        <v>491</v>
      </c>
      <c r="AG144" s="768" t="s">
        <v>491</v>
      </c>
      <c r="AH144" s="597">
        <v>141</v>
      </c>
      <c r="AI144" s="598">
        <v>37</v>
      </c>
    </row>
    <row r="145" spans="1:36" ht="21.95" customHeight="1">
      <c r="A145" s="576"/>
      <c r="B145" s="847"/>
      <c r="C145" s="555"/>
      <c r="D145" s="555"/>
      <c r="E145" s="555"/>
      <c r="F145" s="555"/>
      <c r="G145" s="555"/>
      <c r="H145" s="555"/>
      <c r="I145" s="555"/>
      <c r="J145" s="555"/>
      <c r="K145" s="555"/>
      <c r="L145" s="555"/>
      <c r="M145" s="555"/>
      <c r="N145" s="555"/>
      <c r="O145" s="555"/>
      <c r="P145" s="555"/>
      <c r="Q145" s="555"/>
      <c r="R145" s="555"/>
      <c r="S145" s="555"/>
      <c r="T145" s="555"/>
      <c r="U145" s="555"/>
      <c r="V145" s="555"/>
      <c r="W145" s="555"/>
      <c r="X145" s="555"/>
      <c r="Y145" s="555"/>
      <c r="Z145" s="555"/>
      <c r="AA145" s="555"/>
      <c r="AB145" s="555"/>
      <c r="AC145" s="555"/>
      <c r="AD145" s="555"/>
      <c r="AE145" s="555"/>
      <c r="AF145" s="555"/>
      <c r="AG145" s="555"/>
      <c r="AH145" s="998"/>
      <c r="AI145" s="998"/>
    </row>
    <row r="146" spans="1:36" ht="21.95" customHeight="1" thickBot="1">
      <c r="A146" s="805" t="s">
        <v>639</v>
      </c>
      <c r="B146" s="538"/>
      <c r="C146" s="555"/>
      <c r="D146" s="538"/>
      <c r="E146" s="538"/>
      <c r="F146" s="538"/>
      <c r="G146" s="538"/>
      <c r="H146" s="538"/>
      <c r="I146" s="555"/>
      <c r="J146" s="555"/>
      <c r="K146" s="538"/>
      <c r="L146" s="538"/>
      <c r="M146" s="538"/>
      <c r="N146" s="538"/>
      <c r="O146" s="538"/>
      <c r="P146" s="538"/>
      <c r="Q146" s="555"/>
      <c r="R146" s="538"/>
      <c r="S146" s="538"/>
      <c r="T146" s="538"/>
      <c r="U146" s="538"/>
      <c r="V146" s="538"/>
      <c r="W146" s="555"/>
      <c r="X146" s="555"/>
      <c r="Y146" s="538"/>
      <c r="Z146" s="538"/>
      <c r="AA146" s="538"/>
      <c r="AB146" s="538"/>
      <c r="AC146" s="538"/>
      <c r="AD146" s="538"/>
      <c r="AE146" s="555"/>
      <c r="AF146" s="538"/>
      <c r="AG146" s="538"/>
      <c r="AH146" s="556"/>
      <c r="AI146" s="556"/>
    </row>
    <row r="147" spans="1:36" ht="21.95" customHeight="1">
      <c r="A147" s="576"/>
      <c r="B147" s="806" t="s">
        <v>589</v>
      </c>
      <c r="C147" s="814"/>
      <c r="D147" s="807" t="s">
        <v>2</v>
      </c>
      <c r="E147" s="808"/>
      <c r="F147" s="809"/>
      <c r="G147" s="810"/>
      <c r="H147" s="807" t="s">
        <v>3</v>
      </c>
      <c r="I147" s="808"/>
      <c r="J147" s="809"/>
      <c r="K147" s="810"/>
      <c r="L147" s="807" t="s">
        <v>4</v>
      </c>
      <c r="M147" s="808"/>
      <c r="N147" s="809"/>
      <c r="O147" s="810"/>
      <c r="P147" s="807" t="s">
        <v>5</v>
      </c>
      <c r="Q147" s="808"/>
      <c r="R147" s="809"/>
      <c r="S147" s="810"/>
      <c r="T147" s="807" t="s">
        <v>6</v>
      </c>
      <c r="U147" s="808"/>
      <c r="V147" s="809"/>
      <c r="W147" s="810"/>
      <c r="X147" s="807" t="s">
        <v>7</v>
      </c>
      <c r="Y147" s="808"/>
      <c r="Z147" s="809"/>
      <c r="AA147" s="810"/>
      <c r="AB147" s="807" t="s">
        <v>8</v>
      </c>
      <c r="AC147" s="808"/>
      <c r="AD147" s="808"/>
      <c r="AE147" s="811" t="s">
        <v>10</v>
      </c>
      <c r="AF147" s="808"/>
      <c r="AG147" s="808"/>
      <c r="AH147" s="808"/>
      <c r="AI147" s="812"/>
    </row>
    <row r="148" spans="1:36" ht="21.95" customHeight="1">
      <c r="A148" s="576"/>
      <c r="B148" s="832"/>
      <c r="C148" s="815"/>
      <c r="D148" s="831"/>
      <c r="E148" s="816"/>
      <c r="F148" s="813"/>
      <c r="G148" s="815"/>
      <c r="H148" s="831"/>
      <c r="I148" s="816"/>
      <c r="J148" s="813"/>
      <c r="K148" s="815"/>
      <c r="L148" s="831"/>
      <c r="M148" s="816"/>
      <c r="N148" s="813"/>
      <c r="O148" s="815"/>
      <c r="P148" s="831"/>
      <c r="Q148" s="816"/>
      <c r="R148" s="813"/>
      <c r="S148" s="815"/>
      <c r="T148" s="831"/>
      <c r="U148" s="816"/>
      <c r="V148" s="813"/>
      <c r="W148" s="815"/>
      <c r="X148" s="816"/>
      <c r="Y148" s="816"/>
      <c r="Z148" s="813"/>
      <c r="AA148" s="815"/>
      <c r="AB148" s="816"/>
      <c r="AC148" s="816"/>
      <c r="AD148" s="816"/>
      <c r="AE148" s="815"/>
      <c r="AF148" s="816"/>
      <c r="AG148" s="816"/>
      <c r="AH148" s="818"/>
      <c r="AI148" s="819"/>
    </row>
    <row r="149" spans="1:36" ht="21.95" customHeight="1">
      <c r="A149" s="576"/>
      <c r="B149" s="833"/>
      <c r="C149" s="815"/>
      <c r="D149" s="831"/>
      <c r="E149" s="816"/>
      <c r="F149" s="813"/>
      <c r="G149" s="815"/>
      <c r="H149" s="831"/>
      <c r="I149" s="816"/>
      <c r="J149" s="813"/>
      <c r="K149" s="815"/>
      <c r="L149" s="831"/>
      <c r="M149" s="816"/>
      <c r="N149" s="813"/>
      <c r="O149" s="815"/>
      <c r="P149" s="831"/>
      <c r="Q149" s="816"/>
      <c r="R149" s="813"/>
      <c r="S149" s="815"/>
      <c r="T149" s="831"/>
      <c r="U149" s="816"/>
      <c r="V149" s="813"/>
      <c r="W149" s="815"/>
      <c r="X149" s="816"/>
      <c r="Y149" s="816"/>
      <c r="Z149" s="813"/>
      <c r="AA149" s="815"/>
      <c r="AB149" s="816"/>
      <c r="AC149" s="816"/>
      <c r="AD149" s="816"/>
      <c r="AE149" s="815"/>
      <c r="AF149" s="816"/>
      <c r="AG149" s="816"/>
      <c r="AH149" s="818"/>
      <c r="AI149" s="819"/>
    </row>
    <row r="150" spans="1:36" ht="21.95" customHeight="1">
      <c r="A150" s="576"/>
      <c r="B150" s="833"/>
      <c r="C150" s="815"/>
      <c r="D150" s="831"/>
      <c r="E150" s="816"/>
      <c r="F150" s="813"/>
      <c r="G150" s="815"/>
      <c r="H150" s="831"/>
      <c r="I150" s="816"/>
      <c r="J150" s="813"/>
      <c r="K150" s="815"/>
      <c r="L150" s="831"/>
      <c r="M150" s="816"/>
      <c r="N150" s="813"/>
      <c r="O150" s="815"/>
      <c r="P150" s="831"/>
      <c r="Q150" s="816"/>
      <c r="R150" s="813"/>
      <c r="S150" s="815"/>
      <c r="T150" s="831"/>
      <c r="U150" s="816"/>
      <c r="V150" s="813"/>
      <c r="W150" s="815"/>
      <c r="X150" s="816"/>
      <c r="Y150" s="816"/>
      <c r="Z150" s="813"/>
      <c r="AA150" s="815"/>
      <c r="AB150" s="816"/>
      <c r="AC150" s="816"/>
      <c r="AD150" s="816"/>
      <c r="AE150" s="815"/>
      <c r="AF150" s="816"/>
      <c r="AG150" s="816"/>
      <c r="AH150" s="818"/>
      <c r="AI150" s="819"/>
    </row>
    <row r="151" spans="1:36" ht="21.95" customHeight="1" thickBot="1">
      <c r="A151" s="576"/>
      <c r="B151" s="847"/>
      <c r="C151" s="555"/>
      <c r="D151" s="555"/>
      <c r="E151" s="555"/>
      <c r="F151" s="555"/>
      <c r="G151" s="555"/>
      <c r="H151" s="555"/>
      <c r="I151" s="555"/>
      <c r="J151" s="555"/>
      <c r="K151" s="555"/>
      <c r="L151" s="555"/>
      <c r="M151" s="555"/>
      <c r="N151" s="555"/>
      <c r="O151" s="555"/>
      <c r="P151" s="555"/>
      <c r="Q151" s="555"/>
      <c r="R151" s="555"/>
      <c r="S151" s="555"/>
      <c r="T151" s="555"/>
      <c r="U151" s="555"/>
      <c r="V151" s="555"/>
      <c r="W151" s="555"/>
      <c r="X151" s="555"/>
      <c r="Y151" s="555"/>
      <c r="Z151" s="555"/>
      <c r="AA151" s="555"/>
      <c r="AB151" s="555"/>
      <c r="AC151" s="555"/>
      <c r="AD151" s="555"/>
      <c r="AE151" s="555"/>
      <c r="AF151" s="555"/>
      <c r="AG151" s="555"/>
      <c r="AH151" s="556"/>
      <c r="AI151" s="556"/>
    </row>
    <row r="152" spans="1:36" ht="21.95" customHeight="1" thickBot="1">
      <c r="A152" s="785"/>
      <c r="B152" s="883" t="s">
        <v>476</v>
      </c>
      <c r="C152" s="946">
        <v>1</v>
      </c>
      <c r="D152" s="863">
        <v>2</v>
      </c>
      <c r="E152" s="863">
        <v>3</v>
      </c>
      <c r="F152" s="863">
        <v>4</v>
      </c>
      <c r="G152" s="880">
        <v>5</v>
      </c>
      <c r="H152" s="880">
        <v>6</v>
      </c>
      <c r="I152" s="863">
        <v>7</v>
      </c>
      <c r="J152" s="863">
        <v>8</v>
      </c>
      <c r="K152" s="863">
        <v>9</v>
      </c>
      <c r="L152" s="863">
        <v>10</v>
      </c>
      <c r="M152" s="863">
        <v>11</v>
      </c>
      <c r="N152" s="880">
        <v>12</v>
      </c>
      <c r="O152" s="880">
        <v>13</v>
      </c>
      <c r="P152" s="863">
        <v>14</v>
      </c>
      <c r="Q152" s="863">
        <v>15</v>
      </c>
      <c r="R152" s="863">
        <v>16</v>
      </c>
      <c r="S152" s="863">
        <v>17</v>
      </c>
      <c r="T152" s="863">
        <v>18</v>
      </c>
      <c r="U152" s="880">
        <v>19</v>
      </c>
      <c r="V152" s="880">
        <v>20</v>
      </c>
      <c r="W152" s="863">
        <v>21</v>
      </c>
      <c r="X152" s="863">
        <v>22</v>
      </c>
      <c r="Y152" s="863">
        <v>23</v>
      </c>
      <c r="Z152" s="863">
        <v>24</v>
      </c>
      <c r="AA152" s="863">
        <v>25</v>
      </c>
      <c r="AB152" s="880">
        <v>26</v>
      </c>
      <c r="AC152" s="880">
        <v>27</v>
      </c>
      <c r="AD152" s="863">
        <v>28</v>
      </c>
      <c r="AE152" s="863">
        <v>29</v>
      </c>
      <c r="AF152" s="863">
        <v>30</v>
      </c>
      <c r="AG152" s="945">
        <v>31</v>
      </c>
      <c r="AH152" s="884" t="s">
        <v>477</v>
      </c>
      <c r="AI152" s="885" t="s">
        <v>478</v>
      </c>
    </row>
    <row r="153" spans="1:36" ht="21.95" customHeight="1">
      <c r="A153" s="576"/>
      <c r="B153" s="890" t="s">
        <v>640</v>
      </c>
      <c r="C153" s="768" t="s">
        <v>491</v>
      </c>
      <c r="D153" s="768" t="s">
        <v>491</v>
      </c>
      <c r="E153" s="768" t="s">
        <v>491</v>
      </c>
      <c r="F153" s="768" t="s">
        <v>491</v>
      </c>
      <c r="G153" s="768"/>
      <c r="H153" s="768"/>
      <c r="I153" s="768" t="s">
        <v>491</v>
      </c>
      <c r="J153" s="768" t="s">
        <v>491</v>
      </c>
      <c r="K153" s="768" t="s">
        <v>491</v>
      </c>
      <c r="L153" s="768" t="s">
        <v>491</v>
      </c>
      <c r="M153" s="768" t="s">
        <v>491</v>
      </c>
      <c r="N153" s="768"/>
      <c r="O153" s="768"/>
      <c r="P153" s="768" t="s">
        <v>491</v>
      </c>
      <c r="Q153" s="768" t="s">
        <v>491</v>
      </c>
      <c r="R153" s="768" t="s">
        <v>491</v>
      </c>
      <c r="S153" s="768" t="s">
        <v>491</v>
      </c>
      <c r="T153" s="768" t="s">
        <v>491</v>
      </c>
      <c r="U153" s="768"/>
      <c r="V153" s="768"/>
      <c r="W153" s="768" t="s">
        <v>491</v>
      </c>
      <c r="X153" s="768" t="s">
        <v>491</v>
      </c>
      <c r="Y153" s="768" t="s">
        <v>491</v>
      </c>
      <c r="Z153" s="768" t="s">
        <v>491</v>
      </c>
      <c r="AA153" s="768" t="s">
        <v>491</v>
      </c>
      <c r="AB153" s="768"/>
      <c r="AC153" s="768"/>
      <c r="AD153" s="768" t="s">
        <v>491</v>
      </c>
      <c r="AE153" s="768" t="s">
        <v>491</v>
      </c>
      <c r="AF153" s="768" t="s">
        <v>491</v>
      </c>
      <c r="AG153" s="768" t="s">
        <v>491</v>
      </c>
      <c r="AH153" s="510">
        <v>148</v>
      </c>
      <c r="AI153" s="511">
        <v>37</v>
      </c>
    </row>
    <row r="154" spans="1:36" ht="21.95" customHeight="1">
      <c r="A154" s="576"/>
      <c r="B154" s="859" t="s">
        <v>742</v>
      </c>
      <c r="C154" s="768" t="s">
        <v>491</v>
      </c>
      <c r="D154" s="768" t="s">
        <v>491</v>
      </c>
      <c r="E154" s="768" t="s">
        <v>491</v>
      </c>
      <c r="F154" s="768" t="s">
        <v>491</v>
      </c>
      <c r="G154" s="768"/>
      <c r="H154" s="768"/>
      <c r="I154" s="768" t="s">
        <v>491</v>
      </c>
      <c r="J154" s="768" t="s">
        <v>491</v>
      </c>
      <c r="K154" s="768" t="s">
        <v>491</v>
      </c>
      <c r="L154" s="768" t="s">
        <v>491</v>
      </c>
      <c r="M154" s="768" t="s">
        <v>491</v>
      </c>
      <c r="N154" s="768"/>
      <c r="O154" s="768"/>
      <c r="P154" s="970" t="s">
        <v>491</v>
      </c>
      <c r="Q154" s="970" t="s">
        <v>491</v>
      </c>
      <c r="R154" s="970" t="s">
        <v>491</v>
      </c>
      <c r="S154" s="970" t="s">
        <v>491</v>
      </c>
      <c r="T154" s="970" t="s">
        <v>491</v>
      </c>
      <c r="U154" s="970"/>
      <c r="V154" s="970"/>
      <c r="W154" s="970" t="s">
        <v>491</v>
      </c>
      <c r="X154" s="970" t="s">
        <v>491</v>
      </c>
      <c r="Y154" s="970" t="s">
        <v>491</v>
      </c>
      <c r="Z154" s="970" t="s">
        <v>491</v>
      </c>
      <c r="AA154" s="970" t="s">
        <v>491</v>
      </c>
      <c r="AB154" s="970"/>
      <c r="AC154" s="970"/>
      <c r="AD154" s="970" t="s">
        <v>491</v>
      </c>
      <c r="AE154" s="970" t="s">
        <v>491</v>
      </c>
      <c r="AF154" s="970" t="s">
        <v>491</v>
      </c>
      <c r="AG154" s="970" t="s">
        <v>491</v>
      </c>
      <c r="AH154" s="924">
        <v>185</v>
      </c>
      <c r="AI154" s="925">
        <v>37</v>
      </c>
    </row>
    <row r="155" spans="1:36" ht="21.95" customHeight="1">
      <c r="A155" s="576"/>
      <c r="B155" s="821" t="s">
        <v>641</v>
      </c>
      <c r="C155" s="768" t="s">
        <v>491</v>
      </c>
      <c r="D155" s="768" t="s">
        <v>491</v>
      </c>
      <c r="E155" s="768" t="s">
        <v>491</v>
      </c>
      <c r="F155" s="970" t="s">
        <v>491</v>
      </c>
      <c r="G155" s="970"/>
      <c r="H155" s="970"/>
      <c r="I155" s="970" t="s">
        <v>491</v>
      </c>
      <c r="J155" s="970" t="s">
        <v>491</v>
      </c>
      <c r="K155" s="970" t="s">
        <v>491</v>
      </c>
      <c r="L155" s="970" t="s">
        <v>491</v>
      </c>
      <c r="M155" s="970" t="s">
        <v>491</v>
      </c>
      <c r="N155" s="970"/>
      <c r="O155" s="970"/>
      <c r="P155" s="970" t="s">
        <v>491</v>
      </c>
      <c r="Q155" s="970" t="s">
        <v>491</v>
      </c>
      <c r="R155" s="970" t="s">
        <v>491</v>
      </c>
      <c r="S155" s="970" t="s">
        <v>491</v>
      </c>
      <c r="T155" s="970" t="s">
        <v>491</v>
      </c>
      <c r="U155" s="768"/>
      <c r="V155" s="768"/>
      <c r="W155" s="768" t="s">
        <v>491</v>
      </c>
      <c r="X155" s="768" t="s">
        <v>491</v>
      </c>
      <c r="Y155" s="768" t="s">
        <v>491</v>
      </c>
      <c r="Z155" s="768" t="s">
        <v>491</v>
      </c>
      <c r="AA155" s="768" t="s">
        <v>491</v>
      </c>
      <c r="AB155" s="768"/>
      <c r="AC155" s="768"/>
      <c r="AD155" s="768" t="s">
        <v>491</v>
      </c>
      <c r="AE155" s="768" t="s">
        <v>491</v>
      </c>
      <c r="AF155" s="768" t="s">
        <v>491</v>
      </c>
      <c r="AG155" s="768" t="s">
        <v>491</v>
      </c>
      <c r="AH155" s="924">
        <v>75</v>
      </c>
      <c r="AI155" s="925">
        <v>37</v>
      </c>
    </row>
    <row r="156" spans="1:36" ht="21.95" customHeight="1">
      <c r="A156" s="576"/>
      <c r="B156" s="821" t="s">
        <v>642</v>
      </c>
      <c r="C156" s="768" t="s">
        <v>491</v>
      </c>
      <c r="D156" s="768" t="s">
        <v>491</v>
      </c>
      <c r="E156" s="768" t="s">
        <v>491</v>
      </c>
      <c r="F156" s="768" t="s">
        <v>491</v>
      </c>
      <c r="G156" s="768"/>
      <c r="H156" s="768"/>
      <c r="I156" s="768" t="s">
        <v>491</v>
      </c>
      <c r="J156" s="768" t="s">
        <v>491</v>
      </c>
      <c r="K156" s="768" t="s">
        <v>491</v>
      </c>
      <c r="L156" s="768" t="s">
        <v>491</v>
      </c>
      <c r="M156" s="768" t="s">
        <v>491</v>
      </c>
      <c r="N156" s="768"/>
      <c r="O156" s="768"/>
      <c r="P156" s="768" t="s">
        <v>491</v>
      </c>
      <c r="Q156" s="768" t="s">
        <v>491</v>
      </c>
      <c r="R156" s="768" t="s">
        <v>491</v>
      </c>
      <c r="S156" s="768" t="s">
        <v>491</v>
      </c>
      <c r="T156" s="768" t="s">
        <v>491</v>
      </c>
      <c r="U156" s="768"/>
      <c r="V156" s="768"/>
      <c r="W156" s="768" t="s">
        <v>491</v>
      </c>
      <c r="X156" s="768" t="s">
        <v>491</v>
      </c>
      <c r="Y156" s="768" t="s">
        <v>491</v>
      </c>
      <c r="Z156" s="768" t="s">
        <v>491</v>
      </c>
      <c r="AA156" s="768" t="s">
        <v>491</v>
      </c>
      <c r="AB156" s="768"/>
      <c r="AC156" s="768"/>
      <c r="AD156" s="970" t="s">
        <v>491</v>
      </c>
      <c r="AE156" s="970" t="s">
        <v>491</v>
      </c>
      <c r="AF156" s="970" t="s">
        <v>491</v>
      </c>
      <c r="AG156" s="970" t="s">
        <v>491</v>
      </c>
      <c r="AH156" s="924">
        <v>200</v>
      </c>
      <c r="AI156" s="925">
        <v>37</v>
      </c>
    </row>
    <row r="157" spans="1:36" ht="21.95" customHeight="1">
      <c r="A157" s="576"/>
      <c r="B157" s="821" t="s">
        <v>643</v>
      </c>
      <c r="C157" s="970" t="s">
        <v>491</v>
      </c>
      <c r="D157" s="970" t="s">
        <v>491</v>
      </c>
      <c r="E157" s="970" t="s">
        <v>491</v>
      </c>
      <c r="F157" s="970" t="s">
        <v>491</v>
      </c>
      <c r="G157" s="970"/>
      <c r="H157" s="970"/>
      <c r="I157" s="970" t="s">
        <v>491</v>
      </c>
      <c r="J157" s="970" t="s">
        <v>491</v>
      </c>
      <c r="K157" s="970" t="s">
        <v>491</v>
      </c>
      <c r="L157" s="970" t="s">
        <v>491</v>
      </c>
      <c r="M157" s="970" t="s">
        <v>491</v>
      </c>
      <c r="N157" s="970"/>
      <c r="O157" s="970"/>
      <c r="P157" s="970" t="s">
        <v>491</v>
      </c>
      <c r="Q157" s="970" t="s">
        <v>491</v>
      </c>
      <c r="R157" s="970" t="s">
        <v>491</v>
      </c>
      <c r="S157" s="970" t="s">
        <v>491</v>
      </c>
      <c r="T157" s="970" t="s">
        <v>491</v>
      </c>
      <c r="U157" s="970"/>
      <c r="V157" s="970"/>
      <c r="W157" s="768" t="s">
        <v>491</v>
      </c>
      <c r="X157" s="768" t="s">
        <v>491</v>
      </c>
      <c r="Y157" s="768" t="s">
        <v>491</v>
      </c>
      <c r="Z157" s="768" t="s">
        <v>491</v>
      </c>
      <c r="AA157" s="768" t="s">
        <v>491</v>
      </c>
      <c r="AB157" s="768"/>
      <c r="AC157" s="768"/>
      <c r="AD157" s="768" t="s">
        <v>491</v>
      </c>
      <c r="AE157" s="768" t="s">
        <v>491</v>
      </c>
      <c r="AF157" s="768" t="s">
        <v>491</v>
      </c>
      <c r="AG157" s="768" t="s">
        <v>491</v>
      </c>
      <c r="AH157" s="924">
        <v>74.5</v>
      </c>
      <c r="AI157" s="925">
        <v>37</v>
      </c>
    </row>
    <row r="158" spans="1:36" ht="21.95" customHeight="1" thickBot="1">
      <c r="A158" s="576"/>
      <c r="B158" s="859"/>
      <c r="C158" s="867" t="s">
        <v>491</v>
      </c>
      <c r="D158" s="867" t="s">
        <v>491</v>
      </c>
      <c r="E158" s="867" t="s">
        <v>491</v>
      </c>
      <c r="F158" s="867" t="s">
        <v>491</v>
      </c>
      <c r="G158" s="867"/>
      <c r="H158" s="867"/>
      <c r="I158" s="867" t="s">
        <v>491</v>
      </c>
      <c r="J158" s="867" t="s">
        <v>491</v>
      </c>
      <c r="K158" s="867" t="s">
        <v>491</v>
      </c>
      <c r="L158" s="867" t="s">
        <v>491</v>
      </c>
      <c r="M158" s="867" t="s">
        <v>491</v>
      </c>
      <c r="N158" s="867"/>
      <c r="O158" s="867"/>
      <c r="P158" s="867" t="s">
        <v>491</v>
      </c>
      <c r="Q158" s="867" t="s">
        <v>491</v>
      </c>
      <c r="R158" s="867" t="s">
        <v>491</v>
      </c>
      <c r="S158" s="867"/>
      <c r="T158" s="867"/>
      <c r="U158" s="867"/>
      <c r="V158" s="867"/>
      <c r="W158" s="867"/>
      <c r="X158" s="867" t="s">
        <v>491</v>
      </c>
      <c r="Y158" s="867" t="s">
        <v>491</v>
      </c>
      <c r="Z158" s="867" t="s">
        <v>491</v>
      </c>
      <c r="AA158" s="867" t="s">
        <v>491</v>
      </c>
      <c r="AB158" s="867"/>
      <c r="AC158" s="867"/>
      <c r="AD158" s="867" t="s">
        <v>491</v>
      </c>
      <c r="AE158" s="867" t="s">
        <v>491</v>
      </c>
      <c r="AF158" s="867" t="s">
        <v>491</v>
      </c>
      <c r="AG158" s="887"/>
      <c r="AH158" s="868">
        <v>185</v>
      </c>
      <c r="AI158" s="869">
        <v>37</v>
      </c>
    </row>
    <row r="159" spans="1:36" ht="21.95" customHeight="1">
      <c r="A159" s="576"/>
      <c r="B159" s="847"/>
      <c r="C159" s="555"/>
      <c r="D159" s="555"/>
      <c r="E159" s="555"/>
      <c r="F159" s="555"/>
      <c r="G159" s="555"/>
      <c r="H159" s="555"/>
      <c r="I159" s="555"/>
      <c r="J159" s="555"/>
      <c r="K159" s="555"/>
      <c r="L159" s="555"/>
      <c r="M159" s="555"/>
      <c r="N159" s="555"/>
      <c r="O159" s="555"/>
      <c r="P159" s="555"/>
      <c r="Q159" s="555"/>
      <c r="R159" s="555"/>
      <c r="S159" s="555"/>
      <c r="T159" s="555"/>
      <c r="U159" s="555"/>
      <c r="V159" s="555"/>
      <c r="W159" s="555"/>
      <c r="X159" s="555"/>
      <c r="Y159" s="555"/>
      <c r="Z159" s="555"/>
      <c r="AA159" s="555"/>
      <c r="AB159" s="555"/>
      <c r="AC159" s="555"/>
      <c r="AD159" s="555"/>
      <c r="AE159" s="555"/>
      <c r="AF159" s="555"/>
      <c r="AG159" s="555"/>
      <c r="AH159" s="556"/>
      <c r="AI159" s="556"/>
    </row>
    <row r="160" spans="1:36" ht="21.95" customHeight="1">
      <c r="A160" s="312" t="s">
        <v>644</v>
      </c>
      <c r="C160" s="555"/>
      <c r="D160" s="555"/>
      <c r="E160" s="555"/>
      <c r="F160" s="555"/>
      <c r="G160" s="555"/>
      <c r="H160" s="555"/>
      <c r="I160" s="555"/>
      <c r="J160" s="555"/>
      <c r="K160" s="555"/>
      <c r="L160" s="555"/>
      <c r="M160" s="555"/>
      <c r="N160" s="555"/>
      <c r="O160" s="555"/>
      <c r="P160" s="555"/>
      <c r="Q160" s="555"/>
      <c r="R160" s="555"/>
      <c r="S160" s="555"/>
      <c r="T160" s="555"/>
      <c r="U160" s="555"/>
      <c r="V160" s="555"/>
      <c r="W160" s="555"/>
      <c r="X160" s="555"/>
      <c r="Y160" s="555"/>
      <c r="Z160" s="555"/>
      <c r="AA160" s="555"/>
      <c r="AB160" s="555"/>
      <c r="AC160" s="555"/>
      <c r="AD160" s="555"/>
      <c r="AE160" s="555"/>
      <c r="AF160" s="555"/>
      <c r="AG160" s="555"/>
      <c r="AH160" s="556"/>
      <c r="AI160" s="556"/>
      <c r="AJ160" s="361"/>
    </row>
    <row r="161" spans="1:36" ht="21.95" customHeight="1">
      <c r="A161" s="299" t="s">
        <v>475</v>
      </c>
      <c r="B161" s="299"/>
      <c r="C161" s="153"/>
      <c r="D161" s="299" t="s">
        <v>2</v>
      </c>
      <c r="E161" s="186"/>
      <c r="F161" s="153"/>
      <c r="G161" s="299" t="s">
        <v>3</v>
      </c>
      <c r="H161" s="186"/>
      <c r="I161" s="153"/>
      <c r="J161" s="299" t="s">
        <v>4</v>
      </c>
      <c r="K161" s="186"/>
      <c r="L161" s="153"/>
      <c r="M161" s="299" t="s">
        <v>5</v>
      </c>
      <c r="N161" s="186"/>
      <c r="O161" s="153"/>
      <c r="P161" s="299" t="s">
        <v>6</v>
      </c>
      <c r="Q161" s="186"/>
      <c r="R161" s="134"/>
      <c r="S161" s="199" t="s">
        <v>7</v>
      </c>
      <c r="T161" s="186"/>
      <c r="U161" s="153"/>
      <c r="V161" s="299" t="s">
        <v>8</v>
      </c>
      <c r="W161" s="186"/>
      <c r="X161" s="585" t="s">
        <v>10</v>
      </c>
      <c r="Y161" s="186"/>
      <c r="Z161" s="186"/>
      <c r="AA161" s="561"/>
      <c r="AB161" s="483"/>
      <c r="AC161" s="483"/>
      <c r="AD161" s="483"/>
      <c r="AE161" s="483"/>
      <c r="AF161" s="483"/>
      <c r="AG161" s="484"/>
      <c r="AH161" s="361"/>
      <c r="AI161" s="361"/>
      <c r="AJ161" s="361"/>
    </row>
    <row r="162" spans="1:36" ht="21.95" customHeight="1">
      <c r="A162" s="130">
        <v>8517</v>
      </c>
      <c r="B162" s="500" t="s">
        <v>645</v>
      </c>
      <c r="C162" s="584" t="s">
        <v>124</v>
      </c>
      <c r="D162" s="581"/>
      <c r="E162" s="586"/>
      <c r="F162" s="584" t="s">
        <v>124</v>
      </c>
      <c r="G162" s="587"/>
      <c r="H162" s="586"/>
      <c r="I162" s="121" t="s">
        <v>124</v>
      </c>
      <c r="J162" s="565"/>
      <c r="K162" s="588"/>
      <c r="L162" s="121" t="s">
        <v>124</v>
      </c>
      <c r="M162" s="565"/>
      <c r="N162" s="588"/>
      <c r="O162" s="121" t="s">
        <v>125</v>
      </c>
      <c r="P162" s="565"/>
      <c r="Q162" s="477"/>
      <c r="R162" s="589" t="s">
        <v>28</v>
      </c>
      <c r="S162" s="565"/>
      <c r="T162" s="588"/>
      <c r="U162" s="565" t="s">
        <v>28</v>
      </c>
      <c r="V162" s="565"/>
      <c r="W162" s="477"/>
      <c r="X162" s="145" t="s">
        <v>28</v>
      </c>
      <c r="Y162" s="361"/>
      <c r="Z162" s="361"/>
      <c r="AA162" s="361"/>
      <c r="AB162" s="361"/>
      <c r="AC162" s="361"/>
      <c r="AD162" s="361"/>
      <c r="AE162" s="361"/>
      <c r="AF162" s="361"/>
      <c r="AG162" s="590"/>
      <c r="AH162" s="361"/>
      <c r="AI162" s="361"/>
      <c r="AJ162" s="361"/>
    </row>
    <row r="163" spans="1:36" ht="21.95" customHeight="1">
      <c r="A163" s="591">
        <v>8502</v>
      </c>
      <c r="B163" s="592" t="s">
        <v>646</v>
      </c>
      <c r="C163" s="121" t="s">
        <v>11</v>
      </c>
      <c r="D163" s="565"/>
      <c r="E163" s="477"/>
      <c r="F163" s="121" t="s">
        <v>11</v>
      </c>
      <c r="G163" s="565"/>
      <c r="H163" s="588"/>
      <c r="I163" s="121" t="s">
        <v>11</v>
      </c>
      <c r="J163" s="565"/>
      <c r="K163" s="588"/>
      <c r="L163" s="121" t="s">
        <v>11</v>
      </c>
      <c r="M163" s="565"/>
      <c r="N163" s="588"/>
      <c r="O163" s="121" t="s">
        <v>12</v>
      </c>
      <c r="P163" s="565"/>
      <c r="Q163" s="477"/>
      <c r="R163" s="593"/>
      <c r="S163" s="594"/>
      <c r="T163" s="588"/>
      <c r="U163" s="565"/>
      <c r="V163" s="565"/>
      <c r="W163" s="477"/>
      <c r="X163" s="476"/>
      <c r="Y163" s="483"/>
      <c r="Z163" s="483"/>
      <c r="AA163" s="483"/>
      <c r="AB163" s="483"/>
      <c r="AC163" s="483"/>
      <c r="AD163" s="483"/>
      <c r="AE163" s="483"/>
      <c r="AF163" s="483"/>
      <c r="AG163" s="484"/>
      <c r="AH163" s="361"/>
      <c r="AI163" s="361"/>
      <c r="AJ163" s="361"/>
    </row>
    <row r="164" spans="1:36" ht="21.95" customHeight="1" thickBot="1">
      <c r="A164" s="274"/>
      <c r="B164" s="516"/>
      <c r="C164" s="354"/>
      <c r="D164" s="354"/>
      <c r="E164" s="73"/>
      <c r="F164" s="354"/>
      <c r="G164" s="354"/>
      <c r="H164" s="73"/>
      <c r="I164" s="354"/>
      <c r="J164" s="354"/>
      <c r="K164" s="73"/>
      <c r="L164" s="354"/>
      <c r="M164" s="354"/>
      <c r="N164" s="73"/>
      <c r="O164" s="354"/>
      <c r="P164" s="354"/>
      <c r="Q164" s="73"/>
      <c r="R164" s="168"/>
      <c r="S164" s="354"/>
      <c r="T164" s="73"/>
      <c r="U164" s="354"/>
      <c r="V164" s="354"/>
      <c r="W164" s="73"/>
      <c r="X164" s="73"/>
      <c r="Y164" s="361"/>
      <c r="Z164" s="361"/>
      <c r="AA164" s="361"/>
      <c r="AB164" s="361"/>
      <c r="AC164" s="361"/>
      <c r="AD164" s="361"/>
      <c r="AE164" s="361"/>
      <c r="AF164" s="361"/>
      <c r="AG164" s="361"/>
      <c r="AH164" s="361"/>
      <c r="AI164" s="361"/>
    </row>
    <row r="165" spans="1:36" ht="21.95" customHeight="1" thickBot="1">
      <c r="A165" s="595"/>
      <c r="B165" s="862" t="s">
        <v>476</v>
      </c>
      <c r="C165" s="863">
        <v>1</v>
      </c>
      <c r="D165" s="863">
        <v>2</v>
      </c>
      <c r="E165" s="863">
        <v>3</v>
      </c>
      <c r="F165" s="863">
        <v>4</v>
      </c>
      <c r="G165" s="880">
        <v>5</v>
      </c>
      <c r="H165" s="880">
        <v>6</v>
      </c>
      <c r="I165" s="863">
        <v>7</v>
      </c>
      <c r="J165" s="863">
        <v>8</v>
      </c>
      <c r="K165" s="863">
        <v>9</v>
      </c>
      <c r="L165" s="863">
        <v>10</v>
      </c>
      <c r="M165" s="863">
        <v>11</v>
      </c>
      <c r="N165" s="880">
        <v>12</v>
      </c>
      <c r="O165" s="880">
        <v>13</v>
      </c>
      <c r="P165" s="863">
        <v>14</v>
      </c>
      <c r="Q165" s="863">
        <v>15</v>
      </c>
      <c r="R165" s="863">
        <v>16</v>
      </c>
      <c r="S165" s="863">
        <v>17</v>
      </c>
      <c r="T165" s="863">
        <v>18</v>
      </c>
      <c r="U165" s="880">
        <v>19</v>
      </c>
      <c r="V165" s="880">
        <v>20</v>
      </c>
      <c r="W165" s="863">
        <v>21</v>
      </c>
      <c r="X165" s="863">
        <v>22</v>
      </c>
      <c r="Y165" s="863">
        <v>23</v>
      </c>
      <c r="Z165" s="863">
        <v>24</v>
      </c>
      <c r="AA165" s="863">
        <v>25</v>
      </c>
      <c r="AB165" s="880">
        <v>26</v>
      </c>
      <c r="AC165" s="880">
        <v>27</v>
      </c>
      <c r="AD165" s="863">
        <v>28</v>
      </c>
      <c r="AE165" s="863">
        <v>29</v>
      </c>
      <c r="AF165" s="863">
        <v>30</v>
      </c>
      <c r="AG165" s="943">
        <v>31</v>
      </c>
      <c r="AH165" s="864" t="s">
        <v>477</v>
      </c>
      <c r="AI165" s="865" t="s">
        <v>478</v>
      </c>
    </row>
    <row r="166" spans="1:36" s="1091" customFormat="1" ht="21.95" customHeight="1">
      <c r="A166" s="1090">
        <v>1</v>
      </c>
      <c r="B166" s="542" t="s">
        <v>516</v>
      </c>
      <c r="C166" s="768" t="s">
        <v>491</v>
      </c>
      <c r="D166" s="768" t="s">
        <v>491</v>
      </c>
      <c r="E166" s="768" t="s">
        <v>491</v>
      </c>
      <c r="F166" s="768" t="s">
        <v>491</v>
      </c>
      <c r="G166" s="768" t="s">
        <v>28</v>
      </c>
      <c r="H166" s="768" t="s">
        <v>28</v>
      </c>
      <c r="I166" s="768" t="s">
        <v>491</v>
      </c>
      <c r="J166" s="768" t="s">
        <v>491</v>
      </c>
      <c r="K166" s="768" t="s">
        <v>491</v>
      </c>
      <c r="L166" s="768" t="s">
        <v>491</v>
      </c>
      <c r="M166" s="768" t="s">
        <v>491</v>
      </c>
      <c r="N166" s="768" t="s">
        <v>28</v>
      </c>
      <c r="O166" s="768" t="s">
        <v>28</v>
      </c>
      <c r="P166" s="768" t="s">
        <v>491</v>
      </c>
      <c r="Q166" s="768" t="s">
        <v>491</v>
      </c>
      <c r="R166" s="768" t="s">
        <v>491</v>
      </c>
      <c r="S166" s="768" t="s">
        <v>491</v>
      </c>
      <c r="T166" s="768" t="s">
        <v>491</v>
      </c>
      <c r="U166" s="768" t="s">
        <v>28</v>
      </c>
      <c r="V166" s="768" t="s">
        <v>28</v>
      </c>
      <c r="W166" s="768" t="s">
        <v>491</v>
      </c>
      <c r="X166" s="768" t="s">
        <v>491</v>
      </c>
      <c r="Y166" s="768" t="s">
        <v>491</v>
      </c>
      <c r="Z166" s="768" t="s">
        <v>491</v>
      </c>
      <c r="AA166" s="768" t="s">
        <v>491</v>
      </c>
      <c r="AB166" s="764"/>
      <c r="AC166" s="764"/>
      <c r="AD166" s="1128" t="s">
        <v>585</v>
      </c>
      <c r="AE166" s="764" t="s">
        <v>585</v>
      </c>
      <c r="AF166" s="764" t="s">
        <v>585</v>
      </c>
      <c r="AG166" s="764" t="s">
        <v>585</v>
      </c>
      <c r="AH166" s="892">
        <v>185</v>
      </c>
      <c r="AI166" s="893">
        <v>37</v>
      </c>
    </row>
    <row r="167" spans="1:36" s="1091" customFormat="1" ht="21.95" customHeight="1">
      <c r="A167" s="1090">
        <v>2</v>
      </c>
      <c r="B167" s="1092" t="s">
        <v>648</v>
      </c>
      <c r="C167" s="764" t="s">
        <v>583</v>
      </c>
      <c r="D167" s="764" t="s">
        <v>583</v>
      </c>
      <c r="E167" s="764" t="s">
        <v>583</v>
      </c>
      <c r="F167" s="764" t="s">
        <v>583</v>
      </c>
      <c r="G167" s="764" t="s">
        <v>583</v>
      </c>
      <c r="H167" s="768"/>
      <c r="I167" s="970" t="s">
        <v>491</v>
      </c>
      <c r="J167" s="970" t="s">
        <v>491</v>
      </c>
      <c r="K167" s="970" t="s">
        <v>491</v>
      </c>
      <c r="L167" s="970" t="s">
        <v>491</v>
      </c>
      <c r="M167" s="970" t="s">
        <v>491</v>
      </c>
      <c r="N167" s="970"/>
      <c r="O167" s="970"/>
      <c r="P167" s="970" t="s">
        <v>491</v>
      </c>
      <c r="Q167" s="970" t="s">
        <v>491</v>
      </c>
      <c r="R167" s="970" t="s">
        <v>491</v>
      </c>
      <c r="S167" s="970" t="s">
        <v>491</v>
      </c>
      <c r="T167" s="970" t="s">
        <v>491</v>
      </c>
      <c r="U167" s="970"/>
      <c r="V167" s="970"/>
      <c r="W167" s="970" t="s">
        <v>491</v>
      </c>
      <c r="X167" s="970" t="s">
        <v>491</v>
      </c>
      <c r="Y167" s="970" t="s">
        <v>491</v>
      </c>
      <c r="Z167" s="970" t="s">
        <v>491</v>
      </c>
      <c r="AA167" s="970" t="s">
        <v>491</v>
      </c>
      <c r="AB167" s="970"/>
      <c r="AC167" s="970"/>
      <c r="AD167" s="768" t="s">
        <v>553</v>
      </c>
      <c r="AE167" s="768" t="s">
        <v>553</v>
      </c>
      <c r="AF167" s="768" t="s">
        <v>553</v>
      </c>
      <c r="AG167" s="768" t="s">
        <v>554</v>
      </c>
      <c r="AH167" s="822">
        <v>74</v>
      </c>
      <c r="AI167" s="823">
        <v>37</v>
      </c>
    </row>
    <row r="168" spans="1:36" s="1091" customFormat="1" ht="21.95" customHeight="1">
      <c r="A168" s="1090">
        <v>3</v>
      </c>
      <c r="B168" s="836" t="s">
        <v>651</v>
      </c>
      <c r="C168" s="768" t="s">
        <v>540</v>
      </c>
      <c r="D168" s="768" t="s">
        <v>540</v>
      </c>
      <c r="E168" s="768" t="s">
        <v>540</v>
      </c>
      <c r="F168" s="768" t="s">
        <v>540</v>
      </c>
      <c r="G168" s="768"/>
      <c r="H168" s="768"/>
      <c r="I168" s="768" t="s">
        <v>540</v>
      </c>
      <c r="J168" s="768" t="s">
        <v>540</v>
      </c>
      <c r="K168" s="768" t="s">
        <v>540</v>
      </c>
      <c r="L168" s="768" t="s">
        <v>540</v>
      </c>
      <c r="M168" s="768" t="s">
        <v>540</v>
      </c>
      <c r="N168" s="768"/>
      <c r="O168" s="768"/>
      <c r="P168" s="768" t="s">
        <v>539</v>
      </c>
      <c r="Q168" s="768" t="s">
        <v>539</v>
      </c>
      <c r="R168" s="768" t="s">
        <v>539</v>
      </c>
      <c r="S168" s="768" t="s">
        <v>539</v>
      </c>
      <c r="T168" s="768" t="s">
        <v>539</v>
      </c>
      <c r="U168" s="768"/>
      <c r="V168" s="768"/>
      <c r="W168" s="970" t="s">
        <v>491</v>
      </c>
      <c r="X168" s="970" t="s">
        <v>491</v>
      </c>
      <c r="Y168" s="970" t="s">
        <v>491</v>
      </c>
      <c r="Z168" s="970" t="s">
        <v>491</v>
      </c>
      <c r="AA168" s="970" t="s">
        <v>491</v>
      </c>
      <c r="AB168" s="970"/>
      <c r="AC168" s="970"/>
      <c r="AD168" s="970" t="s">
        <v>491</v>
      </c>
      <c r="AE168" s="970" t="s">
        <v>491</v>
      </c>
      <c r="AF168" s="970" t="s">
        <v>491</v>
      </c>
      <c r="AG168" s="970" t="s">
        <v>491</v>
      </c>
      <c r="AH168" s="822">
        <v>74.5</v>
      </c>
      <c r="AI168" s="823">
        <v>37</v>
      </c>
    </row>
    <row r="169" spans="1:36" s="1091" customFormat="1" ht="21.95" customHeight="1">
      <c r="A169" s="1090">
        <v>4</v>
      </c>
      <c r="B169" s="542" t="s">
        <v>654</v>
      </c>
      <c r="C169" s="768" t="s">
        <v>481</v>
      </c>
      <c r="D169" s="768" t="s">
        <v>481</v>
      </c>
      <c r="E169" s="768" t="s">
        <v>481</v>
      </c>
      <c r="F169" s="768" t="s">
        <v>481</v>
      </c>
      <c r="G169" s="768" t="s">
        <v>555</v>
      </c>
      <c r="H169" s="768" t="s">
        <v>555</v>
      </c>
      <c r="I169" s="768">
        <v>1</v>
      </c>
      <c r="J169" s="768">
        <v>1</v>
      </c>
      <c r="K169" s="768">
        <v>1</v>
      </c>
      <c r="L169" s="768">
        <v>1</v>
      </c>
      <c r="M169" s="768">
        <v>1</v>
      </c>
      <c r="N169" s="768"/>
      <c r="O169" s="768"/>
      <c r="P169" s="768">
        <v>9</v>
      </c>
      <c r="Q169" s="768">
        <v>9</v>
      </c>
      <c r="R169" s="768">
        <v>9</v>
      </c>
      <c r="S169" s="768">
        <v>9</v>
      </c>
      <c r="T169" s="768">
        <v>9</v>
      </c>
      <c r="U169" s="768" t="s">
        <v>519</v>
      </c>
      <c r="V169" s="768" t="s">
        <v>514</v>
      </c>
      <c r="W169" s="768" t="s">
        <v>481</v>
      </c>
      <c r="X169" s="768" t="s">
        <v>481</v>
      </c>
      <c r="Y169" s="768" t="s">
        <v>481</v>
      </c>
      <c r="Z169" s="768" t="s">
        <v>481</v>
      </c>
      <c r="AA169" s="768" t="s">
        <v>481</v>
      </c>
      <c r="AB169" s="768" t="s">
        <v>481</v>
      </c>
      <c r="AC169" s="768" t="s">
        <v>481</v>
      </c>
      <c r="AD169" s="970" t="s">
        <v>491</v>
      </c>
      <c r="AE169" s="970" t="s">
        <v>491</v>
      </c>
      <c r="AF169" s="970" t="s">
        <v>491</v>
      </c>
      <c r="AG169" s="970" t="s">
        <v>491</v>
      </c>
      <c r="AH169" s="822">
        <v>185.5</v>
      </c>
      <c r="AI169" s="823">
        <v>37</v>
      </c>
    </row>
    <row r="170" spans="1:36" s="1091" customFormat="1" ht="21.95" customHeight="1">
      <c r="A170" s="1090">
        <v>5</v>
      </c>
      <c r="B170" s="1092" t="s">
        <v>655</v>
      </c>
      <c r="C170" s="970" t="s">
        <v>491</v>
      </c>
      <c r="D170" s="970" t="s">
        <v>491</v>
      </c>
      <c r="E170" s="970" t="s">
        <v>491</v>
      </c>
      <c r="F170" s="970" t="s">
        <v>491</v>
      </c>
      <c r="G170" s="970"/>
      <c r="H170" s="970"/>
      <c r="I170" s="768">
        <v>6</v>
      </c>
      <c r="J170" s="768">
        <v>6</v>
      </c>
      <c r="K170" s="768">
        <v>6</v>
      </c>
      <c r="L170" s="768">
        <v>6</v>
      </c>
      <c r="M170" s="768">
        <v>6</v>
      </c>
      <c r="N170" s="768" t="s">
        <v>512</v>
      </c>
      <c r="O170" s="768" t="s">
        <v>513</v>
      </c>
      <c r="P170" s="768" t="s">
        <v>481</v>
      </c>
      <c r="Q170" s="768" t="s">
        <v>481</v>
      </c>
      <c r="R170" s="768" t="s">
        <v>481</v>
      </c>
      <c r="S170" s="768" t="s">
        <v>481</v>
      </c>
      <c r="T170" s="768" t="s">
        <v>481</v>
      </c>
      <c r="U170" s="768" t="s">
        <v>515</v>
      </c>
      <c r="V170" s="768" t="s">
        <v>515</v>
      </c>
      <c r="W170" s="768">
        <v>7</v>
      </c>
      <c r="X170" s="768">
        <v>7</v>
      </c>
      <c r="Y170" s="768">
        <v>7</v>
      </c>
      <c r="Z170" s="768">
        <v>7</v>
      </c>
      <c r="AA170" s="768">
        <v>7</v>
      </c>
      <c r="AB170" s="768" t="s">
        <v>481</v>
      </c>
      <c r="AC170" s="768" t="s">
        <v>481</v>
      </c>
      <c r="AD170" s="768" t="s">
        <v>481</v>
      </c>
      <c r="AE170" s="768" t="s">
        <v>481</v>
      </c>
      <c r="AF170" s="768" t="s">
        <v>607</v>
      </c>
      <c r="AG170" s="768" t="s">
        <v>481</v>
      </c>
      <c r="AH170" s="824">
        <v>185</v>
      </c>
      <c r="AI170" s="825">
        <v>37</v>
      </c>
    </row>
    <row r="171" spans="1:36" s="1091" customFormat="1" ht="21.95" customHeight="1">
      <c r="A171" s="1090">
        <v>6</v>
      </c>
      <c r="B171" s="1093" t="s">
        <v>656</v>
      </c>
      <c r="C171" s="768">
        <v>1</v>
      </c>
      <c r="D171" s="768">
        <v>1</v>
      </c>
      <c r="E171" s="768">
        <v>1</v>
      </c>
      <c r="F171" s="768">
        <v>1</v>
      </c>
      <c r="G171" s="768"/>
      <c r="H171" s="768"/>
      <c r="I171" s="768">
        <v>10</v>
      </c>
      <c r="J171" s="768">
        <v>10</v>
      </c>
      <c r="K171" s="768">
        <v>10</v>
      </c>
      <c r="L171" s="768">
        <v>10</v>
      </c>
      <c r="M171" s="768">
        <v>10</v>
      </c>
      <c r="N171" s="768" t="s">
        <v>514</v>
      </c>
      <c r="O171" s="768" t="s">
        <v>514</v>
      </c>
      <c r="P171" s="970" t="s">
        <v>481</v>
      </c>
      <c r="Q171" s="970" t="s">
        <v>481</v>
      </c>
      <c r="R171" s="970" t="s">
        <v>481</v>
      </c>
      <c r="S171" s="970" t="s">
        <v>491</v>
      </c>
      <c r="T171" s="970" t="s">
        <v>491</v>
      </c>
      <c r="U171" s="970"/>
      <c r="V171" s="970"/>
      <c r="W171" s="970" t="s">
        <v>491</v>
      </c>
      <c r="X171" s="970" t="s">
        <v>491</v>
      </c>
      <c r="Y171" s="1007" t="s">
        <v>491</v>
      </c>
      <c r="Z171" s="1007" t="s">
        <v>491</v>
      </c>
      <c r="AA171" s="1007" t="s">
        <v>491</v>
      </c>
      <c r="AB171" s="1007"/>
      <c r="AC171" s="1007"/>
      <c r="AD171" s="1007">
        <v>8</v>
      </c>
      <c r="AE171" s="1007">
        <v>8</v>
      </c>
      <c r="AF171" s="1007">
        <v>8</v>
      </c>
      <c r="AG171" s="1007">
        <v>8</v>
      </c>
      <c r="AH171" s="826">
        <v>30.25</v>
      </c>
      <c r="AI171" s="827">
        <v>37</v>
      </c>
    </row>
    <row r="172" spans="1:36" s="1091" customFormat="1" ht="21.95" customHeight="1">
      <c r="A172" s="1090">
        <v>7</v>
      </c>
      <c r="B172" s="542" t="s">
        <v>657</v>
      </c>
      <c r="C172" s="768">
        <v>10</v>
      </c>
      <c r="D172" s="768">
        <v>10</v>
      </c>
      <c r="E172" s="768">
        <v>10</v>
      </c>
      <c r="F172" s="768">
        <v>10</v>
      </c>
      <c r="G172" s="768" t="s">
        <v>514</v>
      </c>
      <c r="H172" s="768" t="s">
        <v>514</v>
      </c>
      <c r="I172" s="768" t="s">
        <v>490</v>
      </c>
      <c r="J172" s="768" t="s">
        <v>490</v>
      </c>
      <c r="K172" s="768" t="s">
        <v>490</v>
      </c>
      <c r="L172" s="768" t="s">
        <v>490</v>
      </c>
      <c r="M172" s="768" t="s">
        <v>481</v>
      </c>
      <c r="N172" s="768" t="s">
        <v>481</v>
      </c>
      <c r="O172" s="768" t="s">
        <v>481</v>
      </c>
      <c r="P172" s="768" t="s">
        <v>553</v>
      </c>
      <c r="Q172" s="768" t="s">
        <v>553</v>
      </c>
      <c r="R172" s="768" t="s">
        <v>553</v>
      </c>
      <c r="S172" s="768" t="s">
        <v>554</v>
      </c>
      <c r="T172" s="1038" t="s">
        <v>554</v>
      </c>
      <c r="U172" s="1038"/>
      <c r="V172" s="1038"/>
      <c r="W172" s="1038" t="s">
        <v>755</v>
      </c>
      <c r="X172" s="768" t="s">
        <v>481</v>
      </c>
      <c r="Y172" s="768" t="s">
        <v>481</v>
      </c>
      <c r="Z172" s="768" t="s">
        <v>756</v>
      </c>
      <c r="AA172" s="768" t="s">
        <v>607</v>
      </c>
      <c r="AB172" s="768" t="s">
        <v>515</v>
      </c>
      <c r="AC172" s="768" t="s">
        <v>515</v>
      </c>
      <c r="AD172" s="970"/>
      <c r="AE172" s="970"/>
      <c r="AF172" s="970"/>
      <c r="AG172" s="970"/>
      <c r="AH172" s="826">
        <v>148</v>
      </c>
      <c r="AI172" s="827">
        <v>37</v>
      </c>
    </row>
    <row r="173" spans="1:36" s="1091" customFormat="1" ht="21.95" customHeight="1">
      <c r="A173" s="1090">
        <v>8</v>
      </c>
      <c r="B173" s="1092" t="s">
        <v>757</v>
      </c>
      <c r="C173" s="1038"/>
      <c r="D173" s="1038"/>
      <c r="E173" s="1038"/>
      <c r="F173" s="1038"/>
      <c r="G173" s="1038"/>
      <c r="H173" s="1038"/>
      <c r="I173" s="1038"/>
      <c r="J173" s="1038"/>
      <c r="K173" s="1038"/>
      <c r="L173" s="1038"/>
      <c r="M173" s="1038"/>
      <c r="N173" s="1038"/>
      <c r="O173" s="1038"/>
      <c r="P173" s="1038"/>
      <c r="Q173" s="1038"/>
      <c r="R173" s="1038"/>
      <c r="S173" s="1038"/>
      <c r="T173" s="1038"/>
      <c r="U173" s="1038"/>
      <c r="V173" s="1038"/>
      <c r="W173" s="1038"/>
      <c r="X173" s="1038"/>
      <c r="Y173" s="1038"/>
      <c r="Z173" s="1038"/>
      <c r="AA173" s="1038"/>
      <c r="AB173" s="1038"/>
      <c r="AC173" s="1038"/>
      <c r="AD173" s="1038"/>
      <c r="AE173" s="1038"/>
      <c r="AF173" s="1038"/>
      <c r="AG173" s="1042" t="s">
        <v>493</v>
      </c>
      <c r="AH173" s="826">
        <v>185</v>
      </c>
      <c r="AI173" s="827">
        <v>37</v>
      </c>
    </row>
    <row r="174" spans="1:36" ht="21.95" customHeight="1">
      <c r="A174" s="596">
        <v>9</v>
      </c>
      <c r="B174" s="153"/>
      <c r="C174" s="766"/>
      <c r="D174" s="766"/>
      <c r="E174" s="766"/>
      <c r="F174" s="766"/>
      <c r="G174" s="766"/>
      <c r="H174" s="766"/>
      <c r="I174" s="766"/>
      <c r="J174" s="766"/>
      <c r="K174" s="766"/>
      <c r="L174" s="766"/>
      <c r="M174" s="766"/>
      <c r="N174" s="766"/>
      <c r="O174" s="766"/>
      <c r="P174" s="766"/>
      <c r="Q174" s="766"/>
      <c r="R174" s="766"/>
      <c r="S174" s="766"/>
      <c r="T174" s="766"/>
      <c r="U174" s="766"/>
      <c r="V174" s="766"/>
      <c r="W174" s="768"/>
      <c r="X174" s="766"/>
      <c r="Y174" s="766"/>
      <c r="Z174" s="766"/>
      <c r="AA174" s="766"/>
      <c r="AB174" s="766"/>
      <c r="AC174" s="766"/>
      <c r="AD174" s="766"/>
      <c r="AE174" s="766"/>
      <c r="AF174" s="766"/>
      <c r="AG174" s="783"/>
      <c r="AH174" s="826">
        <v>185</v>
      </c>
      <c r="AI174" s="827">
        <v>37</v>
      </c>
    </row>
    <row r="175" spans="1:36" ht="21.95" customHeight="1">
      <c r="A175" s="596">
        <v>10</v>
      </c>
      <c r="B175" s="153"/>
      <c r="C175" s="766"/>
      <c r="D175" s="766"/>
      <c r="E175" s="766"/>
      <c r="F175" s="766"/>
      <c r="G175" s="766"/>
      <c r="H175" s="766"/>
      <c r="I175" s="766"/>
      <c r="J175" s="766"/>
      <c r="K175" s="766"/>
      <c r="L175" s="766"/>
      <c r="M175" s="766"/>
      <c r="N175" s="766"/>
      <c r="O175" s="766"/>
      <c r="P175" s="766"/>
      <c r="Q175" s="766"/>
      <c r="R175" s="766"/>
      <c r="S175" s="766"/>
      <c r="T175" s="766"/>
      <c r="U175" s="766"/>
      <c r="V175" s="766"/>
      <c r="W175" s="768"/>
      <c r="X175" s="766"/>
      <c r="Y175" s="766"/>
      <c r="Z175" s="766"/>
      <c r="AA175" s="766"/>
      <c r="AB175" s="766"/>
      <c r="AC175" s="766"/>
      <c r="AD175" s="766"/>
      <c r="AE175" s="766"/>
      <c r="AF175" s="766"/>
      <c r="AG175" s="783"/>
      <c r="AH175" s="826">
        <v>185</v>
      </c>
      <c r="AI175" s="827">
        <v>37</v>
      </c>
    </row>
    <row r="176" spans="1:36" ht="21.95" customHeight="1" thickBot="1">
      <c r="A176" s="596">
        <v>11</v>
      </c>
      <c r="B176" s="895"/>
      <c r="C176" s="863"/>
      <c r="D176" s="863"/>
      <c r="E176" s="863"/>
      <c r="F176" s="863"/>
      <c r="G176" s="863"/>
      <c r="H176" s="863"/>
      <c r="I176" s="863"/>
      <c r="J176" s="863"/>
      <c r="K176" s="863"/>
      <c r="L176" s="863"/>
      <c r="M176" s="863"/>
      <c r="N176" s="863"/>
      <c r="O176" s="863"/>
      <c r="P176" s="863"/>
      <c r="Q176" s="863"/>
      <c r="R176" s="863"/>
      <c r="S176" s="863"/>
      <c r="T176" s="863"/>
      <c r="U176" s="863"/>
      <c r="V176" s="863"/>
      <c r="W176" s="867"/>
      <c r="X176" s="863"/>
      <c r="Y176" s="863"/>
      <c r="Z176" s="863"/>
      <c r="AA176" s="863"/>
      <c r="AB176" s="863"/>
      <c r="AC176" s="863"/>
      <c r="AD176" s="863"/>
      <c r="AE176" s="863"/>
      <c r="AF176" s="863"/>
      <c r="AG176" s="896"/>
      <c r="AH176" s="826">
        <v>185</v>
      </c>
      <c r="AI176" s="827">
        <v>37</v>
      </c>
    </row>
    <row r="177" spans="1:35" ht="21.95" customHeight="1" thickBot="1">
      <c r="A177" s="894">
        <v>12</v>
      </c>
      <c r="AH177" s="828">
        <v>185</v>
      </c>
      <c r="AI177" s="829">
        <v>37</v>
      </c>
    </row>
    <row r="178" spans="1:35" ht="21" customHeight="1">
      <c r="A178" s="312" t="s">
        <v>659</v>
      </c>
      <c r="B178" s="1" t="s">
        <v>659</v>
      </c>
    </row>
    <row r="179" spans="1:35" ht="21" customHeight="1" thickBot="1">
      <c r="A179" s="861">
        <v>1</v>
      </c>
      <c r="B179" s="862" t="s">
        <v>476</v>
      </c>
      <c r="C179" s="863">
        <v>1</v>
      </c>
      <c r="D179" s="863">
        <v>2</v>
      </c>
      <c r="E179" s="863">
        <v>3</v>
      </c>
      <c r="F179" s="863">
        <v>4</v>
      </c>
      <c r="G179" s="880">
        <v>5</v>
      </c>
      <c r="H179" s="880">
        <v>6</v>
      </c>
      <c r="I179" s="863">
        <v>7</v>
      </c>
      <c r="J179" s="863">
        <v>8</v>
      </c>
      <c r="K179" s="863">
        <v>9</v>
      </c>
      <c r="L179" s="863">
        <v>10</v>
      </c>
      <c r="M179" s="863">
        <v>11</v>
      </c>
      <c r="N179" s="880">
        <v>12</v>
      </c>
      <c r="O179" s="880">
        <v>13</v>
      </c>
      <c r="P179" s="863">
        <v>14</v>
      </c>
      <c r="Q179" s="863">
        <v>15</v>
      </c>
      <c r="R179" s="863">
        <v>16</v>
      </c>
      <c r="S179" s="863">
        <v>17</v>
      </c>
      <c r="T179" s="863">
        <v>18</v>
      </c>
      <c r="U179" s="880">
        <v>19</v>
      </c>
      <c r="V179" s="880">
        <v>20</v>
      </c>
      <c r="W179" s="863">
        <v>21</v>
      </c>
      <c r="X179" s="863">
        <v>22</v>
      </c>
      <c r="Y179" s="863">
        <v>23</v>
      </c>
      <c r="Z179" s="863">
        <v>24</v>
      </c>
      <c r="AA179" s="863">
        <v>25</v>
      </c>
      <c r="AB179" s="880">
        <v>26</v>
      </c>
      <c r="AC179" s="880">
        <v>27</v>
      </c>
      <c r="AD179" s="863">
        <v>28</v>
      </c>
      <c r="AE179" s="863">
        <v>29</v>
      </c>
      <c r="AF179" s="863">
        <v>30</v>
      </c>
      <c r="AG179" s="863">
        <v>31</v>
      </c>
      <c r="AH179" s="600"/>
    </row>
    <row r="180" spans="1:35" ht="21" customHeight="1">
      <c r="A180" s="897">
        <v>2</v>
      </c>
      <c r="B180" s="601" t="s">
        <v>660</v>
      </c>
      <c r="C180" s="1053" t="s">
        <v>714</v>
      </c>
      <c r="D180" s="898">
        <v>7</v>
      </c>
      <c r="E180" s="898">
        <v>7</v>
      </c>
      <c r="F180" s="898">
        <v>7</v>
      </c>
      <c r="G180" s="898" t="s">
        <v>515</v>
      </c>
      <c r="H180" s="898" t="s">
        <v>515</v>
      </c>
      <c r="I180" s="898" t="s">
        <v>481</v>
      </c>
      <c r="J180" s="898" t="s">
        <v>481</v>
      </c>
      <c r="K180" s="898" t="s">
        <v>481</v>
      </c>
      <c r="L180" s="898" t="s">
        <v>481</v>
      </c>
      <c r="M180" s="898" t="s">
        <v>481</v>
      </c>
      <c r="N180" s="898" t="s">
        <v>513</v>
      </c>
      <c r="O180" s="898" t="s">
        <v>513</v>
      </c>
      <c r="P180" s="898" t="s">
        <v>481</v>
      </c>
      <c r="Q180" s="898" t="s">
        <v>481</v>
      </c>
      <c r="R180" s="898" t="s">
        <v>598</v>
      </c>
      <c r="S180" s="898" t="s">
        <v>598</v>
      </c>
      <c r="T180" s="898" t="s">
        <v>598</v>
      </c>
      <c r="U180" s="898"/>
      <c r="V180" s="898"/>
      <c r="W180" s="898" t="s">
        <v>540</v>
      </c>
      <c r="X180" s="898" t="s">
        <v>540</v>
      </c>
      <c r="Y180" s="898" t="s">
        <v>540</v>
      </c>
      <c r="Z180" s="898" t="s">
        <v>540</v>
      </c>
      <c r="AA180" s="898" t="s">
        <v>540</v>
      </c>
      <c r="AB180" s="898"/>
      <c r="AC180" s="898"/>
      <c r="AD180" s="898" t="s">
        <v>744</v>
      </c>
      <c r="AE180" s="898" t="s">
        <v>744</v>
      </c>
      <c r="AF180" s="898" t="s">
        <v>744</v>
      </c>
      <c r="AG180" s="898" t="s">
        <v>744</v>
      </c>
      <c r="AH180" s="600"/>
    </row>
    <row r="181" spans="1:35" ht="21" customHeight="1">
      <c r="A181" s="552">
        <v>3</v>
      </c>
      <c r="B181" s="601" t="s">
        <v>661</v>
      </c>
      <c r="C181" s="172" t="s">
        <v>554</v>
      </c>
      <c r="D181" s="172" t="s">
        <v>554</v>
      </c>
      <c r="E181" s="172" t="s">
        <v>553</v>
      </c>
      <c r="F181" s="172" t="s">
        <v>553</v>
      </c>
      <c r="G181" s="172"/>
      <c r="H181" s="172"/>
      <c r="I181" s="172"/>
      <c r="J181" s="172"/>
      <c r="K181" s="172"/>
      <c r="L181" s="766"/>
      <c r="M181" s="766"/>
      <c r="N181" s="766"/>
      <c r="O181" s="766"/>
      <c r="P181" s="766" t="s">
        <v>540</v>
      </c>
      <c r="Q181" s="766" t="s">
        <v>540</v>
      </c>
      <c r="R181" s="766" t="s">
        <v>540</v>
      </c>
      <c r="S181" s="766" t="s">
        <v>540</v>
      </c>
      <c r="T181" s="766" t="s">
        <v>540</v>
      </c>
      <c r="U181" s="766"/>
      <c r="V181" s="766"/>
      <c r="W181" s="766">
        <v>8</v>
      </c>
      <c r="X181" s="766">
        <v>8</v>
      </c>
      <c r="Y181" s="766">
        <v>8</v>
      </c>
      <c r="Z181" s="766">
        <v>8</v>
      </c>
      <c r="AA181" s="766">
        <v>8</v>
      </c>
      <c r="AB181" s="766"/>
      <c r="AC181" s="766"/>
      <c r="AD181" s="766">
        <v>8</v>
      </c>
      <c r="AE181" s="766">
        <v>8</v>
      </c>
      <c r="AF181" s="766">
        <v>8</v>
      </c>
      <c r="AG181" s="172">
        <v>8</v>
      </c>
      <c r="AH181" s="600"/>
    </row>
    <row r="182" spans="1:35" ht="21" customHeight="1">
      <c r="A182" s="552">
        <v>4</v>
      </c>
      <c r="B182" s="566" t="s">
        <v>747</v>
      </c>
      <c r="C182" s="766" t="s">
        <v>28</v>
      </c>
      <c r="D182" s="1217" t="s">
        <v>539</v>
      </c>
      <c r="E182" s="766" t="s">
        <v>539</v>
      </c>
      <c r="F182" s="766" t="s">
        <v>539</v>
      </c>
      <c r="G182" s="766" t="s">
        <v>512</v>
      </c>
      <c r="H182" s="766" t="s">
        <v>513</v>
      </c>
      <c r="I182" s="1217"/>
      <c r="J182" s="172"/>
      <c r="K182" s="172"/>
      <c r="L182" s="172"/>
      <c r="M182" s="172"/>
      <c r="N182" s="172"/>
      <c r="O182" s="172"/>
      <c r="P182" s="172"/>
      <c r="Q182" s="172"/>
      <c r="R182" s="172"/>
      <c r="S182" s="172"/>
      <c r="T182" s="172" t="s">
        <v>554</v>
      </c>
      <c r="U182" s="172"/>
      <c r="V182" s="172"/>
      <c r="W182" s="1217" t="s">
        <v>28</v>
      </c>
      <c r="X182" s="172" t="s">
        <v>28</v>
      </c>
      <c r="Y182" s="172" t="s">
        <v>28</v>
      </c>
      <c r="Z182" s="172" t="s">
        <v>28</v>
      </c>
      <c r="AA182" s="172"/>
      <c r="AB182" s="172"/>
      <c r="AC182" s="172"/>
      <c r="AD182" s="1217" t="s">
        <v>491</v>
      </c>
      <c r="AE182" s="766" t="s">
        <v>491</v>
      </c>
      <c r="AF182" s="766">
        <v>3</v>
      </c>
      <c r="AG182" s="172" t="s">
        <v>491</v>
      </c>
      <c r="AH182" s="600"/>
    </row>
    <row r="183" spans="1:35" ht="21" customHeight="1">
      <c r="A183" s="552">
        <v>5</v>
      </c>
      <c r="B183" s="601" t="s">
        <v>662</v>
      </c>
      <c r="C183" s="766"/>
      <c r="D183" s="766"/>
      <c r="E183" s="766"/>
      <c r="F183" s="766"/>
      <c r="G183" s="766"/>
      <c r="H183" s="766"/>
      <c r="I183" s="766"/>
      <c r="J183" s="766"/>
      <c r="K183" s="766"/>
      <c r="L183" s="766"/>
      <c r="M183" s="766"/>
      <c r="N183" s="766"/>
      <c r="O183" s="766"/>
      <c r="P183" s="766"/>
      <c r="Q183" s="766"/>
      <c r="R183" s="766"/>
      <c r="S183" s="766"/>
      <c r="T183" s="766"/>
      <c r="U183" s="766"/>
      <c r="V183" s="766"/>
      <c r="W183" s="766"/>
      <c r="X183" s="766"/>
      <c r="Y183" s="766"/>
      <c r="Z183" s="766"/>
      <c r="AA183" s="766"/>
      <c r="AB183" s="766"/>
      <c r="AC183" s="766"/>
      <c r="AD183" s="766"/>
      <c r="AE183" s="766"/>
      <c r="AF183" s="766"/>
      <c r="AG183" s="766"/>
      <c r="AH183" s="600"/>
    </row>
    <row r="184" spans="1:35" ht="21" customHeight="1" thickBot="1">
      <c r="A184" s="861"/>
      <c r="B184" s="874"/>
      <c r="C184" s="863"/>
      <c r="D184" s="863"/>
      <c r="E184" s="863"/>
      <c r="F184" s="863"/>
      <c r="G184" s="863"/>
      <c r="H184" s="863"/>
      <c r="I184" s="863"/>
      <c r="J184" s="863"/>
      <c r="K184" s="863"/>
      <c r="L184" s="863"/>
      <c r="M184" s="863"/>
      <c r="N184" s="863"/>
      <c r="O184" s="863"/>
      <c r="P184" s="863"/>
      <c r="Q184" s="863"/>
      <c r="R184" s="863"/>
      <c r="S184" s="863"/>
      <c r="T184" s="863"/>
      <c r="U184" s="863"/>
      <c r="V184" s="863"/>
      <c r="W184" s="863"/>
      <c r="X184" s="863"/>
      <c r="Y184" s="863"/>
      <c r="Z184" s="863"/>
      <c r="AA184" s="863"/>
      <c r="AB184" s="863"/>
      <c r="AC184" s="863"/>
      <c r="AD184" s="863"/>
      <c r="AE184" s="863"/>
      <c r="AF184" s="863"/>
      <c r="AG184" s="899"/>
      <c r="AH184" s="600"/>
    </row>
    <row r="185" spans="1:35" ht="21" customHeight="1">
      <c r="A185" s="785"/>
      <c r="B185" s="354"/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  <c r="M185" s="139"/>
      <c r="N185" s="786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600"/>
    </row>
    <row r="186" spans="1:35" ht="21.95" customHeight="1" thickBot="1">
      <c r="A186" s="1" t="s">
        <v>663</v>
      </c>
      <c r="B186" s="274"/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</row>
    <row r="187" spans="1:35" ht="21.95" customHeight="1">
      <c r="A187" s="1"/>
      <c r="B187" s="796" t="s">
        <v>664</v>
      </c>
      <c r="C187" s="51" t="s">
        <v>2</v>
      </c>
      <c r="D187" s="51"/>
      <c r="E187" s="51"/>
      <c r="F187" s="51"/>
      <c r="G187" s="798" t="s">
        <v>3</v>
      </c>
      <c r="H187" s="51"/>
      <c r="I187" s="51"/>
      <c r="J187" s="51"/>
      <c r="K187" s="798" t="s">
        <v>4</v>
      </c>
      <c r="L187" s="51"/>
      <c r="M187" s="51"/>
      <c r="N187" s="51"/>
      <c r="O187" s="798" t="s">
        <v>5</v>
      </c>
      <c r="P187" s="51"/>
      <c r="Q187" s="51"/>
      <c r="R187" s="51"/>
      <c r="S187" s="798" t="s">
        <v>6</v>
      </c>
      <c r="T187" s="51"/>
      <c r="U187" s="51"/>
      <c r="V187" s="51"/>
      <c r="W187" s="51"/>
      <c r="X187" s="802" t="s">
        <v>7</v>
      </c>
      <c r="Y187" s="51"/>
      <c r="Z187" s="548"/>
      <c r="AA187" s="7"/>
      <c r="AB187" s="522" t="s">
        <v>8</v>
      </c>
      <c r="AC187" s="51"/>
      <c r="AD187" s="51"/>
      <c r="AE187" s="425" t="s">
        <v>10</v>
      </c>
      <c r="AF187" s="51"/>
      <c r="AG187" s="51"/>
      <c r="AH187" s="51"/>
      <c r="AI187" s="523"/>
    </row>
    <row r="188" spans="1:35" ht="21.95" customHeight="1">
      <c r="A188" s="1"/>
      <c r="B188" s="796">
        <v>3701</v>
      </c>
      <c r="C188" s="55" t="s">
        <v>665</v>
      </c>
      <c r="D188" s="55"/>
      <c r="E188" s="55"/>
      <c r="F188" s="55"/>
      <c r="G188" s="799" t="s">
        <v>124</v>
      </c>
      <c r="H188" s="55"/>
      <c r="I188" s="55"/>
      <c r="J188" s="55"/>
      <c r="K188" s="799" t="s">
        <v>124</v>
      </c>
      <c r="L188" s="55"/>
      <c r="M188" s="55"/>
      <c r="N188" s="55"/>
      <c r="O188" s="799" t="s">
        <v>124</v>
      </c>
      <c r="P188" s="55"/>
      <c r="Q188" s="55"/>
      <c r="R188" s="55"/>
      <c r="S188" s="799" t="s">
        <v>125</v>
      </c>
      <c r="T188" s="55"/>
      <c r="U188" s="55"/>
      <c r="V188" s="55"/>
      <c r="W188" s="55"/>
      <c r="X188" s="803"/>
      <c r="Y188" s="55"/>
      <c r="Z188" s="602"/>
      <c r="AA188" s="14"/>
      <c r="AB188" s="603"/>
      <c r="AC188" s="55"/>
      <c r="AD188" s="55"/>
      <c r="AE188" s="604"/>
      <c r="AF188" s="55"/>
      <c r="AG188" s="55"/>
      <c r="AH188" s="55"/>
      <c r="AI188" s="605"/>
    </row>
    <row r="189" spans="1:35" ht="21.95" customHeight="1">
      <c r="B189" s="796">
        <v>3700</v>
      </c>
      <c r="C189" s="157" t="s">
        <v>535</v>
      </c>
      <c r="D189" s="157"/>
      <c r="E189" s="157"/>
      <c r="F189" s="157"/>
      <c r="G189" s="712" t="s">
        <v>535</v>
      </c>
      <c r="H189" s="157"/>
      <c r="I189" s="157"/>
      <c r="J189" s="157"/>
      <c r="K189" s="712" t="s">
        <v>535</v>
      </c>
      <c r="L189" s="157"/>
      <c r="M189" s="157"/>
      <c r="N189" s="157"/>
      <c r="O189" s="712" t="s">
        <v>535</v>
      </c>
      <c r="P189" s="157"/>
      <c r="Q189" s="157"/>
      <c r="R189" s="157"/>
      <c r="S189" s="712" t="s">
        <v>116</v>
      </c>
      <c r="T189" s="157"/>
      <c r="U189" s="157"/>
      <c r="V189" s="157"/>
      <c r="W189" s="157"/>
      <c r="X189" s="712"/>
      <c r="Y189" s="157"/>
      <c r="Z189" s="564"/>
      <c r="AA189" s="563"/>
      <c r="AB189" s="157"/>
      <c r="AC189" s="157"/>
      <c r="AD189" s="565"/>
      <c r="AE189" s="607"/>
      <c r="AF189" s="157"/>
      <c r="AG189" s="157" t="s">
        <v>28</v>
      </c>
      <c r="AH189" s="565"/>
      <c r="AI189" s="490"/>
    </row>
    <row r="190" spans="1:35" ht="21.95" customHeight="1">
      <c r="A190" s="1"/>
      <c r="B190" s="796">
        <v>8514</v>
      </c>
      <c r="C190" s="157" t="s">
        <v>124</v>
      </c>
      <c r="D190" s="157"/>
      <c r="E190" s="157"/>
      <c r="F190" s="157"/>
      <c r="G190" s="712" t="s">
        <v>124</v>
      </c>
      <c r="H190" s="157"/>
      <c r="I190" s="157"/>
      <c r="J190" s="157"/>
      <c r="K190" s="712" t="s">
        <v>124</v>
      </c>
      <c r="L190" s="157"/>
      <c r="M190" s="157"/>
      <c r="N190" s="157"/>
      <c r="O190" s="712" t="s">
        <v>124</v>
      </c>
      <c r="P190" s="157"/>
      <c r="Q190" s="157"/>
      <c r="R190" s="157"/>
      <c r="S190" s="712" t="s">
        <v>666</v>
      </c>
      <c r="T190" s="157"/>
      <c r="U190" s="157"/>
      <c r="V190" s="157"/>
      <c r="W190" s="157"/>
      <c r="X190" s="712"/>
      <c r="Y190" s="157"/>
      <c r="Z190" s="564"/>
      <c r="AA190" s="121"/>
      <c r="AB190" s="157"/>
      <c r="AC190" s="157"/>
      <c r="AD190" s="565"/>
      <c r="AE190" s="121"/>
      <c r="AF190" s="157"/>
      <c r="AG190" s="157"/>
      <c r="AH190" s="565"/>
      <c r="AI190" s="490"/>
    </row>
    <row r="191" spans="1:35" ht="21.95" customHeight="1">
      <c r="A191" s="1"/>
      <c r="B191" s="796">
        <v>8500</v>
      </c>
      <c r="C191" s="55" t="s">
        <v>11</v>
      </c>
      <c r="D191" s="55"/>
      <c r="E191" s="55"/>
      <c r="F191" s="55"/>
      <c r="G191" s="799" t="s">
        <v>11</v>
      </c>
      <c r="H191" s="55"/>
      <c r="I191" s="55"/>
      <c r="J191" s="55"/>
      <c r="K191" s="799" t="s">
        <v>11</v>
      </c>
      <c r="L191" s="55"/>
      <c r="M191" s="55"/>
      <c r="N191" s="55"/>
      <c r="O191" s="799" t="s">
        <v>11</v>
      </c>
      <c r="P191" s="55"/>
      <c r="Q191" s="55"/>
      <c r="R191" s="55"/>
      <c r="S191" s="799" t="s">
        <v>12</v>
      </c>
      <c r="T191" s="55"/>
      <c r="U191" s="55"/>
      <c r="V191" s="55"/>
      <c r="W191" s="55"/>
      <c r="X191" s="799"/>
      <c r="Y191" s="55"/>
      <c r="Z191" s="609"/>
      <c r="AA191" s="608"/>
      <c r="AB191" s="55"/>
      <c r="AC191" s="55"/>
      <c r="AD191" s="609"/>
      <c r="AE191" s="608"/>
      <c r="AF191" s="55"/>
      <c r="AG191" s="55"/>
      <c r="AH191" s="594"/>
      <c r="AI191" s="605"/>
    </row>
    <row r="192" spans="1:35" ht="21.95" customHeight="1">
      <c r="A192" s="1"/>
      <c r="B192" s="796">
        <v>8514</v>
      </c>
      <c r="C192" s="610" t="s">
        <v>124</v>
      </c>
      <c r="D192" s="610"/>
      <c r="E192" s="610"/>
      <c r="F192" s="610"/>
      <c r="G192" s="800" t="s">
        <v>124</v>
      </c>
      <c r="H192" s="610"/>
      <c r="I192" s="610"/>
      <c r="J192" s="610"/>
      <c r="K192" s="800" t="s">
        <v>124</v>
      </c>
      <c r="L192" s="610"/>
      <c r="M192" s="610"/>
      <c r="N192" s="610"/>
      <c r="O192" s="800" t="s">
        <v>124</v>
      </c>
      <c r="P192" s="610"/>
      <c r="Q192" s="610"/>
      <c r="R192" s="610"/>
      <c r="S192" s="800" t="s">
        <v>666</v>
      </c>
      <c r="T192" s="610"/>
      <c r="U192" s="610"/>
      <c r="V192" s="610"/>
      <c r="W192" s="610"/>
      <c r="X192" s="803"/>
      <c r="Y192" s="55"/>
      <c r="Z192" s="602"/>
      <c r="AA192" s="14"/>
      <c r="AB192" s="603"/>
      <c r="AC192" s="55"/>
      <c r="AD192" s="55"/>
      <c r="AE192" s="604"/>
      <c r="AF192" s="55"/>
      <c r="AG192" s="55"/>
      <c r="AH192" s="55"/>
      <c r="AI192" s="605"/>
    </row>
    <row r="193" spans="1:35" ht="21.95" customHeight="1" thickBot="1">
      <c r="A193" s="1"/>
      <c r="B193" s="797" t="s">
        <v>667</v>
      </c>
      <c r="C193" s="53" t="s">
        <v>668</v>
      </c>
      <c r="D193" s="53"/>
      <c r="E193" s="53"/>
      <c r="F193" s="53"/>
      <c r="G193" s="801" t="s">
        <v>668</v>
      </c>
      <c r="H193" s="53"/>
      <c r="I193" s="53"/>
      <c r="J193" s="53"/>
      <c r="K193" s="53" t="s">
        <v>668</v>
      </c>
      <c r="L193" s="53"/>
      <c r="M193" s="53"/>
      <c r="N193" s="53"/>
      <c r="O193" s="801" t="s">
        <v>668</v>
      </c>
      <c r="P193" s="53"/>
      <c r="Q193" s="53"/>
      <c r="R193" s="53"/>
      <c r="S193" s="801" t="s">
        <v>669</v>
      </c>
      <c r="T193" s="53"/>
      <c r="U193" s="53"/>
      <c r="V193" s="53"/>
      <c r="W193" s="53"/>
      <c r="X193" s="801"/>
      <c r="Y193" s="53"/>
      <c r="Z193" s="571"/>
      <c r="AA193" s="570"/>
      <c r="AB193" s="53"/>
      <c r="AC193" s="53"/>
      <c r="AD193" s="573"/>
      <c r="AE193" s="612"/>
      <c r="AF193" s="53"/>
      <c r="AG193" s="53" t="s">
        <v>28</v>
      </c>
      <c r="AH193" s="573"/>
      <c r="AI193" s="536"/>
    </row>
    <row r="194" spans="1:35" ht="21.95" customHeight="1">
      <c r="A194" s="1"/>
      <c r="B194" s="72"/>
      <c r="C194" s="312"/>
      <c r="F194" s="354"/>
      <c r="G194" s="312"/>
      <c r="J194" s="354"/>
      <c r="K194" s="312"/>
      <c r="N194" s="354"/>
      <c r="O194" s="312"/>
      <c r="R194" s="354"/>
      <c r="S194" s="312"/>
      <c r="V194" s="354"/>
      <c r="W194" s="354"/>
      <c r="Z194" s="354"/>
      <c r="AA194" s="354"/>
      <c r="AD194" s="354"/>
      <c r="AE194" s="354"/>
      <c r="AH194" s="354"/>
    </row>
    <row r="195" spans="1:35" ht="21.95" customHeight="1" thickBot="1">
      <c r="A195" s="1" t="s">
        <v>670</v>
      </c>
      <c r="B195" s="72"/>
      <c r="C195" s="312"/>
      <c r="F195" s="354"/>
      <c r="G195" s="312"/>
      <c r="J195" s="354"/>
      <c r="K195" s="312"/>
      <c r="N195" s="354"/>
      <c r="O195" s="312"/>
      <c r="R195" s="354"/>
      <c r="S195" s="312"/>
      <c r="V195" s="354"/>
      <c r="W195" s="354"/>
      <c r="Z195" s="354"/>
      <c r="AA195" s="354"/>
      <c r="AD195" s="354"/>
      <c r="AE195" s="354"/>
      <c r="AH195" s="354"/>
    </row>
    <row r="196" spans="1:35" ht="21.95" customHeight="1" thickBot="1">
      <c r="A196" s="861"/>
      <c r="B196" s="862" t="s">
        <v>476</v>
      </c>
      <c r="C196" s="863">
        <v>1</v>
      </c>
      <c r="D196" s="863">
        <v>2</v>
      </c>
      <c r="E196" s="863">
        <v>3</v>
      </c>
      <c r="F196" s="863">
        <v>4</v>
      </c>
      <c r="G196" s="880">
        <v>5</v>
      </c>
      <c r="H196" s="880">
        <v>6</v>
      </c>
      <c r="I196" s="863">
        <v>7</v>
      </c>
      <c r="J196" s="863">
        <v>8</v>
      </c>
      <c r="K196" s="863">
        <v>9</v>
      </c>
      <c r="L196" s="863">
        <v>10</v>
      </c>
      <c r="M196" s="863">
        <v>11</v>
      </c>
      <c r="N196" s="880">
        <v>12</v>
      </c>
      <c r="O196" s="880">
        <v>13</v>
      </c>
      <c r="P196" s="863">
        <v>14</v>
      </c>
      <c r="Q196" s="863">
        <v>15</v>
      </c>
      <c r="R196" s="863">
        <v>16</v>
      </c>
      <c r="S196" s="863">
        <v>17</v>
      </c>
      <c r="T196" s="863">
        <v>18</v>
      </c>
      <c r="U196" s="880">
        <v>19</v>
      </c>
      <c r="V196" s="880">
        <v>20</v>
      </c>
      <c r="W196" s="863">
        <v>21</v>
      </c>
      <c r="X196" s="863">
        <v>22</v>
      </c>
      <c r="Y196" s="863">
        <v>23</v>
      </c>
      <c r="Z196" s="863">
        <v>24</v>
      </c>
      <c r="AA196" s="863">
        <v>25</v>
      </c>
      <c r="AB196" s="880">
        <v>26</v>
      </c>
      <c r="AC196" s="880">
        <v>27</v>
      </c>
      <c r="AD196" s="863">
        <v>28</v>
      </c>
      <c r="AE196" s="863">
        <v>29</v>
      </c>
      <c r="AF196" s="863">
        <v>30</v>
      </c>
      <c r="AG196" s="943">
        <v>31</v>
      </c>
      <c r="AH196" s="864" t="s">
        <v>477</v>
      </c>
      <c r="AI196" s="865" t="s">
        <v>478</v>
      </c>
    </row>
    <row r="197" spans="1:35" ht="21.95" customHeight="1">
      <c r="A197" s="897"/>
      <c r="B197" s="900" t="s">
        <v>671</v>
      </c>
      <c r="C197" s="970" t="s">
        <v>491</v>
      </c>
      <c r="D197" s="970" t="s">
        <v>491</v>
      </c>
      <c r="E197" s="970" t="s">
        <v>491</v>
      </c>
      <c r="F197" s="970" t="s">
        <v>491</v>
      </c>
      <c r="G197" s="970"/>
      <c r="H197" s="970"/>
      <c r="I197" s="970" t="s">
        <v>491</v>
      </c>
      <c r="J197" s="970" t="s">
        <v>491</v>
      </c>
      <c r="K197" s="970" t="s">
        <v>491</v>
      </c>
      <c r="L197" s="970" t="s">
        <v>491</v>
      </c>
      <c r="M197" s="970" t="s">
        <v>491</v>
      </c>
      <c r="N197" s="970"/>
      <c r="O197" s="970"/>
      <c r="P197" s="970" t="s">
        <v>491</v>
      </c>
      <c r="Q197" s="970" t="s">
        <v>491</v>
      </c>
      <c r="R197" s="970" t="s">
        <v>491</v>
      </c>
      <c r="S197" s="970" t="s">
        <v>491</v>
      </c>
      <c r="T197" s="970" t="s">
        <v>491</v>
      </c>
      <c r="U197" s="970"/>
      <c r="V197" s="970"/>
      <c r="W197" s="970" t="s">
        <v>491</v>
      </c>
      <c r="X197" s="970" t="s">
        <v>491</v>
      </c>
      <c r="Y197" s="970" t="s">
        <v>491</v>
      </c>
      <c r="Z197" s="970" t="s">
        <v>491</v>
      </c>
      <c r="AA197" s="970" t="s">
        <v>491</v>
      </c>
      <c r="AB197" s="970"/>
      <c r="AC197" s="970"/>
      <c r="AD197" s="768" t="s">
        <v>491</v>
      </c>
      <c r="AE197" s="768" t="s">
        <v>491</v>
      </c>
      <c r="AF197" s="768" t="s">
        <v>491</v>
      </c>
      <c r="AG197" s="768" t="s">
        <v>491</v>
      </c>
      <c r="AH197" s="901">
        <v>74</v>
      </c>
      <c r="AI197" s="902">
        <v>37</v>
      </c>
    </row>
    <row r="198" spans="1:35" ht="21.95" customHeight="1">
      <c r="A198" s="614">
        <v>8500</v>
      </c>
      <c r="B198" s="790" t="s">
        <v>156</v>
      </c>
      <c r="C198" s="970" t="s">
        <v>491</v>
      </c>
      <c r="D198" s="970" t="s">
        <v>491</v>
      </c>
      <c r="E198" s="970" t="s">
        <v>491</v>
      </c>
      <c r="F198" s="970" t="s">
        <v>491</v>
      </c>
      <c r="G198" s="970"/>
      <c r="H198" s="970"/>
      <c r="I198" s="970" t="s">
        <v>491</v>
      </c>
      <c r="J198" s="970" t="s">
        <v>491</v>
      </c>
      <c r="K198" s="970" t="s">
        <v>491</v>
      </c>
      <c r="L198" s="970" t="s">
        <v>491</v>
      </c>
      <c r="M198" s="970" t="s">
        <v>491</v>
      </c>
      <c r="N198" s="970"/>
      <c r="O198" s="970"/>
      <c r="P198" s="970" t="s">
        <v>491</v>
      </c>
      <c r="Q198" s="970" t="s">
        <v>491</v>
      </c>
      <c r="R198" s="970" t="s">
        <v>491</v>
      </c>
      <c r="S198" s="970" t="s">
        <v>491</v>
      </c>
      <c r="T198" s="970" t="s">
        <v>491</v>
      </c>
      <c r="U198" s="970"/>
      <c r="V198" s="970"/>
      <c r="W198" s="970" t="s">
        <v>491</v>
      </c>
      <c r="X198" s="970" t="s">
        <v>491</v>
      </c>
      <c r="Y198" s="970" t="s">
        <v>491</v>
      </c>
      <c r="Z198" s="970" t="s">
        <v>491</v>
      </c>
      <c r="AA198" s="970" t="s">
        <v>491</v>
      </c>
      <c r="AB198" s="970"/>
      <c r="AC198" s="970"/>
      <c r="AD198" s="977" t="s">
        <v>491</v>
      </c>
      <c r="AE198" s="977" t="s">
        <v>491</v>
      </c>
      <c r="AF198" s="977" t="s">
        <v>491</v>
      </c>
      <c r="AG198" s="977" t="s">
        <v>491</v>
      </c>
      <c r="AH198" s="597">
        <v>37</v>
      </c>
      <c r="AI198" s="598">
        <v>37</v>
      </c>
    </row>
    <row r="199" spans="1:35" ht="21" customHeight="1">
      <c r="A199" s="442"/>
      <c r="B199" s="789" t="s">
        <v>672</v>
      </c>
      <c r="C199" s="768" t="s">
        <v>491</v>
      </c>
      <c r="D199" s="768" t="s">
        <v>491</v>
      </c>
      <c r="E199" s="768" t="s">
        <v>491</v>
      </c>
      <c r="F199" s="768" t="s">
        <v>491</v>
      </c>
      <c r="G199" s="768"/>
      <c r="H199" s="768"/>
      <c r="I199" s="768" t="s">
        <v>491</v>
      </c>
      <c r="J199" s="768" t="s">
        <v>491</v>
      </c>
      <c r="K199" s="768" t="s">
        <v>491</v>
      </c>
      <c r="L199" s="768" t="s">
        <v>491</v>
      </c>
      <c r="M199" s="768" t="s">
        <v>491</v>
      </c>
      <c r="N199" s="768"/>
      <c r="O199" s="768"/>
      <c r="P199" s="768" t="s">
        <v>491</v>
      </c>
      <c r="Q199" s="768" t="s">
        <v>491</v>
      </c>
      <c r="R199" s="768" t="s">
        <v>491</v>
      </c>
      <c r="S199" s="768" t="s">
        <v>491</v>
      </c>
      <c r="T199" s="768" t="s">
        <v>491</v>
      </c>
      <c r="U199" s="768"/>
      <c r="V199" s="768"/>
      <c r="W199" s="768" t="s">
        <v>491</v>
      </c>
      <c r="X199" s="768" t="s">
        <v>491</v>
      </c>
      <c r="Y199" s="768" t="s">
        <v>491</v>
      </c>
      <c r="Z199" s="768" t="s">
        <v>491</v>
      </c>
      <c r="AA199" s="768" t="s">
        <v>491</v>
      </c>
      <c r="AB199" s="768"/>
      <c r="AC199" s="768"/>
      <c r="AD199" s="970" t="s">
        <v>491</v>
      </c>
      <c r="AE199" s="970" t="s">
        <v>491</v>
      </c>
      <c r="AF199" s="970" t="s">
        <v>491</v>
      </c>
      <c r="AG199" s="970" t="s">
        <v>491</v>
      </c>
      <c r="AH199" s="597">
        <v>178</v>
      </c>
      <c r="AI199" s="598">
        <v>37</v>
      </c>
    </row>
    <row r="200" spans="1:35" ht="21" customHeight="1">
      <c r="A200" s="442">
        <v>8521</v>
      </c>
      <c r="B200" s="789" t="s">
        <v>673</v>
      </c>
      <c r="C200" s="1007" t="s">
        <v>491</v>
      </c>
      <c r="D200" s="1007" t="s">
        <v>491</v>
      </c>
      <c r="E200" s="1007" t="s">
        <v>491</v>
      </c>
      <c r="F200" s="1007" t="s">
        <v>491</v>
      </c>
      <c r="G200" s="768"/>
      <c r="H200" s="768"/>
      <c r="I200" s="970" t="s">
        <v>491</v>
      </c>
      <c r="J200" s="970" t="s">
        <v>491</v>
      </c>
      <c r="K200" s="970" t="s">
        <v>491</v>
      </c>
      <c r="L200" s="970" t="s">
        <v>491</v>
      </c>
      <c r="M200" s="970" t="s">
        <v>491</v>
      </c>
      <c r="N200" s="970"/>
      <c r="O200" s="970"/>
      <c r="P200" s="970" t="s">
        <v>491</v>
      </c>
      <c r="Q200" s="970" t="s">
        <v>491</v>
      </c>
      <c r="R200" s="970" t="s">
        <v>491</v>
      </c>
      <c r="S200" s="970" t="s">
        <v>491</v>
      </c>
      <c r="T200" s="970" t="s">
        <v>491</v>
      </c>
      <c r="U200" s="970"/>
      <c r="V200" s="970"/>
      <c r="W200" s="970" t="s">
        <v>491</v>
      </c>
      <c r="X200" s="970" t="s">
        <v>491</v>
      </c>
      <c r="Y200" s="970" t="s">
        <v>491</v>
      </c>
      <c r="Z200" s="970" t="s">
        <v>491</v>
      </c>
      <c r="AA200" s="970" t="s">
        <v>491</v>
      </c>
      <c r="AB200" s="970"/>
      <c r="AC200" s="970"/>
      <c r="AD200" s="768" t="s">
        <v>491</v>
      </c>
      <c r="AE200" s="768" t="s">
        <v>491</v>
      </c>
      <c r="AF200" s="768" t="s">
        <v>491</v>
      </c>
      <c r="AG200" s="768" t="s">
        <v>491</v>
      </c>
      <c r="AH200" s="597">
        <v>111</v>
      </c>
      <c r="AI200" s="598">
        <v>37</v>
      </c>
    </row>
    <row r="201" spans="1:35" ht="21" customHeight="1">
      <c r="A201" s="442"/>
      <c r="B201" s="791" t="s">
        <v>674</v>
      </c>
      <c r="C201" s="768" t="s">
        <v>491</v>
      </c>
      <c r="D201" s="768" t="s">
        <v>491</v>
      </c>
      <c r="E201" s="768" t="s">
        <v>491</v>
      </c>
      <c r="F201" s="768" t="s">
        <v>491</v>
      </c>
      <c r="G201" s="768"/>
      <c r="H201" s="768"/>
      <c r="I201" s="768" t="s">
        <v>491</v>
      </c>
      <c r="J201" s="768" t="s">
        <v>491</v>
      </c>
      <c r="K201" s="768" t="s">
        <v>491</v>
      </c>
      <c r="L201" s="768" t="s">
        <v>491</v>
      </c>
      <c r="M201" s="1007" t="s">
        <v>491</v>
      </c>
      <c r="N201" s="768"/>
      <c r="O201" s="768"/>
      <c r="P201" s="768" t="s">
        <v>491</v>
      </c>
      <c r="Q201" s="768" t="s">
        <v>491</v>
      </c>
      <c r="R201" s="768" t="s">
        <v>491</v>
      </c>
      <c r="S201" s="768" t="s">
        <v>491</v>
      </c>
      <c r="T201" s="768" t="s">
        <v>491</v>
      </c>
      <c r="U201" s="768"/>
      <c r="V201" s="768"/>
      <c r="W201" s="768" t="s">
        <v>491</v>
      </c>
      <c r="X201" s="768" t="s">
        <v>491</v>
      </c>
      <c r="Y201" s="768" t="s">
        <v>491</v>
      </c>
      <c r="Z201" s="768" t="s">
        <v>491</v>
      </c>
      <c r="AA201" s="768" t="s">
        <v>491</v>
      </c>
      <c r="AB201" s="768"/>
      <c r="AC201" s="768"/>
      <c r="AD201" s="970" t="s">
        <v>491</v>
      </c>
      <c r="AE201" s="970" t="s">
        <v>491</v>
      </c>
      <c r="AF201" s="970" t="s">
        <v>491</v>
      </c>
      <c r="AG201" s="970" t="s">
        <v>491</v>
      </c>
      <c r="AH201" s="597">
        <v>185</v>
      </c>
      <c r="AI201" s="598">
        <v>37</v>
      </c>
    </row>
    <row r="202" spans="1:35" ht="21" customHeight="1">
      <c r="A202" s="442">
        <v>8514</v>
      </c>
      <c r="B202" s="542" t="s">
        <v>675</v>
      </c>
      <c r="C202" s="768" t="s">
        <v>491</v>
      </c>
      <c r="D202" s="768" t="s">
        <v>491</v>
      </c>
      <c r="E202" s="768" t="s">
        <v>491</v>
      </c>
      <c r="F202" s="768" t="s">
        <v>491</v>
      </c>
      <c r="G202" s="768"/>
      <c r="H202" s="768"/>
      <c r="I202" s="768" t="s">
        <v>491</v>
      </c>
      <c r="J202" s="768" t="s">
        <v>491</v>
      </c>
      <c r="K202" s="768" t="s">
        <v>491</v>
      </c>
      <c r="L202" s="768" t="s">
        <v>491</v>
      </c>
      <c r="M202" s="768" t="s">
        <v>491</v>
      </c>
      <c r="N202" s="768"/>
      <c r="O202" s="768"/>
      <c r="P202" s="970" t="s">
        <v>491</v>
      </c>
      <c r="Q202" s="970" t="s">
        <v>491</v>
      </c>
      <c r="R202" s="970" t="s">
        <v>491</v>
      </c>
      <c r="S202" s="970" t="s">
        <v>491</v>
      </c>
      <c r="T202" s="970" t="s">
        <v>491</v>
      </c>
      <c r="U202" s="970"/>
      <c r="V202" s="970"/>
      <c r="W202" s="970" t="s">
        <v>491</v>
      </c>
      <c r="X202" s="970" t="s">
        <v>491</v>
      </c>
      <c r="Y202" s="970" t="s">
        <v>491</v>
      </c>
      <c r="Z202" s="970" t="s">
        <v>491</v>
      </c>
      <c r="AA202" s="970" t="s">
        <v>491</v>
      </c>
      <c r="AB202" s="970"/>
      <c r="AC202" s="970"/>
      <c r="AD202" s="970" t="s">
        <v>491</v>
      </c>
      <c r="AE202" s="970" t="s">
        <v>491</v>
      </c>
      <c r="AF202" s="970" t="s">
        <v>491</v>
      </c>
      <c r="AG202" s="970" t="s">
        <v>491</v>
      </c>
      <c r="AH202" s="597">
        <v>75</v>
      </c>
      <c r="AI202" s="598">
        <v>37</v>
      </c>
    </row>
    <row r="203" spans="1:35" ht="21.95" customHeight="1">
      <c r="A203" s="442">
        <v>3701</v>
      </c>
      <c r="B203" s="789" t="s">
        <v>433</v>
      </c>
      <c r="C203" s="768" t="s">
        <v>491</v>
      </c>
      <c r="D203" s="768" t="s">
        <v>491</v>
      </c>
      <c r="E203" s="768" t="s">
        <v>491</v>
      </c>
      <c r="F203" s="768" t="s">
        <v>491</v>
      </c>
      <c r="G203" s="768"/>
      <c r="H203" s="768"/>
      <c r="I203" s="768" t="s">
        <v>491</v>
      </c>
      <c r="J203" s="768" t="s">
        <v>491</v>
      </c>
      <c r="K203" s="768" t="s">
        <v>491</v>
      </c>
      <c r="L203" s="768" t="s">
        <v>491</v>
      </c>
      <c r="M203" s="768" t="s">
        <v>491</v>
      </c>
      <c r="N203" s="768"/>
      <c r="O203" s="768"/>
      <c r="P203" s="768" t="s">
        <v>491</v>
      </c>
      <c r="Q203" s="768" t="s">
        <v>491</v>
      </c>
      <c r="R203" s="768" t="s">
        <v>491</v>
      </c>
      <c r="S203" s="768" t="s">
        <v>491</v>
      </c>
      <c r="T203" s="768" t="s">
        <v>491</v>
      </c>
      <c r="U203" s="768"/>
      <c r="V203" s="768"/>
      <c r="W203" s="970" t="s">
        <v>491</v>
      </c>
      <c r="X203" s="970" t="s">
        <v>491</v>
      </c>
      <c r="Y203" s="970" t="s">
        <v>491</v>
      </c>
      <c r="Z203" s="970" t="s">
        <v>491</v>
      </c>
      <c r="AA203" s="970" t="s">
        <v>491</v>
      </c>
      <c r="AB203" s="768"/>
      <c r="AC203" s="768"/>
      <c r="AD203" s="970" t="s">
        <v>491</v>
      </c>
      <c r="AE203" s="970" t="s">
        <v>491</v>
      </c>
      <c r="AF203" s="970" t="s">
        <v>491</v>
      </c>
      <c r="AG203" s="970" t="s">
        <v>491</v>
      </c>
      <c r="AH203" s="597">
        <v>185</v>
      </c>
      <c r="AI203" s="598">
        <v>37</v>
      </c>
    </row>
    <row r="204" spans="1:35" ht="21.95" customHeight="1">
      <c r="A204" s="442">
        <v>3701</v>
      </c>
      <c r="B204" s="789" t="s">
        <v>676</v>
      </c>
      <c r="C204" s="1038" t="s">
        <v>491</v>
      </c>
      <c r="D204" s="1038" t="s">
        <v>491</v>
      </c>
      <c r="E204" s="1038" t="s">
        <v>491</v>
      </c>
      <c r="F204" s="1038" t="s">
        <v>491</v>
      </c>
      <c r="G204" s="1038"/>
      <c r="H204" s="1038"/>
      <c r="I204" s="1000">
        <v>19</v>
      </c>
      <c r="J204" s="1000">
        <v>19</v>
      </c>
      <c r="K204" s="1000">
        <v>19</v>
      </c>
      <c r="L204" s="1000">
        <v>19</v>
      </c>
      <c r="M204" s="1000">
        <v>19</v>
      </c>
      <c r="N204" s="1038"/>
      <c r="O204" s="1038"/>
      <c r="P204" s="1038" t="s">
        <v>491</v>
      </c>
      <c r="Q204" s="1038" t="s">
        <v>491</v>
      </c>
      <c r="R204" s="1038" t="s">
        <v>491</v>
      </c>
      <c r="S204" s="1038" t="s">
        <v>491</v>
      </c>
      <c r="T204" s="1038" t="s">
        <v>491</v>
      </c>
      <c r="U204" s="1038"/>
      <c r="V204" s="1038"/>
      <c r="W204" s="1038" t="s">
        <v>491</v>
      </c>
      <c r="X204" s="1038" t="s">
        <v>491</v>
      </c>
      <c r="Y204" s="1038" t="s">
        <v>491</v>
      </c>
      <c r="Z204" s="1038" t="s">
        <v>491</v>
      </c>
      <c r="AA204" s="1038" t="s">
        <v>491</v>
      </c>
      <c r="AB204" s="1038"/>
      <c r="AC204" s="1038"/>
      <c r="AD204" s="1038" t="s">
        <v>491</v>
      </c>
      <c r="AE204" s="1038" t="s">
        <v>491</v>
      </c>
      <c r="AF204" s="1038" t="s">
        <v>491</v>
      </c>
      <c r="AG204" s="1038" t="s">
        <v>491</v>
      </c>
      <c r="AH204" s="597">
        <v>185</v>
      </c>
      <c r="AI204" s="598">
        <v>37</v>
      </c>
    </row>
    <row r="205" spans="1:35" ht="21.95" customHeight="1">
      <c r="A205" s="442">
        <v>3701</v>
      </c>
      <c r="B205" s="789" t="s">
        <v>438</v>
      </c>
      <c r="C205" s="970" t="s">
        <v>491</v>
      </c>
      <c r="D205" s="970" t="s">
        <v>491</v>
      </c>
      <c r="E205" s="970" t="s">
        <v>491</v>
      </c>
      <c r="F205" s="970" t="s">
        <v>491</v>
      </c>
      <c r="G205" s="970"/>
      <c r="H205" s="970"/>
      <c r="I205" s="972" t="s">
        <v>485</v>
      </c>
      <c r="J205" s="972" t="s">
        <v>485</v>
      </c>
      <c r="K205" s="972" t="s">
        <v>485</v>
      </c>
      <c r="L205" s="972" t="s">
        <v>485</v>
      </c>
      <c r="M205" s="972" t="s">
        <v>485</v>
      </c>
      <c r="N205" s="970"/>
      <c r="O205" s="970"/>
      <c r="P205" s="970" t="s">
        <v>491</v>
      </c>
      <c r="Q205" s="970" t="s">
        <v>491</v>
      </c>
      <c r="R205" s="970" t="s">
        <v>491</v>
      </c>
      <c r="S205" s="970" t="s">
        <v>491</v>
      </c>
      <c r="T205" s="970" t="s">
        <v>491</v>
      </c>
      <c r="U205" s="970"/>
      <c r="V205" s="970"/>
      <c r="W205" s="1007" t="s">
        <v>491</v>
      </c>
      <c r="X205" s="1007" t="s">
        <v>491</v>
      </c>
      <c r="Y205" s="1007" t="s">
        <v>491</v>
      </c>
      <c r="Z205" s="1007" t="s">
        <v>491</v>
      </c>
      <c r="AA205" s="1007" t="s">
        <v>491</v>
      </c>
      <c r="AB205" s="768"/>
      <c r="AC205" s="768"/>
      <c r="AD205" s="764">
        <v>19</v>
      </c>
      <c r="AE205" s="764">
        <v>19</v>
      </c>
      <c r="AF205" s="764">
        <v>19</v>
      </c>
      <c r="AG205" s="764">
        <v>19</v>
      </c>
      <c r="AH205" s="597">
        <v>75.75</v>
      </c>
      <c r="AI205" s="598">
        <v>37</v>
      </c>
    </row>
    <row r="206" spans="1:35" ht="21.95" customHeight="1">
      <c r="A206" s="442">
        <v>3701</v>
      </c>
      <c r="B206" s="789" t="s">
        <v>439</v>
      </c>
      <c r="C206" s="972">
        <v>19</v>
      </c>
      <c r="D206" s="972">
        <v>19</v>
      </c>
      <c r="E206" s="972">
        <v>19</v>
      </c>
      <c r="F206" s="972">
        <v>19</v>
      </c>
      <c r="G206" s="970"/>
      <c r="H206" s="970"/>
      <c r="I206" s="970" t="s">
        <v>491</v>
      </c>
      <c r="J206" s="970" t="s">
        <v>491</v>
      </c>
      <c r="K206" s="970" t="s">
        <v>491</v>
      </c>
      <c r="L206" s="970" t="s">
        <v>491</v>
      </c>
      <c r="M206" s="970" t="s">
        <v>491</v>
      </c>
      <c r="N206" s="970"/>
      <c r="O206" s="970"/>
      <c r="P206" s="970" t="s">
        <v>491</v>
      </c>
      <c r="Q206" s="970" t="s">
        <v>491</v>
      </c>
      <c r="R206" s="970" t="s">
        <v>491</v>
      </c>
      <c r="S206" s="970" t="s">
        <v>491</v>
      </c>
      <c r="T206" s="970" t="s">
        <v>491</v>
      </c>
      <c r="U206" s="970"/>
      <c r="V206" s="970"/>
      <c r="W206" s="768" t="s">
        <v>491</v>
      </c>
      <c r="X206" s="768" t="s">
        <v>491</v>
      </c>
      <c r="Y206" s="768" t="s">
        <v>491</v>
      </c>
      <c r="Z206" s="768" t="s">
        <v>491</v>
      </c>
      <c r="AA206" s="768" t="s">
        <v>491</v>
      </c>
      <c r="AB206" s="768"/>
      <c r="AC206" s="764"/>
      <c r="AD206" s="764" t="s">
        <v>485</v>
      </c>
      <c r="AE206" s="764" t="s">
        <v>485</v>
      </c>
      <c r="AF206" s="764" t="s">
        <v>485</v>
      </c>
      <c r="AG206" s="764" t="s">
        <v>485</v>
      </c>
      <c r="AH206" s="597">
        <v>76.5</v>
      </c>
      <c r="AI206" s="598">
        <v>37</v>
      </c>
    </row>
    <row r="207" spans="1:35" ht="21.95" customHeight="1">
      <c r="A207" s="442">
        <v>3701</v>
      </c>
      <c r="B207" s="789" t="s">
        <v>677</v>
      </c>
      <c r="C207" s="972" t="s">
        <v>485</v>
      </c>
      <c r="D207" s="972" t="s">
        <v>485</v>
      </c>
      <c r="E207" s="972" t="s">
        <v>485</v>
      </c>
      <c r="F207" s="972" t="s">
        <v>485</v>
      </c>
      <c r="G207" s="972"/>
      <c r="H207" s="970"/>
      <c r="I207" s="768" t="s">
        <v>491</v>
      </c>
      <c r="J207" s="768" t="s">
        <v>491</v>
      </c>
      <c r="K207" s="768" t="s">
        <v>491</v>
      </c>
      <c r="L207" s="768" t="s">
        <v>491</v>
      </c>
      <c r="M207" s="768" t="s">
        <v>491</v>
      </c>
      <c r="N207" s="768"/>
      <c r="O207" s="768"/>
      <c r="P207" s="768" t="s">
        <v>491</v>
      </c>
      <c r="Q207" s="768" t="s">
        <v>491</v>
      </c>
      <c r="R207" s="768" t="s">
        <v>491</v>
      </c>
      <c r="S207" s="768" t="s">
        <v>491</v>
      </c>
      <c r="T207" s="768" t="s">
        <v>491</v>
      </c>
      <c r="U207" s="768"/>
      <c r="V207" s="768"/>
      <c r="W207" s="768" t="s">
        <v>491</v>
      </c>
      <c r="X207" s="768" t="s">
        <v>491</v>
      </c>
      <c r="Y207" s="768" t="s">
        <v>491</v>
      </c>
      <c r="Z207" s="768" t="s">
        <v>491</v>
      </c>
      <c r="AA207" s="768" t="s">
        <v>491</v>
      </c>
      <c r="AB207" s="768"/>
      <c r="AC207" s="768"/>
      <c r="AD207" s="768" t="s">
        <v>491</v>
      </c>
      <c r="AE207" s="768" t="s">
        <v>491</v>
      </c>
      <c r="AF207" s="768" t="s">
        <v>491</v>
      </c>
      <c r="AG207" s="768" t="s">
        <v>491</v>
      </c>
      <c r="AH207" s="597">
        <v>84.25</v>
      </c>
      <c r="AI207" s="598">
        <v>37</v>
      </c>
    </row>
    <row r="208" spans="1:35" ht="21.95" customHeight="1">
      <c r="A208" s="442">
        <v>3701</v>
      </c>
      <c r="B208" s="542" t="s">
        <v>678</v>
      </c>
      <c r="C208" s="768" t="s">
        <v>491</v>
      </c>
      <c r="D208" s="768" t="s">
        <v>491</v>
      </c>
      <c r="E208" s="768" t="s">
        <v>491</v>
      </c>
      <c r="F208" s="768" t="s">
        <v>491</v>
      </c>
      <c r="G208" s="768"/>
      <c r="H208" s="768"/>
      <c r="I208" s="768" t="s">
        <v>491</v>
      </c>
      <c r="J208" s="768" t="s">
        <v>491</v>
      </c>
      <c r="K208" s="768" t="s">
        <v>491</v>
      </c>
      <c r="L208" s="768" t="s">
        <v>491</v>
      </c>
      <c r="M208" s="768" t="s">
        <v>491</v>
      </c>
      <c r="N208" s="768"/>
      <c r="O208" s="768"/>
      <c r="P208" s="764">
        <v>19</v>
      </c>
      <c r="Q208" s="764">
        <v>19</v>
      </c>
      <c r="R208" s="764">
        <v>19</v>
      </c>
      <c r="S208" s="764">
        <v>19</v>
      </c>
      <c r="T208" s="764">
        <v>19</v>
      </c>
      <c r="U208" s="768"/>
      <c r="V208" s="768"/>
      <c r="W208" s="970" t="s">
        <v>491</v>
      </c>
      <c r="X208" s="970" t="s">
        <v>491</v>
      </c>
      <c r="Y208" s="970" t="s">
        <v>491</v>
      </c>
      <c r="Z208" s="970" t="s">
        <v>491</v>
      </c>
      <c r="AA208" s="970" t="s">
        <v>491</v>
      </c>
      <c r="AB208" s="970"/>
      <c r="AC208" s="970"/>
      <c r="AD208" s="970" t="s">
        <v>491</v>
      </c>
      <c r="AE208" s="970" t="s">
        <v>491</v>
      </c>
      <c r="AF208" s="970" t="s">
        <v>491</v>
      </c>
      <c r="AG208" s="970" t="s">
        <v>491</v>
      </c>
      <c r="AH208" s="597">
        <v>111</v>
      </c>
      <c r="AI208" s="598">
        <v>37</v>
      </c>
    </row>
    <row r="209" spans="1:35" ht="21.95" customHeight="1">
      <c r="A209" s="442">
        <v>3701</v>
      </c>
      <c r="B209" s="821" t="s">
        <v>679</v>
      </c>
      <c r="C209" s="970" t="s">
        <v>491</v>
      </c>
      <c r="D209" s="970" t="s">
        <v>491</v>
      </c>
      <c r="E209" s="970" t="s">
        <v>491</v>
      </c>
      <c r="F209" s="970" t="s">
        <v>491</v>
      </c>
      <c r="G209" s="970"/>
      <c r="H209" s="970"/>
      <c r="I209" s="970" t="s">
        <v>491</v>
      </c>
      <c r="J209" s="970" t="s">
        <v>491</v>
      </c>
      <c r="K209" s="970" t="s">
        <v>491</v>
      </c>
      <c r="L209" s="970" t="s">
        <v>491</v>
      </c>
      <c r="M209" s="970" t="s">
        <v>491</v>
      </c>
      <c r="N209" s="970"/>
      <c r="O209" s="970"/>
      <c r="P209" s="970" t="s">
        <v>491</v>
      </c>
      <c r="Q209" s="970" t="s">
        <v>491</v>
      </c>
      <c r="R209" s="970" t="s">
        <v>491</v>
      </c>
      <c r="S209" s="970" t="s">
        <v>491</v>
      </c>
      <c r="T209" s="970" t="s">
        <v>491</v>
      </c>
      <c r="U209" s="970"/>
      <c r="V209" s="970"/>
      <c r="W209" s="965">
        <v>19</v>
      </c>
      <c r="X209" s="965">
        <v>19</v>
      </c>
      <c r="Y209" s="965">
        <v>19</v>
      </c>
      <c r="Z209" s="965">
        <v>19</v>
      </c>
      <c r="AA209" s="965">
        <v>19</v>
      </c>
      <c r="AB209" s="768"/>
      <c r="AC209" s="768"/>
      <c r="AD209" s="768" t="s">
        <v>491</v>
      </c>
      <c r="AE209" s="768" t="s">
        <v>491</v>
      </c>
      <c r="AF209" s="768" t="s">
        <v>491</v>
      </c>
      <c r="AG209" s="768" t="s">
        <v>491</v>
      </c>
      <c r="AH209" s="597">
        <v>78.25</v>
      </c>
      <c r="AI209" s="598">
        <v>37</v>
      </c>
    </row>
    <row r="210" spans="1:35" ht="21.95" customHeight="1">
      <c r="A210" s="820">
        <v>3701</v>
      </c>
      <c r="B210" s="792" t="s">
        <v>680</v>
      </c>
      <c r="C210" s="970" t="s">
        <v>491</v>
      </c>
      <c r="D210" s="970" t="s">
        <v>491</v>
      </c>
      <c r="E210" s="970" t="s">
        <v>491</v>
      </c>
      <c r="F210" s="970" t="s">
        <v>491</v>
      </c>
      <c r="G210" s="970"/>
      <c r="H210" s="970"/>
      <c r="I210" s="970" t="s">
        <v>491</v>
      </c>
      <c r="J210" s="970" t="s">
        <v>491</v>
      </c>
      <c r="K210" s="970" t="s">
        <v>491</v>
      </c>
      <c r="L210" s="970" t="s">
        <v>491</v>
      </c>
      <c r="M210" s="970" t="s">
        <v>491</v>
      </c>
      <c r="N210" s="970"/>
      <c r="O210" s="970"/>
      <c r="P210" s="970" t="s">
        <v>491</v>
      </c>
      <c r="Q210" s="970" t="s">
        <v>491</v>
      </c>
      <c r="R210" s="970" t="s">
        <v>491</v>
      </c>
      <c r="S210" s="970" t="s">
        <v>491</v>
      </c>
      <c r="T210" s="970" t="s">
        <v>491</v>
      </c>
      <c r="U210" s="970"/>
      <c r="V210" s="970"/>
      <c r="W210" s="768" t="s">
        <v>491</v>
      </c>
      <c r="X210" s="768" t="s">
        <v>491</v>
      </c>
      <c r="Y210" s="768" t="s">
        <v>491</v>
      </c>
      <c r="Z210" s="768" t="s">
        <v>491</v>
      </c>
      <c r="AA210" s="768" t="s">
        <v>491</v>
      </c>
      <c r="AB210" s="768"/>
      <c r="AC210" s="768"/>
      <c r="AD210" s="768" t="s">
        <v>491</v>
      </c>
      <c r="AE210" s="768" t="s">
        <v>491</v>
      </c>
      <c r="AF210" s="768" t="s">
        <v>491</v>
      </c>
      <c r="AG210" s="768" t="s">
        <v>491</v>
      </c>
      <c r="AH210" s="597">
        <v>111</v>
      </c>
      <c r="AI210" s="598">
        <v>37</v>
      </c>
    </row>
    <row r="211" spans="1:35" ht="21.95" customHeight="1" thickBot="1">
      <c r="A211" s="442">
        <v>3701</v>
      </c>
      <c r="B211" s="904" t="s">
        <v>681</v>
      </c>
      <c r="C211" s="988" t="s">
        <v>491</v>
      </c>
      <c r="D211" s="988" t="s">
        <v>491</v>
      </c>
      <c r="E211" s="988" t="s">
        <v>491</v>
      </c>
      <c r="F211" s="988" t="s">
        <v>491</v>
      </c>
      <c r="G211" s="988"/>
      <c r="H211" s="988"/>
      <c r="I211" s="988" t="s">
        <v>491</v>
      </c>
      <c r="J211" s="988" t="s">
        <v>491</v>
      </c>
      <c r="K211" s="988" t="s">
        <v>491</v>
      </c>
      <c r="L211" s="988" t="s">
        <v>491</v>
      </c>
      <c r="M211" s="988" t="s">
        <v>491</v>
      </c>
      <c r="N211" s="988"/>
      <c r="O211" s="988"/>
      <c r="P211" s="768" t="s">
        <v>491</v>
      </c>
      <c r="Q211" s="768" t="s">
        <v>491</v>
      </c>
      <c r="R211" s="768" t="s">
        <v>491</v>
      </c>
      <c r="S211" s="768" t="s">
        <v>491</v>
      </c>
      <c r="T211" s="768" t="s">
        <v>491</v>
      </c>
      <c r="U211" s="768"/>
      <c r="V211" s="768"/>
      <c r="W211" s="970" t="s">
        <v>491</v>
      </c>
      <c r="X211" s="970" t="s">
        <v>491</v>
      </c>
      <c r="Y211" s="970" t="s">
        <v>491</v>
      </c>
      <c r="Z211" s="970" t="s">
        <v>491</v>
      </c>
      <c r="AA211" s="970" t="s">
        <v>491</v>
      </c>
      <c r="AB211" s="970"/>
      <c r="AC211" s="970"/>
      <c r="AD211" s="768" t="s">
        <v>491</v>
      </c>
      <c r="AE211" s="768" t="s">
        <v>491</v>
      </c>
      <c r="AF211" s="768" t="s">
        <v>491</v>
      </c>
      <c r="AG211" s="768" t="s">
        <v>491</v>
      </c>
      <c r="AH211" s="597">
        <v>185</v>
      </c>
      <c r="AI211" s="598">
        <v>37</v>
      </c>
    </row>
    <row r="212" spans="1:35" ht="21.95" customHeight="1">
      <c r="A212" s="442">
        <v>3701</v>
      </c>
      <c r="B212" s="789" t="s">
        <v>436</v>
      </c>
      <c r="C212" s="768" t="s">
        <v>491</v>
      </c>
      <c r="D212" s="768" t="s">
        <v>491</v>
      </c>
      <c r="E212" s="768" t="s">
        <v>491</v>
      </c>
      <c r="F212" s="768" t="s">
        <v>491</v>
      </c>
      <c r="G212" s="768"/>
      <c r="H212" s="768"/>
      <c r="I212" s="768" t="s">
        <v>491</v>
      </c>
      <c r="J212" s="768" t="s">
        <v>491</v>
      </c>
      <c r="K212" s="768" t="s">
        <v>491</v>
      </c>
      <c r="L212" s="768" t="s">
        <v>491</v>
      </c>
      <c r="M212" s="768" t="s">
        <v>491</v>
      </c>
      <c r="N212" s="768"/>
      <c r="O212" s="768"/>
      <c r="P212" s="1007" t="s">
        <v>491</v>
      </c>
      <c r="Q212" s="768" t="s">
        <v>491</v>
      </c>
      <c r="R212" s="768" t="s">
        <v>491</v>
      </c>
      <c r="S212" s="768" t="s">
        <v>491</v>
      </c>
      <c r="T212" s="768" t="s">
        <v>491</v>
      </c>
      <c r="U212" s="768"/>
      <c r="V212" s="768"/>
      <c r="W212" s="768" t="s">
        <v>491</v>
      </c>
      <c r="X212" s="768" t="s">
        <v>491</v>
      </c>
      <c r="Y212" s="768" t="s">
        <v>491</v>
      </c>
      <c r="Z212" s="768" t="s">
        <v>491</v>
      </c>
      <c r="AA212" s="768" t="s">
        <v>491</v>
      </c>
      <c r="AB212" s="768"/>
      <c r="AC212" s="768"/>
      <c r="AD212" s="768" t="s">
        <v>491</v>
      </c>
      <c r="AE212" s="768" t="s">
        <v>491</v>
      </c>
      <c r="AF212" s="768" t="s">
        <v>491</v>
      </c>
      <c r="AG212" s="768" t="s">
        <v>491</v>
      </c>
      <c r="AH212" s="597">
        <v>185</v>
      </c>
      <c r="AI212" s="598">
        <v>37</v>
      </c>
    </row>
    <row r="213" spans="1:35" ht="21.95" customHeight="1" thickBot="1">
      <c r="A213" s="442">
        <v>3701</v>
      </c>
      <c r="B213" s="904"/>
      <c r="C213" s="768"/>
      <c r="D213" s="768"/>
      <c r="E213" s="768"/>
      <c r="F213" s="768"/>
      <c r="G213" s="768"/>
      <c r="H213" s="768"/>
      <c r="I213" s="768"/>
      <c r="J213" s="768"/>
      <c r="K213" s="768"/>
      <c r="L213" s="768"/>
      <c r="M213" s="768"/>
      <c r="N213" s="768"/>
      <c r="O213" s="768"/>
      <c r="P213" s="768"/>
      <c r="Q213" s="768"/>
      <c r="R213" s="768"/>
      <c r="S213" s="768"/>
      <c r="T213" s="768"/>
      <c r="U213" s="768"/>
      <c r="V213" s="768"/>
      <c r="W213" s="768"/>
      <c r="X213" s="768"/>
      <c r="Y213" s="768"/>
      <c r="Z213" s="768"/>
      <c r="AA213" s="768"/>
      <c r="AB213" s="768"/>
      <c r="AC213" s="768"/>
      <c r="AD213" s="768"/>
      <c r="AE213" s="768"/>
      <c r="AF213" s="768"/>
      <c r="AG213" s="768"/>
      <c r="AH213" s="597">
        <v>148</v>
      </c>
      <c r="AI213" s="598">
        <v>37</v>
      </c>
    </row>
    <row r="214" spans="1:35" ht="21.95" customHeight="1" thickBot="1">
      <c r="A214" s="903">
        <v>3701</v>
      </c>
      <c r="B214" s="904"/>
      <c r="C214" s="768"/>
      <c r="D214" s="768"/>
      <c r="E214" s="768"/>
      <c r="F214" s="768"/>
      <c r="G214" s="768"/>
      <c r="H214" s="768"/>
      <c r="I214" s="768"/>
      <c r="J214" s="768"/>
      <c r="K214" s="768"/>
      <c r="L214" s="768"/>
      <c r="M214" s="768"/>
      <c r="N214" s="768"/>
      <c r="O214" s="768"/>
      <c r="P214" s="768"/>
      <c r="Q214" s="768"/>
      <c r="R214" s="768"/>
      <c r="S214" s="768"/>
      <c r="T214" s="768"/>
      <c r="U214" s="768"/>
      <c r="V214" s="768"/>
      <c r="W214" s="768"/>
      <c r="X214" s="768"/>
      <c r="Y214" s="768"/>
      <c r="Z214" s="768"/>
      <c r="AA214" s="768"/>
      <c r="AB214" s="768"/>
      <c r="AC214" s="768"/>
      <c r="AD214" s="768"/>
      <c r="AE214" s="768"/>
      <c r="AF214" s="768"/>
      <c r="AG214" s="768"/>
      <c r="AH214" s="868"/>
      <c r="AI214" s="869"/>
    </row>
    <row r="215" spans="1:35" ht="21.95" customHeight="1">
      <c r="A215" s="574"/>
      <c r="B215" s="615"/>
      <c r="C215" s="555"/>
      <c r="D215" s="555"/>
      <c r="E215" s="555"/>
      <c r="F215" s="555"/>
      <c r="G215" s="555"/>
      <c r="H215" s="555"/>
      <c r="I215" s="555"/>
      <c r="J215" s="555"/>
      <c r="K215" s="517"/>
      <c r="L215" s="555"/>
      <c r="M215" s="555"/>
      <c r="N215" s="555"/>
      <c r="O215" s="555"/>
      <c r="P215" s="538"/>
      <c r="Q215" s="538"/>
      <c r="R215" s="538"/>
      <c r="S215" s="555"/>
      <c r="T215" s="555"/>
      <c r="U215" s="555"/>
      <c r="V215" s="555"/>
      <c r="W215" s="555"/>
      <c r="X215" s="555"/>
      <c r="Y215" s="555"/>
      <c r="Z215" s="555"/>
      <c r="AA215" s="555"/>
      <c r="AB215" s="555"/>
      <c r="AC215" s="555"/>
      <c r="AD215" s="555"/>
      <c r="AE215" s="555"/>
      <c r="AF215" s="555"/>
      <c r="AG215" s="555"/>
      <c r="AH215" s="556"/>
      <c r="AI215" s="556"/>
    </row>
    <row r="216" spans="1:35" ht="21" customHeight="1" thickBot="1">
      <c r="A216" s="1" t="s">
        <v>682</v>
      </c>
    </row>
    <row r="217" spans="1:35" ht="21" customHeight="1">
      <c r="B217" s="201" t="s">
        <v>664</v>
      </c>
      <c r="C217" s="7"/>
      <c r="D217" s="522" t="s">
        <v>2</v>
      </c>
      <c r="E217" s="51"/>
      <c r="F217" s="548"/>
      <c r="G217" s="7"/>
      <c r="H217" s="522" t="s">
        <v>3</v>
      </c>
      <c r="I217" s="51"/>
      <c r="J217" s="548"/>
      <c r="K217" s="7"/>
      <c r="L217" s="522" t="s">
        <v>4</v>
      </c>
      <c r="M217" s="51"/>
      <c r="N217" s="548"/>
      <c r="O217" s="7"/>
      <c r="P217" s="522" t="s">
        <v>5</v>
      </c>
      <c r="Q217" s="51"/>
      <c r="R217" s="548"/>
      <c r="S217" s="7"/>
      <c r="T217" s="522" t="s">
        <v>6</v>
      </c>
      <c r="U217" s="51"/>
      <c r="V217" s="548"/>
      <c r="W217" s="7"/>
      <c r="X217" s="522" t="s">
        <v>7</v>
      </c>
      <c r="Y217" s="51"/>
      <c r="Z217" s="548"/>
      <c r="AA217" s="7"/>
      <c r="AB217" s="522" t="s">
        <v>8</v>
      </c>
      <c r="AC217" s="51"/>
      <c r="AD217" s="51"/>
      <c r="AE217" s="425" t="s">
        <v>10</v>
      </c>
      <c r="AF217" s="51"/>
      <c r="AG217" s="51"/>
      <c r="AH217" s="51"/>
      <c r="AI217" s="523"/>
    </row>
    <row r="218" spans="1:35" ht="21" customHeight="1">
      <c r="B218" s="9">
        <v>8502</v>
      </c>
      <c r="C218" s="14" t="s">
        <v>11</v>
      </c>
      <c r="D218" s="603"/>
      <c r="E218" s="55"/>
      <c r="F218" s="602"/>
      <c r="G218" s="14" t="s">
        <v>11</v>
      </c>
      <c r="H218" s="603"/>
      <c r="I218" s="55"/>
      <c r="J218" s="602"/>
      <c r="K218" s="14" t="s">
        <v>11</v>
      </c>
      <c r="L218" s="603"/>
      <c r="M218" s="55"/>
      <c r="N218" s="602"/>
      <c r="O218" s="14" t="s">
        <v>11</v>
      </c>
      <c r="P218" s="603"/>
      <c r="Q218" s="55"/>
      <c r="R218" s="602"/>
      <c r="S218" s="14" t="s">
        <v>12</v>
      </c>
      <c r="T218" s="603"/>
      <c r="U218" s="55"/>
      <c r="V218" s="602"/>
      <c r="W218" s="14"/>
      <c r="X218" s="603"/>
      <c r="Y218" s="55"/>
      <c r="Z218" s="602"/>
      <c r="AA218" s="14"/>
      <c r="AB218" s="603"/>
      <c r="AC218" s="55"/>
      <c r="AD218" s="55"/>
      <c r="AE218" s="604"/>
      <c r="AF218" s="55"/>
      <c r="AG218" s="55"/>
      <c r="AH218" s="55"/>
      <c r="AI218" s="605"/>
    </row>
    <row r="219" spans="1:35" ht="21" customHeight="1">
      <c r="B219" s="606">
        <v>3701</v>
      </c>
      <c r="C219" s="121" t="s">
        <v>11</v>
      </c>
      <c r="D219" s="131"/>
      <c r="E219" s="55"/>
      <c r="F219" s="602"/>
      <c r="G219" s="121" t="s">
        <v>11</v>
      </c>
      <c r="H219" s="603"/>
      <c r="I219" s="55"/>
      <c r="J219" s="602"/>
      <c r="K219" s="121" t="s">
        <v>11</v>
      </c>
      <c r="L219" s="603"/>
      <c r="M219" s="55"/>
      <c r="N219" s="602"/>
      <c r="O219" s="121" t="s">
        <v>11</v>
      </c>
      <c r="P219" s="603"/>
      <c r="Q219" s="55"/>
      <c r="R219" s="602"/>
      <c r="S219" s="14" t="s">
        <v>12</v>
      </c>
      <c r="T219" s="603"/>
      <c r="U219" s="55"/>
      <c r="V219" s="602"/>
      <c r="W219" s="14"/>
      <c r="X219" s="603"/>
      <c r="Y219" s="55"/>
      <c r="Z219" s="602"/>
      <c r="AA219" s="14"/>
      <c r="AB219" s="603"/>
      <c r="AC219" s="55"/>
      <c r="AD219" s="55"/>
      <c r="AE219" s="604"/>
      <c r="AF219" s="55"/>
      <c r="AG219" s="55"/>
      <c r="AH219" s="55"/>
      <c r="AI219" s="605"/>
    </row>
    <row r="220" spans="1:35" ht="21" customHeight="1">
      <c r="B220" s="606">
        <v>3705</v>
      </c>
      <c r="C220" s="121" t="s">
        <v>147</v>
      </c>
      <c r="D220" s="131"/>
      <c r="E220" s="55"/>
      <c r="F220" s="602"/>
      <c r="G220" s="121" t="s">
        <v>147</v>
      </c>
      <c r="H220" s="603"/>
      <c r="I220" s="55"/>
      <c r="J220" s="602"/>
      <c r="K220" s="121" t="s">
        <v>147</v>
      </c>
      <c r="L220" s="603"/>
      <c r="M220" s="55"/>
      <c r="N220" s="602"/>
      <c r="O220" s="121" t="s">
        <v>147</v>
      </c>
      <c r="P220" s="603"/>
      <c r="Q220" s="55"/>
      <c r="R220" s="602"/>
      <c r="S220" s="121" t="s">
        <v>537</v>
      </c>
      <c r="T220" s="603"/>
      <c r="U220" s="55"/>
      <c r="V220" s="602"/>
      <c r="W220" s="14"/>
      <c r="X220" s="603"/>
      <c r="Y220" s="55"/>
      <c r="Z220" s="602"/>
      <c r="AA220" s="14"/>
      <c r="AB220" s="603"/>
      <c r="AC220" s="55"/>
      <c r="AD220" s="55"/>
      <c r="AE220" s="604"/>
      <c r="AF220" s="55"/>
      <c r="AG220" s="55"/>
      <c r="AH220" s="55"/>
      <c r="AI220" s="605"/>
    </row>
    <row r="221" spans="1:35" ht="21" customHeight="1">
      <c r="B221" s="606">
        <v>3702</v>
      </c>
      <c r="C221" s="563" t="s">
        <v>683</v>
      </c>
      <c r="D221" s="131"/>
      <c r="E221" s="55"/>
      <c r="F221" s="602"/>
      <c r="G221" s="563" t="s">
        <v>683</v>
      </c>
      <c r="H221" s="131"/>
      <c r="I221" s="55"/>
      <c r="J221" s="602"/>
      <c r="K221" s="563" t="s">
        <v>683</v>
      </c>
      <c r="L221" s="131"/>
      <c r="M221" s="55"/>
      <c r="N221" s="602"/>
      <c r="O221" s="563" t="s">
        <v>683</v>
      </c>
      <c r="P221" s="131"/>
      <c r="Q221" s="55"/>
      <c r="R221" s="602"/>
      <c r="S221" s="563" t="s">
        <v>270</v>
      </c>
      <c r="T221" s="131"/>
      <c r="U221" s="55"/>
      <c r="V221" s="602"/>
      <c r="W221" s="14"/>
      <c r="X221" s="603"/>
      <c r="Y221" s="55"/>
      <c r="Z221" s="602"/>
      <c r="AA221" s="14"/>
      <c r="AB221" s="603"/>
      <c r="AC221" s="55"/>
      <c r="AD221" s="55"/>
      <c r="AE221" s="604"/>
      <c r="AF221" s="55"/>
      <c r="AG221" s="55"/>
      <c r="AH221" s="55"/>
      <c r="AI221" s="605"/>
    </row>
    <row r="222" spans="1:35" ht="21" customHeight="1">
      <c r="B222" s="606"/>
      <c r="C222" s="563"/>
      <c r="D222" s="131"/>
      <c r="E222" s="55"/>
      <c r="F222" s="602"/>
      <c r="G222" s="603"/>
      <c r="H222" s="603"/>
      <c r="I222" s="55"/>
      <c r="J222" s="602"/>
      <c r="K222" s="603"/>
      <c r="L222" s="603"/>
      <c r="M222" s="55"/>
      <c r="N222" s="602"/>
      <c r="O222" s="603"/>
      <c r="P222" s="603"/>
      <c r="Q222" s="55"/>
      <c r="R222" s="602"/>
      <c r="S222" s="603"/>
      <c r="T222" s="603"/>
      <c r="U222" s="55"/>
      <c r="V222" s="602"/>
      <c r="W222" s="14"/>
      <c r="X222" s="603"/>
      <c r="Y222" s="55"/>
      <c r="Z222" s="602"/>
      <c r="AA222" s="14"/>
      <c r="AB222" s="603"/>
      <c r="AC222" s="55"/>
      <c r="AD222" s="55"/>
      <c r="AE222" s="604"/>
      <c r="AF222" s="55"/>
      <c r="AG222" s="55"/>
      <c r="AH222" s="55"/>
      <c r="AI222" s="605"/>
    </row>
    <row r="223" spans="1:35" ht="21" customHeight="1">
      <c r="B223" s="606" t="s">
        <v>324</v>
      </c>
      <c r="C223" s="563" t="s">
        <v>684</v>
      </c>
      <c r="D223" s="131"/>
      <c r="E223" s="55"/>
      <c r="F223" s="602"/>
      <c r="G223" s="563" t="s">
        <v>684</v>
      </c>
      <c r="H223" s="131"/>
      <c r="I223" s="55"/>
      <c r="J223" s="602"/>
      <c r="K223" s="563" t="s">
        <v>684</v>
      </c>
      <c r="L223" s="131"/>
      <c r="M223" s="55"/>
      <c r="N223" s="602"/>
      <c r="O223" s="563" t="s">
        <v>684</v>
      </c>
      <c r="P223" s="131"/>
      <c r="Q223" s="55"/>
      <c r="R223" s="602"/>
      <c r="S223" s="603" t="s">
        <v>685</v>
      </c>
      <c r="T223" s="603"/>
      <c r="U223" s="55"/>
      <c r="V223" s="602"/>
      <c r="W223" s="14"/>
      <c r="X223" s="603"/>
      <c r="Y223" s="55"/>
      <c r="Z223" s="602"/>
      <c r="AA223" s="14"/>
      <c r="AB223" s="603"/>
      <c r="AC223" s="55"/>
      <c r="AD223" s="55"/>
      <c r="AE223" s="604"/>
      <c r="AF223" s="55"/>
      <c r="AG223" s="55"/>
      <c r="AH223" s="55"/>
      <c r="AI223" s="605"/>
    </row>
    <row r="224" spans="1:35" ht="21" customHeight="1">
      <c r="B224" s="606" t="s">
        <v>325</v>
      </c>
      <c r="C224" s="563" t="s">
        <v>686</v>
      </c>
      <c r="D224" s="131"/>
      <c r="E224" s="55"/>
      <c r="F224" s="602"/>
      <c r="G224" s="563" t="s">
        <v>686</v>
      </c>
      <c r="H224" s="131"/>
      <c r="I224" s="55"/>
      <c r="J224" s="602"/>
      <c r="K224" s="563" t="s">
        <v>686</v>
      </c>
      <c r="L224" s="131"/>
      <c r="M224" s="55"/>
      <c r="N224" s="602"/>
      <c r="O224" s="563" t="s">
        <v>686</v>
      </c>
      <c r="P224" s="131"/>
      <c r="Q224" s="55"/>
      <c r="R224" s="602"/>
      <c r="S224" s="603" t="s">
        <v>687</v>
      </c>
      <c r="T224" s="603"/>
      <c r="U224" s="55"/>
      <c r="V224" s="602"/>
      <c r="W224" s="14"/>
      <c r="X224" s="603"/>
      <c r="Y224" s="55"/>
      <c r="Z224" s="602"/>
      <c r="AA224" s="14"/>
      <c r="AB224" s="603"/>
      <c r="AC224" s="55"/>
      <c r="AD224" s="55"/>
      <c r="AE224" s="604"/>
      <c r="AF224" s="55"/>
      <c r="AG224" s="55"/>
      <c r="AH224" s="55"/>
      <c r="AI224" s="605"/>
    </row>
    <row r="225" spans="1:35" ht="21" customHeight="1" thickBot="1">
      <c r="B225" s="611" t="s">
        <v>326</v>
      </c>
      <c r="C225" s="570" t="s">
        <v>688</v>
      </c>
      <c r="D225" s="48"/>
      <c r="E225" s="616"/>
      <c r="F225" s="240"/>
      <c r="G225" s="570" t="s">
        <v>688</v>
      </c>
      <c r="H225" s="48"/>
      <c r="I225" s="616"/>
      <c r="J225" s="240"/>
      <c r="K225" s="570" t="s">
        <v>688</v>
      </c>
      <c r="L225" s="48"/>
      <c r="M225" s="616"/>
      <c r="N225" s="240"/>
      <c r="O225" s="570" t="s">
        <v>688</v>
      </c>
      <c r="P225" s="48"/>
      <c r="Q225" s="616"/>
      <c r="R225" s="240"/>
      <c r="S225" s="149" t="s">
        <v>689</v>
      </c>
      <c r="T225" s="149"/>
      <c r="U225" s="616"/>
      <c r="V225" s="240"/>
      <c r="W225" s="617"/>
      <c r="X225" s="149"/>
      <c r="Y225" s="616"/>
      <c r="Z225" s="240"/>
      <c r="AA225" s="617"/>
      <c r="AB225" s="149"/>
      <c r="AC225" s="616"/>
      <c r="AD225" s="616"/>
      <c r="AE225" s="618"/>
      <c r="AF225" s="616"/>
      <c r="AG225" s="616"/>
      <c r="AH225" s="616"/>
      <c r="AI225" s="619"/>
    </row>
    <row r="226" spans="1:35" ht="21" customHeight="1">
      <c r="B226" s="274"/>
      <c r="C226" s="312"/>
      <c r="D226" s="72"/>
      <c r="G226" s="312"/>
      <c r="H226" s="72"/>
      <c r="K226" s="312"/>
      <c r="L226" s="72"/>
      <c r="O226" s="312"/>
      <c r="P226" s="72"/>
      <c r="S226" s="312"/>
      <c r="T226" s="312"/>
      <c r="X226" s="312"/>
      <c r="AB226" s="312"/>
      <c r="AE226" s="312"/>
    </row>
    <row r="227" spans="1:35" ht="21" customHeight="1" thickBot="1">
      <c r="A227" s="620" t="s">
        <v>690</v>
      </c>
    </row>
    <row r="228" spans="1:35" ht="21" customHeight="1" thickBot="1">
      <c r="A228" s="861"/>
      <c r="B228" s="862" t="s">
        <v>476</v>
      </c>
      <c r="C228" s="863">
        <v>1</v>
      </c>
      <c r="D228" s="863">
        <v>2</v>
      </c>
      <c r="E228" s="863">
        <v>3</v>
      </c>
      <c r="F228" s="863">
        <v>4</v>
      </c>
      <c r="G228" s="880">
        <v>5</v>
      </c>
      <c r="H228" s="880">
        <v>6</v>
      </c>
      <c r="I228" s="863">
        <v>7</v>
      </c>
      <c r="J228" s="863">
        <v>8</v>
      </c>
      <c r="K228" s="863">
        <v>9</v>
      </c>
      <c r="L228" s="863">
        <v>10</v>
      </c>
      <c r="M228" s="863">
        <v>11</v>
      </c>
      <c r="N228" s="880">
        <v>12</v>
      </c>
      <c r="O228" s="880">
        <v>13</v>
      </c>
      <c r="P228" s="863">
        <v>14</v>
      </c>
      <c r="Q228" s="863">
        <v>15</v>
      </c>
      <c r="R228" s="863">
        <v>16</v>
      </c>
      <c r="S228" s="863">
        <v>17</v>
      </c>
      <c r="T228" s="863">
        <v>18</v>
      </c>
      <c r="U228" s="880">
        <v>19</v>
      </c>
      <c r="V228" s="880">
        <v>20</v>
      </c>
      <c r="W228" s="863">
        <v>21</v>
      </c>
      <c r="X228" s="863">
        <v>22</v>
      </c>
      <c r="Y228" s="863">
        <v>23</v>
      </c>
      <c r="Z228" s="863">
        <v>24</v>
      </c>
      <c r="AA228" s="863">
        <v>25</v>
      </c>
      <c r="AB228" s="880">
        <v>26</v>
      </c>
      <c r="AC228" s="880">
        <v>27</v>
      </c>
      <c r="AD228" s="863">
        <v>28</v>
      </c>
      <c r="AE228" s="863">
        <v>29</v>
      </c>
      <c r="AF228" s="863">
        <v>30</v>
      </c>
      <c r="AG228" s="943">
        <v>31</v>
      </c>
      <c r="AH228" s="864" t="s">
        <v>477</v>
      </c>
      <c r="AI228" s="865" t="s">
        <v>478</v>
      </c>
    </row>
    <row r="229" spans="1:35" ht="21" customHeight="1">
      <c r="A229" s="438">
        <v>3702</v>
      </c>
      <c r="B229" s="54" t="s">
        <v>691</v>
      </c>
      <c r="C229" s="871">
        <v>2</v>
      </c>
      <c r="D229" s="871">
        <v>2</v>
      </c>
      <c r="E229" s="871">
        <v>2</v>
      </c>
      <c r="F229" s="871">
        <v>2</v>
      </c>
      <c r="G229" s="871"/>
      <c r="H229" s="871"/>
      <c r="I229" s="764">
        <v>1</v>
      </c>
      <c r="J229" s="764">
        <v>1</v>
      </c>
      <c r="K229" s="871">
        <v>1</v>
      </c>
      <c r="L229" s="871">
        <v>1</v>
      </c>
      <c r="M229" s="871">
        <v>1</v>
      </c>
      <c r="N229" s="871"/>
      <c r="O229" s="871"/>
      <c r="P229" s="976">
        <v>2</v>
      </c>
      <c r="Q229" s="976">
        <v>2</v>
      </c>
      <c r="R229" s="976">
        <v>2</v>
      </c>
      <c r="S229" s="976">
        <v>2</v>
      </c>
      <c r="T229" s="976">
        <v>2</v>
      </c>
      <c r="U229" s="976"/>
      <c r="V229" s="976"/>
      <c r="W229" s="972">
        <v>1</v>
      </c>
      <c r="X229" s="972">
        <v>1</v>
      </c>
      <c r="Y229" s="976">
        <v>1</v>
      </c>
      <c r="Z229" s="976">
        <v>1</v>
      </c>
      <c r="AA229" s="976">
        <v>1</v>
      </c>
      <c r="AB229" s="976"/>
      <c r="AC229" s="976"/>
      <c r="AD229" s="976">
        <v>2</v>
      </c>
      <c r="AE229" s="976">
        <v>2</v>
      </c>
      <c r="AF229" s="976">
        <v>2</v>
      </c>
      <c r="AG229" s="976">
        <v>2</v>
      </c>
      <c r="AH229" s="510">
        <v>67</v>
      </c>
      <c r="AI229" s="511">
        <v>32</v>
      </c>
    </row>
    <row r="230" spans="1:35" ht="21" customHeight="1">
      <c r="A230" s="442">
        <v>3701</v>
      </c>
      <c r="B230" s="153" t="s">
        <v>692</v>
      </c>
      <c r="C230" s="762" t="s">
        <v>491</v>
      </c>
      <c r="D230" s="762" t="s">
        <v>491</v>
      </c>
      <c r="E230" s="762" t="s">
        <v>491</v>
      </c>
      <c r="F230" s="762" t="s">
        <v>491</v>
      </c>
      <c r="G230" s="762"/>
      <c r="H230" s="762"/>
      <c r="I230" s="768" t="s">
        <v>491</v>
      </c>
      <c r="J230" s="768" t="s">
        <v>491</v>
      </c>
      <c r="K230" s="762" t="s">
        <v>491</v>
      </c>
      <c r="L230" s="762" t="s">
        <v>491</v>
      </c>
      <c r="M230" s="762" t="s">
        <v>491</v>
      </c>
      <c r="N230" s="762"/>
      <c r="O230" s="762"/>
      <c r="P230" s="762" t="s">
        <v>491</v>
      </c>
      <c r="Q230" s="762" t="s">
        <v>491</v>
      </c>
      <c r="R230" s="762" t="s">
        <v>491</v>
      </c>
      <c r="S230" s="762" t="s">
        <v>491</v>
      </c>
      <c r="T230" s="762" t="s">
        <v>491</v>
      </c>
      <c r="U230" s="762"/>
      <c r="V230" s="762"/>
      <c r="W230" s="768" t="s">
        <v>491</v>
      </c>
      <c r="X230" s="768" t="s">
        <v>491</v>
      </c>
      <c r="Y230" s="762" t="s">
        <v>491</v>
      </c>
      <c r="Z230" s="762" t="s">
        <v>491</v>
      </c>
      <c r="AA230" s="762" t="s">
        <v>491</v>
      </c>
      <c r="AB230" s="762"/>
      <c r="AC230" s="762"/>
      <c r="AD230" s="762" t="s">
        <v>491</v>
      </c>
      <c r="AE230" s="762" t="s">
        <v>491</v>
      </c>
      <c r="AF230" s="762" t="s">
        <v>491</v>
      </c>
      <c r="AG230" s="762" t="s">
        <v>491</v>
      </c>
      <c r="AH230" s="924">
        <v>185</v>
      </c>
      <c r="AI230" s="925">
        <v>37</v>
      </c>
    </row>
    <row r="231" spans="1:35" ht="21" customHeight="1">
      <c r="A231" s="442">
        <v>3702</v>
      </c>
      <c r="B231" s="153" t="s">
        <v>693</v>
      </c>
      <c r="C231" s="966">
        <v>1</v>
      </c>
      <c r="D231" s="966">
        <v>1</v>
      </c>
      <c r="E231" s="966">
        <v>1</v>
      </c>
      <c r="F231" s="966">
        <v>1</v>
      </c>
      <c r="G231" s="966"/>
      <c r="H231" s="966"/>
      <c r="I231" s="768">
        <v>2</v>
      </c>
      <c r="J231" s="768">
        <v>2</v>
      </c>
      <c r="K231" s="762">
        <v>2</v>
      </c>
      <c r="L231" s="762">
        <v>2</v>
      </c>
      <c r="M231" s="762">
        <v>2</v>
      </c>
      <c r="N231" s="762"/>
      <c r="O231" s="762"/>
      <c r="P231" s="762">
        <v>1</v>
      </c>
      <c r="Q231" s="762">
        <v>1</v>
      </c>
      <c r="R231" s="762">
        <v>1</v>
      </c>
      <c r="S231" s="762">
        <v>1</v>
      </c>
      <c r="T231" s="762">
        <v>1</v>
      </c>
      <c r="U231" s="762"/>
      <c r="V231" s="762"/>
      <c r="W231" s="768">
        <v>2</v>
      </c>
      <c r="X231" s="768">
        <v>2</v>
      </c>
      <c r="Y231" s="762">
        <v>2</v>
      </c>
      <c r="Z231" s="762">
        <v>2</v>
      </c>
      <c r="AA231" s="762">
        <v>2</v>
      </c>
      <c r="AB231" s="762"/>
      <c r="AC231" s="762"/>
      <c r="AD231" s="762">
        <v>1</v>
      </c>
      <c r="AE231" s="762">
        <v>1</v>
      </c>
      <c r="AF231" s="762">
        <v>1</v>
      </c>
      <c r="AG231" s="762">
        <v>1</v>
      </c>
      <c r="AH231" s="924">
        <v>140.5</v>
      </c>
      <c r="AI231" s="925">
        <v>7.5</v>
      </c>
    </row>
    <row r="232" spans="1:35" ht="21" customHeight="1">
      <c r="A232" s="621">
        <v>3706</v>
      </c>
      <c r="B232" s="854" t="s">
        <v>694</v>
      </c>
      <c r="C232" s="768" t="s">
        <v>485</v>
      </c>
      <c r="D232" s="768" t="s">
        <v>485</v>
      </c>
      <c r="E232" s="768" t="s">
        <v>485</v>
      </c>
      <c r="F232" s="768" t="s">
        <v>485</v>
      </c>
      <c r="G232" s="768"/>
      <c r="H232" s="768"/>
      <c r="I232" s="768" t="s">
        <v>485</v>
      </c>
      <c r="J232" s="768" t="s">
        <v>485</v>
      </c>
      <c r="K232" s="768" t="s">
        <v>485</v>
      </c>
      <c r="L232" s="768" t="s">
        <v>485</v>
      </c>
      <c r="M232" s="768" t="s">
        <v>485</v>
      </c>
      <c r="N232" s="768"/>
      <c r="O232" s="768"/>
      <c r="P232" s="768" t="s">
        <v>485</v>
      </c>
      <c r="Q232" s="768" t="s">
        <v>485</v>
      </c>
      <c r="R232" s="768" t="s">
        <v>485</v>
      </c>
      <c r="S232" s="768" t="s">
        <v>485</v>
      </c>
      <c r="T232" s="768" t="s">
        <v>485</v>
      </c>
      <c r="U232" s="768"/>
      <c r="V232" s="768"/>
      <c r="W232" s="970" t="s">
        <v>485</v>
      </c>
      <c r="X232" s="970" t="s">
        <v>485</v>
      </c>
      <c r="Y232" s="970" t="s">
        <v>485</v>
      </c>
      <c r="Z232" s="970" t="s">
        <v>485</v>
      </c>
      <c r="AA232" s="970" t="s">
        <v>485</v>
      </c>
      <c r="AB232" s="768"/>
      <c r="AC232" s="768"/>
      <c r="AD232" s="1038" t="s">
        <v>485</v>
      </c>
      <c r="AE232" s="1038" t="s">
        <v>493</v>
      </c>
      <c r="AF232" s="768" t="s">
        <v>485</v>
      </c>
      <c r="AG232" s="768" t="s">
        <v>485</v>
      </c>
      <c r="AH232" s="924">
        <v>111</v>
      </c>
      <c r="AI232" s="925">
        <v>37</v>
      </c>
    </row>
    <row r="233" spans="1:35" ht="21" customHeight="1">
      <c r="A233" s="622"/>
      <c r="B233" s="623" t="s">
        <v>695</v>
      </c>
      <c r="C233" s="940"/>
      <c r="D233" s="940"/>
      <c r="E233" s="940"/>
      <c r="F233" s="940"/>
      <c r="G233" s="940"/>
      <c r="H233" s="940"/>
      <c r="I233" s="940"/>
      <c r="J233" s="940"/>
      <c r="K233" s="940"/>
      <c r="L233" s="940"/>
      <c r="M233" s="940"/>
      <c r="N233" s="940"/>
      <c r="O233" s="940"/>
      <c r="P233" s="940"/>
      <c r="Q233" s="940"/>
      <c r="R233" s="940"/>
      <c r="S233" s="940"/>
      <c r="T233" s="940"/>
      <c r="U233" s="940"/>
      <c r="V233" s="940"/>
      <c r="W233" s="940"/>
      <c r="X233" s="940"/>
      <c r="Y233" s="940"/>
      <c r="Z233" s="940"/>
      <c r="AA233" s="940"/>
      <c r="AB233" s="940"/>
      <c r="AC233" s="940"/>
      <c r="AD233" s="940"/>
      <c r="AE233" s="940"/>
      <c r="AF233" s="940"/>
      <c r="AG233" s="940"/>
      <c r="AH233" s="624"/>
      <c r="AI233" s="625"/>
    </row>
    <row r="234" spans="1:35" ht="21" customHeight="1">
      <c r="A234" s="442">
        <v>3702</v>
      </c>
      <c r="B234" s="793" t="s">
        <v>696</v>
      </c>
      <c r="C234" s="966" t="s">
        <v>697</v>
      </c>
      <c r="D234" s="966" t="s">
        <v>697</v>
      </c>
      <c r="E234" s="966" t="s">
        <v>697</v>
      </c>
      <c r="F234" s="966" t="s">
        <v>697</v>
      </c>
      <c r="G234" s="970"/>
      <c r="H234" s="970"/>
      <c r="I234" s="966" t="s">
        <v>697</v>
      </c>
      <c r="J234" s="966" t="s">
        <v>697</v>
      </c>
      <c r="K234" s="966" t="s">
        <v>697</v>
      </c>
      <c r="L234" s="966" t="s">
        <v>697</v>
      </c>
      <c r="M234" s="966" t="s">
        <v>697</v>
      </c>
      <c r="N234" s="1072"/>
      <c r="O234" s="970"/>
      <c r="P234" s="762" t="s">
        <v>697</v>
      </c>
      <c r="Q234" s="762" t="s">
        <v>697</v>
      </c>
      <c r="R234" s="762" t="s">
        <v>697</v>
      </c>
      <c r="S234" s="762" t="s">
        <v>697</v>
      </c>
      <c r="T234" s="762" t="s">
        <v>697</v>
      </c>
      <c r="U234" s="768"/>
      <c r="V234" s="768"/>
      <c r="W234" s="762" t="s">
        <v>697</v>
      </c>
      <c r="X234" s="762" t="s">
        <v>697</v>
      </c>
      <c r="Y234" s="762" t="s">
        <v>697</v>
      </c>
      <c r="Z234" s="762" t="s">
        <v>697</v>
      </c>
      <c r="AA234" s="762" t="s">
        <v>697</v>
      </c>
      <c r="AB234" s="768"/>
      <c r="AC234" s="768"/>
      <c r="AD234" s="762" t="s">
        <v>697</v>
      </c>
      <c r="AE234" s="762" t="s">
        <v>697</v>
      </c>
      <c r="AF234" s="762" t="s">
        <v>697</v>
      </c>
      <c r="AG234" s="762" t="s">
        <v>697</v>
      </c>
      <c r="AH234" s="924">
        <v>74</v>
      </c>
      <c r="AI234" s="925">
        <v>37</v>
      </c>
    </row>
    <row r="235" spans="1:35" ht="21" customHeight="1">
      <c r="A235" s="442"/>
      <c r="B235" s="153" t="s">
        <v>698</v>
      </c>
      <c r="C235" s="762" t="s">
        <v>699</v>
      </c>
      <c r="D235" s="762" t="s">
        <v>699</v>
      </c>
      <c r="E235" s="762" t="s">
        <v>699</v>
      </c>
      <c r="F235" s="762" t="s">
        <v>699</v>
      </c>
      <c r="G235" s="768"/>
      <c r="H235" s="768"/>
      <c r="I235" s="966" t="s">
        <v>699</v>
      </c>
      <c r="J235" s="966" t="s">
        <v>699</v>
      </c>
      <c r="K235" s="966" t="s">
        <v>699</v>
      </c>
      <c r="L235" s="966" t="s">
        <v>699</v>
      </c>
      <c r="M235" s="966" t="s">
        <v>699</v>
      </c>
      <c r="N235" s="1072"/>
      <c r="O235" s="970"/>
      <c r="P235" s="966" t="s">
        <v>699</v>
      </c>
      <c r="Q235" s="966" t="s">
        <v>699</v>
      </c>
      <c r="R235" s="966" t="s">
        <v>699</v>
      </c>
      <c r="S235" s="966" t="s">
        <v>699</v>
      </c>
      <c r="T235" s="966" t="s">
        <v>699</v>
      </c>
      <c r="U235" s="970"/>
      <c r="V235" s="970"/>
      <c r="W235" s="966" t="s">
        <v>699</v>
      </c>
      <c r="X235" s="966" t="s">
        <v>699</v>
      </c>
      <c r="Y235" s="966" t="s">
        <v>699</v>
      </c>
      <c r="Z235" s="966" t="s">
        <v>699</v>
      </c>
      <c r="AA235" s="966" t="s">
        <v>699</v>
      </c>
      <c r="AB235" s="768"/>
      <c r="AC235" s="768"/>
      <c r="AD235" s="762" t="s">
        <v>699</v>
      </c>
      <c r="AE235" s="762" t="s">
        <v>699</v>
      </c>
      <c r="AF235" s="762" t="s">
        <v>699</v>
      </c>
      <c r="AG235" s="762" t="s">
        <v>699</v>
      </c>
      <c r="AH235" s="924">
        <v>120.5</v>
      </c>
      <c r="AI235" s="925">
        <v>37</v>
      </c>
    </row>
    <row r="236" spans="1:35" ht="21" customHeight="1" thickBot="1">
      <c r="A236" s="906"/>
      <c r="B236" s="895" t="s">
        <v>700</v>
      </c>
      <c r="C236" s="875" t="s">
        <v>701</v>
      </c>
      <c r="D236" s="875" t="s">
        <v>701</v>
      </c>
      <c r="E236" s="875" t="s">
        <v>701</v>
      </c>
      <c r="F236" s="875" t="s">
        <v>701</v>
      </c>
      <c r="G236" s="867"/>
      <c r="H236" s="867"/>
      <c r="I236" s="875" t="s">
        <v>701</v>
      </c>
      <c r="J236" s="875" t="s">
        <v>701</v>
      </c>
      <c r="K236" s="875" t="s">
        <v>701</v>
      </c>
      <c r="L236" s="875" t="s">
        <v>701</v>
      </c>
      <c r="M236" s="875" t="s">
        <v>701</v>
      </c>
      <c r="N236" s="907"/>
      <c r="O236" s="867"/>
      <c r="P236" s="875" t="s">
        <v>701</v>
      </c>
      <c r="Q236" s="875" t="s">
        <v>701</v>
      </c>
      <c r="R236" s="875" t="s">
        <v>701</v>
      </c>
      <c r="S236" s="875" t="s">
        <v>701</v>
      </c>
      <c r="T236" s="875" t="s">
        <v>701</v>
      </c>
      <c r="U236" s="867"/>
      <c r="V236" s="867"/>
      <c r="W236" s="875" t="s">
        <v>701</v>
      </c>
      <c r="X236" s="875" t="s">
        <v>701</v>
      </c>
      <c r="Y236" s="875" t="s">
        <v>701</v>
      </c>
      <c r="Z236" s="875" t="s">
        <v>701</v>
      </c>
      <c r="AA236" s="875" t="s">
        <v>701</v>
      </c>
      <c r="AB236" s="867"/>
      <c r="AC236" s="867"/>
      <c r="AD236" s="990" t="s">
        <v>701</v>
      </c>
      <c r="AE236" s="990" t="s">
        <v>701</v>
      </c>
      <c r="AF236" s="990" t="s">
        <v>701</v>
      </c>
      <c r="AG236" s="990" t="s">
        <v>701</v>
      </c>
      <c r="AH236" s="868">
        <v>207.5</v>
      </c>
      <c r="AI236" s="869">
        <v>37</v>
      </c>
    </row>
    <row r="237" spans="1:35" ht="21" customHeight="1"/>
    <row r="238" spans="1:35" ht="21" customHeight="1"/>
    <row r="239" spans="1:35" ht="21" customHeight="1" thickBot="1">
      <c r="A239" s="1" t="s">
        <v>702</v>
      </c>
    </row>
    <row r="240" spans="1:35" ht="21" customHeight="1">
      <c r="B240" s="201" t="s">
        <v>664</v>
      </c>
      <c r="C240" s="7"/>
      <c r="D240" s="522" t="s">
        <v>2</v>
      </c>
      <c r="E240" s="51"/>
      <c r="F240" s="548"/>
      <c r="G240" s="7"/>
      <c r="H240" s="522" t="s">
        <v>3</v>
      </c>
      <c r="I240" s="51"/>
      <c r="J240" s="548"/>
      <c r="K240" s="7"/>
      <c r="L240" s="522" t="s">
        <v>4</v>
      </c>
      <c r="M240" s="51"/>
      <c r="N240" s="548"/>
      <c r="O240" s="7"/>
      <c r="P240" s="522" t="s">
        <v>5</v>
      </c>
      <c r="Q240" s="51"/>
      <c r="R240" s="548"/>
      <c r="S240" s="7"/>
      <c r="T240" s="522" t="s">
        <v>6</v>
      </c>
      <c r="U240" s="51"/>
      <c r="V240" s="548"/>
      <c r="W240" s="7"/>
      <c r="X240" s="522" t="s">
        <v>7</v>
      </c>
      <c r="Y240" s="51"/>
      <c r="Z240" s="548"/>
      <c r="AA240" s="7"/>
      <c r="AB240" s="522" t="s">
        <v>8</v>
      </c>
      <c r="AC240" s="51"/>
      <c r="AD240" s="51"/>
      <c r="AE240" s="425" t="s">
        <v>10</v>
      </c>
      <c r="AF240" s="51"/>
      <c r="AG240" s="51"/>
      <c r="AH240" s="51"/>
      <c r="AI240" s="523"/>
    </row>
    <row r="241" spans="1:35" ht="21" customHeight="1">
      <c r="B241" s="9">
        <v>8500</v>
      </c>
      <c r="C241" s="121" t="s">
        <v>33</v>
      </c>
      <c r="D241" s="603"/>
      <c r="E241" s="55"/>
      <c r="F241" s="602"/>
      <c r="G241" s="121" t="s">
        <v>33</v>
      </c>
      <c r="H241" s="603"/>
      <c r="I241" s="55"/>
      <c r="J241" s="602"/>
      <c r="K241" s="121" t="s">
        <v>33</v>
      </c>
      <c r="L241" s="603"/>
      <c r="M241" s="55"/>
      <c r="N241" s="602"/>
      <c r="O241" s="121" t="s">
        <v>33</v>
      </c>
      <c r="P241" s="603"/>
      <c r="Q241" s="55"/>
      <c r="R241" s="602"/>
      <c r="S241" s="121" t="s">
        <v>34</v>
      </c>
      <c r="T241" s="603"/>
      <c r="U241" s="55"/>
      <c r="V241" s="602"/>
      <c r="W241" s="14"/>
      <c r="X241" s="603"/>
      <c r="Y241" s="55"/>
      <c r="Z241" s="602"/>
      <c r="AA241" s="14"/>
      <c r="AB241" s="603"/>
      <c r="AC241" s="55"/>
      <c r="AD241" s="55"/>
      <c r="AE241" s="604"/>
      <c r="AF241" s="55"/>
      <c r="AG241" s="55"/>
      <c r="AH241" s="55"/>
      <c r="AI241" s="605"/>
    </row>
    <row r="242" spans="1:35" ht="21" customHeight="1" thickBot="1">
      <c r="B242" s="163" t="s">
        <v>703</v>
      </c>
      <c r="C242" s="626" t="s">
        <v>704</v>
      </c>
      <c r="D242" s="627"/>
      <c r="E242" s="616"/>
      <c r="F242" s="240"/>
      <c r="G242" s="626" t="s">
        <v>704</v>
      </c>
      <c r="H242" s="149"/>
      <c r="I242" s="616"/>
      <c r="J242" s="240"/>
      <c r="K242" s="626" t="s">
        <v>704</v>
      </c>
      <c r="L242" s="149"/>
      <c r="M242" s="616"/>
      <c r="N242" s="240"/>
      <c r="O242" s="626" t="s">
        <v>705</v>
      </c>
      <c r="P242" s="149"/>
      <c r="Q242" s="616"/>
      <c r="R242" s="240"/>
      <c r="S242" s="626" t="s">
        <v>16</v>
      </c>
      <c r="T242" s="149"/>
      <c r="U242" s="616"/>
      <c r="V242" s="240"/>
      <c r="W242" s="617"/>
      <c r="X242" s="149"/>
      <c r="Y242" s="616"/>
      <c r="Z242" s="240"/>
      <c r="AA242" s="617"/>
      <c r="AB242" s="149"/>
      <c r="AC242" s="616"/>
      <c r="AD242" s="616"/>
      <c r="AE242" s="618"/>
      <c r="AF242" s="616"/>
      <c r="AG242" s="616"/>
      <c r="AH242" s="616"/>
      <c r="AI242" s="619"/>
    </row>
    <row r="243" spans="1:35" ht="21" customHeight="1" thickBot="1">
      <c r="A243" s="60" t="s">
        <v>706</v>
      </c>
    </row>
    <row r="244" spans="1:35" ht="21" customHeight="1" thickBot="1">
      <c r="A244" s="911"/>
      <c r="B244" s="862" t="s">
        <v>476</v>
      </c>
      <c r="C244" s="863">
        <v>1</v>
      </c>
      <c r="D244" s="863">
        <v>2</v>
      </c>
      <c r="E244" s="863">
        <v>3</v>
      </c>
      <c r="F244" s="863">
        <v>4</v>
      </c>
      <c r="G244" s="880">
        <v>5</v>
      </c>
      <c r="H244" s="880">
        <v>6</v>
      </c>
      <c r="I244" s="863">
        <v>7</v>
      </c>
      <c r="J244" s="863">
        <v>8</v>
      </c>
      <c r="K244" s="863">
        <v>9</v>
      </c>
      <c r="L244" s="863">
        <v>10</v>
      </c>
      <c r="M244" s="863">
        <v>11</v>
      </c>
      <c r="N244" s="880">
        <v>12</v>
      </c>
      <c r="O244" s="880">
        <v>13</v>
      </c>
      <c r="P244" s="863">
        <v>14</v>
      </c>
      <c r="Q244" s="863">
        <v>15</v>
      </c>
      <c r="R244" s="863">
        <v>16</v>
      </c>
      <c r="S244" s="863">
        <v>17</v>
      </c>
      <c r="T244" s="863">
        <v>18</v>
      </c>
      <c r="U244" s="880">
        <v>19</v>
      </c>
      <c r="V244" s="880">
        <v>20</v>
      </c>
      <c r="W244" s="863">
        <v>21</v>
      </c>
      <c r="X244" s="863">
        <v>22</v>
      </c>
      <c r="Y244" s="863">
        <v>23</v>
      </c>
      <c r="Z244" s="863">
        <v>24</v>
      </c>
      <c r="AA244" s="863">
        <v>25</v>
      </c>
      <c r="AB244" s="880">
        <v>26</v>
      </c>
      <c r="AC244" s="880">
        <v>27</v>
      </c>
      <c r="AD244" s="863">
        <v>28</v>
      </c>
      <c r="AE244" s="863">
        <v>29</v>
      </c>
      <c r="AF244" s="863">
        <v>30</v>
      </c>
      <c r="AG244" s="943">
        <v>31</v>
      </c>
      <c r="AH244" s="864" t="s">
        <v>477</v>
      </c>
      <c r="AI244" s="865" t="s">
        <v>478</v>
      </c>
    </row>
    <row r="245" spans="1:35" ht="21" customHeight="1">
      <c r="A245" s="14">
        <v>8500</v>
      </c>
      <c r="B245" s="908" t="s">
        <v>707</v>
      </c>
      <c r="C245" s="768" t="s">
        <v>491</v>
      </c>
      <c r="D245" s="768" t="s">
        <v>491</v>
      </c>
      <c r="E245" s="768" t="s">
        <v>491</v>
      </c>
      <c r="F245" s="768" t="s">
        <v>491</v>
      </c>
      <c r="G245" s="768"/>
      <c r="H245" s="768"/>
      <c r="I245" s="768" t="s">
        <v>491</v>
      </c>
      <c r="J245" s="768" t="s">
        <v>491</v>
      </c>
      <c r="K245" s="768" t="s">
        <v>491</v>
      </c>
      <c r="L245" s="768" t="s">
        <v>491</v>
      </c>
      <c r="M245" s="768" t="s">
        <v>491</v>
      </c>
      <c r="N245" s="768"/>
      <c r="O245" s="768"/>
      <c r="P245" s="768" t="s">
        <v>491</v>
      </c>
      <c r="Q245" s="768" t="s">
        <v>491</v>
      </c>
      <c r="R245" s="768" t="s">
        <v>491</v>
      </c>
      <c r="S245" s="768" t="s">
        <v>491</v>
      </c>
      <c r="T245" s="768" t="s">
        <v>491</v>
      </c>
      <c r="U245" s="768"/>
      <c r="V245" s="768"/>
      <c r="W245" s="768" t="s">
        <v>491</v>
      </c>
      <c r="X245" s="970" t="s">
        <v>491</v>
      </c>
      <c r="Y245" s="970" t="s">
        <v>491</v>
      </c>
      <c r="Z245" s="970" t="s">
        <v>491</v>
      </c>
      <c r="AA245" s="970" t="s">
        <v>491</v>
      </c>
      <c r="AB245" s="970"/>
      <c r="AC245" s="970"/>
      <c r="AD245" s="970" t="s">
        <v>491</v>
      </c>
      <c r="AE245" s="970" t="s">
        <v>491</v>
      </c>
      <c r="AF245" s="768" t="s">
        <v>491</v>
      </c>
      <c r="AG245" s="768" t="s">
        <v>491</v>
      </c>
      <c r="AH245" s="909">
        <v>208.5</v>
      </c>
      <c r="AI245" s="910">
        <v>37</v>
      </c>
    </row>
    <row r="246" spans="1:35" ht="21" customHeight="1">
      <c r="A246" s="500" t="s">
        <v>708</v>
      </c>
      <c r="B246" s="153" t="s">
        <v>709</v>
      </c>
      <c r="C246" s="768" t="s">
        <v>491</v>
      </c>
      <c r="D246" s="768" t="s">
        <v>491</v>
      </c>
      <c r="E246" s="768" t="s">
        <v>491</v>
      </c>
      <c r="F246" s="768" t="s">
        <v>491</v>
      </c>
      <c r="G246" s="768"/>
      <c r="H246" s="768"/>
      <c r="I246" s="768" t="s">
        <v>491</v>
      </c>
      <c r="J246" s="768" t="s">
        <v>491</v>
      </c>
      <c r="K246" s="768" t="s">
        <v>491</v>
      </c>
      <c r="L246" s="768" t="s">
        <v>491</v>
      </c>
      <c r="M246" s="768" t="s">
        <v>491</v>
      </c>
      <c r="N246" s="768"/>
      <c r="O246" s="768"/>
      <c r="P246" s="768" t="s">
        <v>491</v>
      </c>
      <c r="Q246" s="768" t="s">
        <v>491</v>
      </c>
      <c r="R246" s="768" t="s">
        <v>491</v>
      </c>
      <c r="S246" s="768" t="s">
        <v>491</v>
      </c>
      <c r="T246" s="768" t="s">
        <v>491</v>
      </c>
      <c r="U246" s="768"/>
      <c r="V246" s="768"/>
      <c r="W246" s="768" t="s">
        <v>491</v>
      </c>
      <c r="X246" s="768" t="s">
        <v>491</v>
      </c>
      <c r="Y246" s="768" t="s">
        <v>491</v>
      </c>
      <c r="Z246" s="768" t="s">
        <v>491</v>
      </c>
      <c r="AA246" s="768" t="s">
        <v>491</v>
      </c>
      <c r="AB246" s="768"/>
      <c r="AC246" s="768"/>
      <c r="AD246" s="970" t="s">
        <v>491</v>
      </c>
      <c r="AE246" s="970" t="s">
        <v>491</v>
      </c>
      <c r="AF246" s="970" t="s">
        <v>491</v>
      </c>
      <c r="AG246" s="970" t="s">
        <v>491</v>
      </c>
      <c r="AH246" s="628">
        <v>181.5</v>
      </c>
      <c r="AI246" s="629">
        <v>37</v>
      </c>
    </row>
    <row r="247" spans="1:35" ht="21.95" customHeight="1">
      <c r="A247" s="442"/>
      <c r="B247" s="153" t="s">
        <v>710</v>
      </c>
      <c r="C247" s="768" t="s">
        <v>491</v>
      </c>
      <c r="D247" s="768" t="s">
        <v>491</v>
      </c>
      <c r="E247" s="768" t="s">
        <v>491</v>
      </c>
      <c r="F247" s="768" t="s">
        <v>491</v>
      </c>
      <c r="G247" s="768"/>
      <c r="H247" s="768"/>
      <c r="I247" s="768" t="s">
        <v>491</v>
      </c>
      <c r="J247" s="768" t="s">
        <v>491</v>
      </c>
      <c r="K247" s="768" t="s">
        <v>491</v>
      </c>
      <c r="L247" s="768" t="s">
        <v>491</v>
      </c>
      <c r="M247" s="768" t="s">
        <v>491</v>
      </c>
      <c r="N247" s="768"/>
      <c r="O247" s="768"/>
      <c r="P247" s="768" t="s">
        <v>491</v>
      </c>
      <c r="Q247" s="768" t="s">
        <v>491</v>
      </c>
      <c r="R247" s="768" t="s">
        <v>491</v>
      </c>
      <c r="S247" s="768" t="s">
        <v>491</v>
      </c>
      <c r="T247" s="768" t="s">
        <v>491</v>
      </c>
      <c r="U247" s="768"/>
      <c r="V247" s="768"/>
      <c r="W247" s="768" t="s">
        <v>491</v>
      </c>
      <c r="X247" s="768" t="s">
        <v>491</v>
      </c>
      <c r="Y247" s="768" t="s">
        <v>491</v>
      </c>
      <c r="Z247" s="768" t="s">
        <v>491</v>
      </c>
      <c r="AA247" s="768" t="s">
        <v>491</v>
      </c>
      <c r="AB247" s="768"/>
      <c r="AC247" s="768"/>
      <c r="AD247" s="768" t="s">
        <v>491</v>
      </c>
      <c r="AE247" s="768" t="s">
        <v>491</v>
      </c>
      <c r="AF247" s="768" t="s">
        <v>491</v>
      </c>
      <c r="AG247" s="768" t="s">
        <v>491</v>
      </c>
      <c r="AH247" s="628">
        <v>222</v>
      </c>
      <c r="AI247" s="629">
        <v>37</v>
      </c>
    </row>
    <row r="248" spans="1:35" ht="21.95" customHeight="1">
      <c r="A248" s="516">
        <v>3701</v>
      </c>
      <c r="B248" s="134" t="s">
        <v>711</v>
      </c>
      <c r="C248" s="768" t="s">
        <v>491</v>
      </c>
      <c r="D248" s="768" t="s">
        <v>491</v>
      </c>
      <c r="E248" s="768" t="s">
        <v>491</v>
      </c>
      <c r="F248" s="768" t="s">
        <v>491</v>
      </c>
      <c r="G248" s="768"/>
      <c r="H248" s="768"/>
      <c r="I248" s="768" t="s">
        <v>491</v>
      </c>
      <c r="J248" s="768" t="s">
        <v>491</v>
      </c>
      <c r="K248" s="768" t="s">
        <v>491</v>
      </c>
      <c r="L248" s="1038" t="s">
        <v>491</v>
      </c>
      <c r="M248" s="1038" t="s">
        <v>491</v>
      </c>
      <c r="N248" s="1038"/>
      <c r="O248" s="1038"/>
      <c r="P248" s="1038" t="s">
        <v>714</v>
      </c>
      <c r="Q248" s="768" t="s">
        <v>491</v>
      </c>
      <c r="R248" s="768" t="s">
        <v>491</v>
      </c>
      <c r="S248" s="768" t="s">
        <v>491</v>
      </c>
      <c r="T248" s="768" t="s">
        <v>491</v>
      </c>
      <c r="U248" s="768"/>
      <c r="V248" s="768"/>
      <c r="W248" s="768" t="s">
        <v>491</v>
      </c>
      <c r="X248" s="768" t="s">
        <v>491</v>
      </c>
      <c r="Y248" s="768" t="s">
        <v>491</v>
      </c>
      <c r="Z248" s="768" t="s">
        <v>491</v>
      </c>
      <c r="AA248" s="768" t="s">
        <v>491</v>
      </c>
      <c r="AB248" s="768"/>
      <c r="AC248" s="768"/>
      <c r="AD248" s="768" t="s">
        <v>491</v>
      </c>
      <c r="AE248" s="768" t="s">
        <v>491</v>
      </c>
      <c r="AF248" s="768" t="s">
        <v>491</v>
      </c>
      <c r="AG248" s="768" t="s">
        <v>491</v>
      </c>
      <c r="AH248" s="849">
        <v>214.5</v>
      </c>
      <c r="AI248" s="850">
        <v>37</v>
      </c>
    </row>
    <row r="249" spans="1:35" ht="21" customHeight="1">
      <c r="A249" s="793">
        <v>8500</v>
      </c>
      <c r="B249" s="227" t="s">
        <v>712</v>
      </c>
      <c r="C249" s="1038" t="s">
        <v>714</v>
      </c>
      <c r="D249" s="768" t="s">
        <v>491</v>
      </c>
      <c r="E249" s="768" t="s">
        <v>491</v>
      </c>
      <c r="F249" s="768" t="s">
        <v>491</v>
      </c>
      <c r="G249" s="768"/>
      <c r="H249" s="768"/>
      <c r="I249" s="768" t="s">
        <v>491</v>
      </c>
      <c r="J249" s="1038" t="s">
        <v>491</v>
      </c>
      <c r="K249" s="1038" t="s">
        <v>491</v>
      </c>
      <c r="L249" s="1038" t="s">
        <v>491</v>
      </c>
      <c r="M249" s="1038" t="s">
        <v>491</v>
      </c>
      <c r="N249" s="1038"/>
      <c r="O249" s="1038"/>
      <c r="P249" s="1038" t="s">
        <v>714</v>
      </c>
      <c r="Q249" s="768" t="s">
        <v>491</v>
      </c>
      <c r="R249" s="768" t="s">
        <v>491</v>
      </c>
      <c r="S249" s="768" t="s">
        <v>491</v>
      </c>
      <c r="T249" s="970" t="s">
        <v>491</v>
      </c>
      <c r="U249" s="768"/>
      <c r="V249" s="768"/>
      <c r="W249" s="768" t="s">
        <v>491</v>
      </c>
      <c r="X249" s="768" t="s">
        <v>491</v>
      </c>
      <c r="Y249" s="768" t="s">
        <v>491</v>
      </c>
      <c r="Z249" s="768" t="s">
        <v>491</v>
      </c>
      <c r="AA249" s="768" t="s">
        <v>491</v>
      </c>
      <c r="AB249" s="768"/>
      <c r="AC249" s="768"/>
      <c r="AD249" s="768" t="s">
        <v>491</v>
      </c>
      <c r="AE249" s="768" t="s">
        <v>491</v>
      </c>
      <c r="AF249" s="768" t="s">
        <v>491</v>
      </c>
      <c r="AG249" s="768" t="s">
        <v>491</v>
      </c>
      <c r="AH249" s="849">
        <v>185</v>
      </c>
      <c r="AI249" s="850">
        <v>37</v>
      </c>
    </row>
    <row r="250" spans="1:35" ht="21.95" customHeight="1">
      <c r="A250" s="856">
        <v>3350</v>
      </c>
      <c r="B250" s="855" t="s">
        <v>713</v>
      </c>
      <c r="C250" s="768" t="s">
        <v>491</v>
      </c>
      <c r="D250" s="768" t="s">
        <v>491</v>
      </c>
      <c r="E250" s="768" t="s">
        <v>491</v>
      </c>
      <c r="F250" s="768" t="s">
        <v>491</v>
      </c>
      <c r="G250" s="768"/>
      <c r="H250" s="768"/>
      <c r="I250" s="768" t="s">
        <v>491</v>
      </c>
      <c r="J250" s="1038" t="s">
        <v>491</v>
      </c>
      <c r="K250" s="1038" t="s">
        <v>714</v>
      </c>
      <c r="L250" s="768" t="s">
        <v>491</v>
      </c>
      <c r="M250" s="768" t="s">
        <v>491</v>
      </c>
      <c r="N250" s="768"/>
      <c r="O250" s="768"/>
      <c r="P250" s="970" t="s">
        <v>491</v>
      </c>
      <c r="Q250" s="970" t="s">
        <v>491</v>
      </c>
      <c r="R250" s="970" t="s">
        <v>491</v>
      </c>
      <c r="S250" s="970" t="s">
        <v>491</v>
      </c>
      <c r="T250" s="970" t="s">
        <v>491</v>
      </c>
      <c r="U250" s="970"/>
      <c r="V250" s="970"/>
      <c r="W250" s="768" t="s">
        <v>491</v>
      </c>
      <c r="X250" s="768" t="s">
        <v>491</v>
      </c>
      <c r="Y250" s="768" t="s">
        <v>491</v>
      </c>
      <c r="Z250" s="768" t="s">
        <v>491</v>
      </c>
      <c r="AA250" s="768" t="s">
        <v>491</v>
      </c>
      <c r="AB250" s="768"/>
      <c r="AC250" s="768"/>
      <c r="AD250" s="768" t="s">
        <v>491</v>
      </c>
      <c r="AE250" s="768" t="s">
        <v>491</v>
      </c>
      <c r="AF250" s="768" t="s">
        <v>491</v>
      </c>
      <c r="AG250" s="768" t="s">
        <v>491</v>
      </c>
      <c r="AH250" s="849">
        <v>148</v>
      </c>
      <c r="AI250" s="850">
        <v>37</v>
      </c>
    </row>
    <row r="251" spans="1:35" ht="21.95" customHeight="1" thickBot="1">
      <c r="A251" s="912"/>
      <c r="B251" s="913" t="s">
        <v>750</v>
      </c>
      <c r="C251" s="768" t="s">
        <v>491</v>
      </c>
      <c r="D251" s="768" t="s">
        <v>491</v>
      </c>
      <c r="E251" s="768" t="s">
        <v>491</v>
      </c>
      <c r="F251" s="768" t="s">
        <v>491</v>
      </c>
      <c r="G251" s="768"/>
      <c r="H251" s="768"/>
      <c r="I251" s="768" t="s">
        <v>491</v>
      </c>
      <c r="J251" s="768" t="s">
        <v>491</v>
      </c>
      <c r="K251" s="768" t="s">
        <v>491</v>
      </c>
      <c r="L251" s="768" t="s">
        <v>491</v>
      </c>
      <c r="M251" s="768" t="s">
        <v>491</v>
      </c>
      <c r="N251" s="768"/>
      <c r="O251" s="768"/>
      <c r="P251" s="768" t="s">
        <v>491</v>
      </c>
      <c r="Q251" s="768" t="s">
        <v>491</v>
      </c>
      <c r="R251" s="768" t="s">
        <v>491</v>
      </c>
      <c r="S251" s="768" t="s">
        <v>491</v>
      </c>
      <c r="T251" s="768" t="s">
        <v>491</v>
      </c>
      <c r="U251" s="768"/>
      <c r="V251" s="768"/>
      <c r="W251" s="970" t="s">
        <v>491</v>
      </c>
      <c r="X251" s="970" t="s">
        <v>491</v>
      </c>
      <c r="Y251" s="970" t="s">
        <v>491</v>
      </c>
      <c r="Z251" s="970" t="s">
        <v>491</v>
      </c>
      <c r="AA251" s="970" t="s">
        <v>491</v>
      </c>
      <c r="AB251" s="970"/>
      <c r="AC251" s="970"/>
      <c r="AD251" s="970" t="s">
        <v>491</v>
      </c>
      <c r="AE251" s="970" t="s">
        <v>491</v>
      </c>
      <c r="AF251" s="970" t="s">
        <v>491</v>
      </c>
      <c r="AG251" s="970" t="s">
        <v>491</v>
      </c>
      <c r="AH251" s="914"/>
      <c r="AI251" s="915"/>
    </row>
    <row r="253" spans="1:35" ht="25.5" customHeight="1" thickBot="1">
      <c r="A253" s="1" t="s">
        <v>716</v>
      </c>
    </row>
    <row r="254" spans="1:35" ht="21" customHeight="1">
      <c r="A254" s="1"/>
      <c r="B254" s="201" t="s">
        <v>664</v>
      </c>
      <c r="C254" s="7"/>
      <c r="D254" s="522" t="s">
        <v>2</v>
      </c>
      <c r="E254" s="51"/>
      <c r="F254" s="548"/>
      <c r="G254" s="7"/>
      <c r="H254" s="522" t="s">
        <v>3</v>
      </c>
      <c r="I254" s="51"/>
      <c r="J254" s="548"/>
      <c r="K254" s="7"/>
      <c r="L254" s="522" t="s">
        <v>4</v>
      </c>
      <c r="M254" s="51"/>
      <c r="N254" s="548"/>
      <c r="O254" s="7"/>
      <c r="P254" s="522" t="s">
        <v>5</v>
      </c>
      <c r="Q254" s="51"/>
      <c r="R254" s="548"/>
      <c r="S254" s="7"/>
      <c r="T254" s="522" t="s">
        <v>6</v>
      </c>
      <c r="U254" s="51"/>
      <c r="V254" s="548"/>
      <c r="W254" s="7"/>
      <c r="X254" s="522" t="s">
        <v>7</v>
      </c>
      <c r="Y254" s="51"/>
      <c r="Z254" s="548"/>
      <c r="AA254" s="7"/>
      <c r="AB254" s="522" t="s">
        <v>8</v>
      </c>
      <c r="AC254" s="51"/>
      <c r="AD254" s="51"/>
      <c r="AE254" s="425" t="s">
        <v>10</v>
      </c>
      <c r="AF254" s="51"/>
      <c r="AG254" s="51"/>
      <c r="AH254" s="51"/>
      <c r="AI254" s="523"/>
    </row>
    <row r="255" spans="1:35" ht="21" customHeight="1">
      <c r="A255" s="1"/>
      <c r="B255" s="9"/>
      <c r="C255" s="14"/>
      <c r="D255" s="603"/>
      <c r="E255" s="55"/>
      <c r="F255" s="602"/>
      <c r="G255" s="14"/>
      <c r="H255" s="603"/>
      <c r="I255" s="55"/>
      <c r="J255" s="602"/>
      <c r="K255" s="14"/>
      <c r="L255" s="603"/>
      <c r="M255" s="55"/>
      <c r="N255" s="602"/>
      <c r="O255" s="14"/>
      <c r="P255" s="603"/>
      <c r="Q255" s="55"/>
      <c r="R255" s="602"/>
      <c r="S255" s="14"/>
      <c r="T255" s="603"/>
      <c r="U255" s="55"/>
      <c r="V255" s="602"/>
      <c r="W255" s="14"/>
      <c r="X255" s="603"/>
      <c r="Y255" s="55"/>
      <c r="Z255" s="602"/>
      <c r="AA255" s="14"/>
      <c r="AB255" s="603"/>
      <c r="AC255" s="55"/>
      <c r="AD255" s="55"/>
      <c r="AE255" s="604"/>
      <c r="AF255" s="55"/>
      <c r="AG255" s="55"/>
      <c r="AH255" s="55"/>
      <c r="AI255" s="605"/>
    </row>
    <row r="256" spans="1:35" ht="21" customHeight="1">
      <c r="B256" s="606"/>
      <c r="C256" s="121"/>
      <c r="D256" s="157"/>
      <c r="E256" s="157"/>
      <c r="F256" s="564"/>
      <c r="G256" s="121"/>
      <c r="H256" s="157"/>
      <c r="I256" s="157"/>
      <c r="J256" s="564"/>
      <c r="K256" s="121"/>
      <c r="L256" s="157"/>
      <c r="M256" s="157"/>
      <c r="N256" s="564"/>
      <c r="O256" s="121"/>
      <c r="P256" s="157"/>
      <c r="Q256" s="157"/>
      <c r="R256" s="564"/>
      <c r="S256" s="121"/>
      <c r="T256" s="157"/>
      <c r="U256" s="157"/>
      <c r="V256" s="564"/>
      <c r="W256" s="121"/>
      <c r="X256" s="157"/>
      <c r="Y256" s="157"/>
      <c r="Z256" s="564"/>
      <c r="AA256" s="563"/>
      <c r="AB256" s="157"/>
      <c r="AC256" s="157"/>
      <c r="AD256" s="565"/>
      <c r="AE256" s="607"/>
      <c r="AF256" s="157"/>
      <c r="AG256" s="157" t="s">
        <v>28</v>
      </c>
      <c r="AH256" s="565"/>
      <c r="AI256" s="490"/>
    </row>
    <row r="257" spans="1:35" ht="21" customHeight="1" thickBot="1">
      <c r="A257" s="1"/>
      <c r="B257" s="47"/>
      <c r="C257" s="570"/>
      <c r="D257" s="53"/>
      <c r="E257" s="53"/>
      <c r="F257" s="571"/>
      <c r="G257" s="570"/>
      <c r="H257" s="53"/>
      <c r="I257" s="53"/>
      <c r="J257" s="571"/>
      <c r="K257" s="570"/>
      <c r="L257" s="53"/>
      <c r="M257" s="53"/>
      <c r="N257" s="571"/>
      <c r="O257" s="570"/>
      <c r="P257" s="53"/>
      <c r="Q257" s="53"/>
      <c r="R257" s="571"/>
      <c r="S257" s="570"/>
      <c r="T257" s="53"/>
      <c r="U257" s="53"/>
      <c r="V257" s="571"/>
      <c r="W257" s="57"/>
      <c r="X257" s="53"/>
      <c r="Y257" s="53"/>
      <c r="Z257" s="571"/>
      <c r="AA257" s="57"/>
      <c r="AB257" s="53"/>
      <c r="AC257" s="53"/>
      <c r="AD257" s="573"/>
      <c r="AE257" s="57"/>
      <c r="AF257" s="53"/>
      <c r="AG257" s="53"/>
      <c r="AH257" s="573"/>
      <c r="AI257" s="536"/>
    </row>
    <row r="258" spans="1:35" ht="33" customHeight="1" thickBot="1">
      <c r="A258" s="1" t="s">
        <v>717</v>
      </c>
      <c r="B258" s="72"/>
      <c r="C258" s="312"/>
      <c r="F258" s="354"/>
      <c r="G258" s="312"/>
      <c r="J258" s="354"/>
      <c r="K258" s="312"/>
      <c r="N258" s="354"/>
      <c r="O258" s="312"/>
      <c r="R258" s="354"/>
      <c r="S258" s="312"/>
      <c r="V258" s="354"/>
      <c r="W258" s="354"/>
      <c r="Z258" s="354"/>
      <c r="AA258" s="354"/>
      <c r="AD258" s="354"/>
      <c r="AE258" s="354"/>
      <c r="AH258" s="354"/>
    </row>
    <row r="259" spans="1:35" ht="21" customHeight="1" thickBot="1">
      <c r="A259" s="861" t="s">
        <v>475</v>
      </c>
      <c r="B259" s="862" t="s">
        <v>476</v>
      </c>
      <c r="C259" s="863">
        <v>1</v>
      </c>
      <c r="D259" s="863">
        <v>2</v>
      </c>
      <c r="E259" s="863">
        <v>3</v>
      </c>
      <c r="F259" s="863">
        <v>4</v>
      </c>
      <c r="G259" s="880">
        <v>5</v>
      </c>
      <c r="H259" s="880">
        <v>6</v>
      </c>
      <c r="I259" s="863">
        <v>7</v>
      </c>
      <c r="J259" s="863">
        <v>8</v>
      </c>
      <c r="K259" s="863">
        <v>9</v>
      </c>
      <c r="L259" s="863">
        <v>10</v>
      </c>
      <c r="M259" s="863">
        <v>11</v>
      </c>
      <c r="N259" s="880">
        <v>12</v>
      </c>
      <c r="O259" s="880">
        <v>13</v>
      </c>
      <c r="P259" s="863">
        <v>14</v>
      </c>
      <c r="Q259" s="863">
        <v>15</v>
      </c>
      <c r="R259" s="863">
        <v>16</v>
      </c>
      <c r="S259" s="863">
        <v>17</v>
      </c>
      <c r="T259" s="863">
        <v>18</v>
      </c>
      <c r="U259" s="880">
        <v>19</v>
      </c>
      <c r="V259" s="880">
        <v>20</v>
      </c>
      <c r="W259" s="863">
        <v>21</v>
      </c>
      <c r="X259" s="863">
        <v>22</v>
      </c>
      <c r="Y259" s="863">
        <v>23</v>
      </c>
      <c r="Z259" s="863">
        <v>24</v>
      </c>
      <c r="AA259" s="863">
        <v>25</v>
      </c>
      <c r="AB259" s="880">
        <v>26</v>
      </c>
      <c r="AC259" s="880">
        <v>27</v>
      </c>
      <c r="AD259" s="863">
        <v>28</v>
      </c>
      <c r="AE259" s="863">
        <v>29</v>
      </c>
      <c r="AF259" s="863">
        <v>30</v>
      </c>
      <c r="AG259" s="943">
        <v>31</v>
      </c>
      <c r="AH259" s="864" t="s">
        <v>477</v>
      </c>
      <c r="AI259" s="865" t="s">
        <v>478</v>
      </c>
    </row>
    <row r="260" spans="1:35" ht="21" customHeight="1">
      <c r="A260" s="438"/>
      <c r="B260" s="916" t="s">
        <v>718</v>
      </c>
      <c r="C260" s="768" t="s">
        <v>491</v>
      </c>
      <c r="D260" s="768" t="s">
        <v>491</v>
      </c>
      <c r="E260" s="768" t="s">
        <v>491</v>
      </c>
      <c r="F260" s="768" t="s">
        <v>491</v>
      </c>
      <c r="G260" s="768"/>
      <c r="H260" s="768"/>
      <c r="I260" s="768" t="s">
        <v>491</v>
      </c>
      <c r="J260" s="768" t="s">
        <v>491</v>
      </c>
      <c r="K260" s="768" t="s">
        <v>491</v>
      </c>
      <c r="L260" s="768" t="s">
        <v>491</v>
      </c>
      <c r="M260" s="768" t="s">
        <v>491</v>
      </c>
      <c r="N260" s="768"/>
      <c r="O260" s="768"/>
      <c r="P260" s="768" t="s">
        <v>491</v>
      </c>
      <c r="Q260" s="768" t="s">
        <v>491</v>
      </c>
      <c r="R260" s="768" t="s">
        <v>491</v>
      </c>
      <c r="S260" s="768" t="s">
        <v>491</v>
      </c>
      <c r="T260" s="768" t="s">
        <v>491</v>
      </c>
      <c r="U260" s="768"/>
      <c r="V260" s="768"/>
      <c r="W260" s="768" t="s">
        <v>491</v>
      </c>
      <c r="X260" s="768" t="s">
        <v>491</v>
      </c>
      <c r="Y260" s="768" t="s">
        <v>491</v>
      </c>
      <c r="Z260" s="768" t="s">
        <v>491</v>
      </c>
      <c r="AA260" s="768" t="s">
        <v>491</v>
      </c>
      <c r="AB260" s="768"/>
      <c r="AC260" s="768"/>
      <c r="AD260" s="768" t="s">
        <v>491</v>
      </c>
      <c r="AE260" s="768" t="s">
        <v>491</v>
      </c>
      <c r="AF260" s="768" t="s">
        <v>491</v>
      </c>
      <c r="AG260" s="768" t="s">
        <v>491</v>
      </c>
      <c r="AH260" s="909">
        <v>155.5</v>
      </c>
      <c r="AI260" s="910">
        <v>37</v>
      </c>
    </row>
    <row r="261" spans="1:35" ht="21" customHeight="1">
      <c r="A261" s="442"/>
      <c r="B261" s="613" t="s">
        <v>719</v>
      </c>
      <c r="C261" s="768" t="s">
        <v>491</v>
      </c>
      <c r="D261" s="768" t="s">
        <v>491</v>
      </c>
      <c r="E261" s="768" t="s">
        <v>491</v>
      </c>
      <c r="F261" s="768" t="s">
        <v>491</v>
      </c>
      <c r="G261" s="768"/>
      <c r="H261" s="768"/>
      <c r="I261" s="768" t="s">
        <v>491</v>
      </c>
      <c r="J261" s="768" t="s">
        <v>491</v>
      </c>
      <c r="K261" s="768" t="s">
        <v>491</v>
      </c>
      <c r="L261" s="768" t="s">
        <v>491</v>
      </c>
      <c r="M261" s="768" t="s">
        <v>491</v>
      </c>
      <c r="N261" s="768"/>
      <c r="O261" s="768"/>
      <c r="P261" s="768" t="s">
        <v>491</v>
      </c>
      <c r="Q261" s="768" t="s">
        <v>491</v>
      </c>
      <c r="R261" s="768" t="s">
        <v>491</v>
      </c>
      <c r="S261" s="768" t="s">
        <v>491</v>
      </c>
      <c r="T261" s="768" t="s">
        <v>491</v>
      </c>
      <c r="U261" s="768"/>
      <c r="V261" s="768"/>
      <c r="W261" s="970" t="s">
        <v>491</v>
      </c>
      <c r="X261" s="970" t="s">
        <v>491</v>
      </c>
      <c r="Y261" s="970" t="s">
        <v>491</v>
      </c>
      <c r="Z261" s="970" t="s">
        <v>491</v>
      </c>
      <c r="AA261" s="970" t="s">
        <v>491</v>
      </c>
      <c r="AB261" s="970"/>
      <c r="AC261" s="970"/>
      <c r="AD261" s="970" t="s">
        <v>491</v>
      </c>
      <c r="AE261" s="970" t="s">
        <v>491</v>
      </c>
      <c r="AF261" s="970" t="s">
        <v>491</v>
      </c>
      <c r="AG261" s="970" t="s">
        <v>491</v>
      </c>
      <c r="AH261" s="628">
        <v>75</v>
      </c>
      <c r="AI261" s="629">
        <v>37</v>
      </c>
    </row>
    <row r="262" spans="1:35" ht="21" customHeight="1">
      <c r="A262" s="442"/>
      <c r="B262" s="613" t="s">
        <v>720</v>
      </c>
      <c r="C262" s="970" t="s">
        <v>491</v>
      </c>
      <c r="D262" s="970" t="s">
        <v>491</v>
      </c>
      <c r="E262" s="970" t="s">
        <v>491</v>
      </c>
      <c r="F262" s="970" t="s">
        <v>491</v>
      </c>
      <c r="G262" s="970"/>
      <c r="H262" s="970"/>
      <c r="I262" s="970" t="s">
        <v>491</v>
      </c>
      <c r="J262" s="970" t="s">
        <v>491</v>
      </c>
      <c r="K262" s="970" t="s">
        <v>491</v>
      </c>
      <c r="L262" s="970" t="s">
        <v>491</v>
      </c>
      <c r="M262" s="970" t="s">
        <v>491</v>
      </c>
      <c r="N262" s="970"/>
      <c r="O262" s="970"/>
      <c r="P262" s="970" t="s">
        <v>491</v>
      </c>
      <c r="Q262" s="970" t="s">
        <v>491</v>
      </c>
      <c r="R262" s="970" t="s">
        <v>491</v>
      </c>
      <c r="S262" s="970" t="s">
        <v>491</v>
      </c>
      <c r="T262" s="970" t="s">
        <v>491</v>
      </c>
      <c r="U262" s="970"/>
      <c r="V262" s="970"/>
      <c r="W262" s="970" t="s">
        <v>491</v>
      </c>
      <c r="X262" s="970" t="s">
        <v>491</v>
      </c>
      <c r="Y262" s="970" t="s">
        <v>491</v>
      </c>
      <c r="Z262" s="970" t="s">
        <v>491</v>
      </c>
      <c r="AA262" s="970" t="s">
        <v>491</v>
      </c>
      <c r="AB262" s="768"/>
      <c r="AC262" s="768"/>
      <c r="AD262" s="768" t="s">
        <v>491</v>
      </c>
      <c r="AE262" s="768" t="s">
        <v>491</v>
      </c>
      <c r="AF262" s="768" t="s">
        <v>491</v>
      </c>
      <c r="AG262" s="768" t="s">
        <v>491</v>
      </c>
      <c r="AH262" s="628">
        <v>37</v>
      </c>
      <c r="AI262" s="629">
        <v>37</v>
      </c>
    </row>
    <row r="263" spans="1:35" ht="21" customHeight="1">
      <c r="A263" s="442"/>
      <c r="B263" s="613" t="s">
        <v>721</v>
      </c>
      <c r="C263" s="768" t="s">
        <v>491</v>
      </c>
      <c r="D263" s="768" t="s">
        <v>491</v>
      </c>
      <c r="E263" s="768" t="s">
        <v>491</v>
      </c>
      <c r="F263" s="768" t="s">
        <v>491</v>
      </c>
      <c r="G263" s="768"/>
      <c r="H263" s="768"/>
      <c r="I263" s="970" t="s">
        <v>491</v>
      </c>
      <c r="J263" s="768" t="s">
        <v>491</v>
      </c>
      <c r="K263" s="768" t="s">
        <v>491</v>
      </c>
      <c r="L263" s="768" t="s">
        <v>491</v>
      </c>
      <c r="M263" s="768" t="s">
        <v>491</v>
      </c>
      <c r="N263" s="768"/>
      <c r="O263" s="768"/>
      <c r="P263" s="768" t="s">
        <v>491</v>
      </c>
      <c r="Q263" s="768" t="s">
        <v>491</v>
      </c>
      <c r="R263" s="768" t="s">
        <v>491</v>
      </c>
      <c r="S263" s="768" t="s">
        <v>491</v>
      </c>
      <c r="T263" s="768" t="s">
        <v>491</v>
      </c>
      <c r="U263" s="768"/>
      <c r="V263" s="768"/>
      <c r="W263" s="768" t="s">
        <v>491</v>
      </c>
      <c r="X263" s="768" t="s">
        <v>491</v>
      </c>
      <c r="Y263" s="768" t="s">
        <v>491</v>
      </c>
      <c r="Z263" s="768" t="s">
        <v>491</v>
      </c>
      <c r="AA263" s="768" t="s">
        <v>491</v>
      </c>
      <c r="AB263" s="768"/>
      <c r="AC263" s="768"/>
      <c r="AD263" s="768" t="s">
        <v>491</v>
      </c>
      <c r="AE263" s="768" t="s">
        <v>491</v>
      </c>
      <c r="AF263" s="768" t="s">
        <v>491</v>
      </c>
      <c r="AG263" s="768" t="s">
        <v>491</v>
      </c>
      <c r="AH263" s="628">
        <v>173</v>
      </c>
      <c r="AI263" s="629">
        <v>37</v>
      </c>
    </row>
    <row r="264" spans="1:35" ht="21" customHeight="1">
      <c r="A264" s="442"/>
      <c r="B264" s="613" t="s">
        <v>722</v>
      </c>
      <c r="C264" s="970" t="s">
        <v>491</v>
      </c>
      <c r="D264" s="970" t="s">
        <v>491</v>
      </c>
      <c r="E264" s="970" t="s">
        <v>491</v>
      </c>
      <c r="F264" s="970" t="s">
        <v>491</v>
      </c>
      <c r="G264" s="970"/>
      <c r="H264" s="970"/>
      <c r="I264" s="970" t="s">
        <v>491</v>
      </c>
      <c r="J264" s="970" t="s">
        <v>491</v>
      </c>
      <c r="K264" s="970" t="s">
        <v>491</v>
      </c>
      <c r="L264" s="970" t="s">
        <v>491</v>
      </c>
      <c r="M264" s="970" t="s">
        <v>491</v>
      </c>
      <c r="N264" s="970"/>
      <c r="O264" s="970"/>
      <c r="P264" s="970" t="s">
        <v>491</v>
      </c>
      <c r="Q264" s="970" t="s">
        <v>491</v>
      </c>
      <c r="R264" s="970" t="s">
        <v>491</v>
      </c>
      <c r="S264" s="970" t="s">
        <v>491</v>
      </c>
      <c r="T264" s="970" t="s">
        <v>491</v>
      </c>
      <c r="U264" s="768"/>
      <c r="V264" s="768"/>
      <c r="W264" s="768" t="s">
        <v>491</v>
      </c>
      <c r="X264" s="768" t="s">
        <v>491</v>
      </c>
      <c r="Y264" s="768" t="s">
        <v>491</v>
      </c>
      <c r="Z264" s="768" t="s">
        <v>491</v>
      </c>
      <c r="AA264" s="768" t="s">
        <v>491</v>
      </c>
      <c r="AB264" s="768"/>
      <c r="AC264" s="768"/>
      <c r="AD264" s="768" t="s">
        <v>491</v>
      </c>
      <c r="AE264" s="768" t="s">
        <v>491</v>
      </c>
      <c r="AF264" s="768" t="s">
        <v>491</v>
      </c>
      <c r="AG264" s="768" t="s">
        <v>491</v>
      </c>
      <c r="AH264" s="628">
        <v>92</v>
      </c>
      <c r="AI264" s="629">
        <v>19</v>
      </c>
    </row>
    <row r="265" spans="1:35" ht="21" customHeight="1">
      <c r="A265" s="442"/>
      <c r="B265" s="613" t="s">
        <v>723</v>
      </c>
      <c r="C265" s="970" t="s">
        <v>491</v>
      </c>
      <c r="D265" s="970" t="s">
        <v>491</v>
      </c>
      <c r="E265" s="970" t="s">
        <v>491</v>
      </c>
      <c r="F265" s="970" t="s">
        <v>491</v>
      </c>
      <c r="G265" s="970"/>
      <c r="H265" s="970"/>
      <c r="I265" s="970" t="s">
        <v>491</v>
      </c>
      <c r="J265" s="970" t="s">
        <v>491</v>
      </c>
      <c r="K265" s="970" t="s">
        <v>491</v>
      </c>
      <c r="L265" s="970" t="s">
        <v>491</v>
      </c>
      <c r="M265" s="970" t="s">
        <v>491</v>
      </c>
      <c r="N265" s="970"/>
      <c r="O265" s="970"/>
      <c r="P265" s="970" t="s">
        <v>491</v>
      </c>
      <c r="Q265" s="970" t="s">
        <v>491</v>
      </c>
      <c r="R265" s="970" t="s">
        <v>491</v>
      </c>
      <c r="S265" s="970" t="s">
        <v>491</v>
      </c>
      <c r="T265" s="970" t="s">
        <v>491</v>
      </c>
      <c r="U265" s="768"/>
      <c r="V265" s="768"/>
      <c r="W265" s="1007" t="s">
        <v>491</v>
      </c>
      <c r="X265" s="1007" t="s">
        <v>491</v>
      </c>
      <c r="Y265" s="1007" t="s">
        <v>491</v>
      </c>
      <c r="Z265" s="1007" t="s">
        <v>491</v>
      </c>
      <c r="AA265" s="1007" t="s">
        <v>491</v>
      </c>
      <c r="AB265" s="1007"/>
      <c r="AC265" s="1007"/>
      <c r="AD265" s="1007" t="s">
        <v>491</v>
      </c>
      <c r="AE265" s="1007" t="s">
        <v>491</v>
      </c>
      <c r="AF265" s="768" t="s">
        <v>491</v>
      </c>
      <c r="AG265" s="768" t="s">
        <v>491</v>
      </c>
      <c r="AH265" s="628">
        <v>79</v>
      </c>
      <c r="AI265" s="629">
        <v>37</v>
      </c>
    </row>
    <row r="266" spans="1:35" ht="21" customHeight="1">
      <c r="A266" s="442"/>
      <c r="B266" s="613" t="s">
        <v>724</v>
      </c>
      <c r="C266" s="768" t="s">
        <v>491</v>
      </c>
      <c r="D266" s="768" t="s">
        <v>491</v>
      </c>
      <c r="E266" s="768" t="s">
        <v>491</v>
      </c>
      <c r="F266" s="768" t="s">
        <v>491</v>
      </c>
      <c r="G266" s="768"/>
      <c r="H266" s="768"/>
      <c r="I266" s="768" t="s">
        <v>491</v>
      </c>
      <c r="J266" s="768" t="s">
        <v>491</v>
      </c>
      <c r="K266" s="768" t="s">
        <v>491</v>
      </c>
      <c r="L266" s="768" t="s">
        <v>491</v>
      </c>
      <c r="M266" s="768" t="s">
        <v>491</v>
      </c>
      <c r="N266" s="768"/>
      <c r="O266" s="768"/>
      <c r="P266" s="768" t="s">
        <v>491</v>
      </c>
      <c r="Q266" s="768" t="s">
        <v>491</v>
      </c>
      <c r="R266" s="768" t="s">
        <v>491</v>
      </c>
      <c r="S266" s="768" t="s">
        <v>491</v>
      </c>
      <c r="T266" s="768" t="s">
        <v>491</v>
      </c>
      <c r="U266" s="768"/>
      <c r="V266" s="768"/>
      <c r="W266" s="768" t="s">
        <v>491</v>
      </c>
      <c r="X266" s="768" t="s">
        <v>491</v>
      </c>
      <c r="Y266" s="768" t="s">
        <v>491</v>
      </c>
      <c r="Z266" s="768" t="s">
        <v>491</v>
      </c>
      <c r="AA266" s="768" t="s">
        <v>491</v>
      </c>
      <c r="AB266" s="768"/>
      <c r="AC266" s="768"/>
      <c r="AD266" s="970" t="s">
        <v>491</v>
      </c>
      <c r="AE266" s="970" t="s">
        <v>491</v>
      </c>
      <c r="AF266" s="970" t="s">
        <v>491</v>
      </c>
      <c r="AG266" s="970" t="s">
        <v>491</v>
      </c>
      <c r="AH266" s="628">
        <v>186</v>
      </c>
      <c r="AI266" s="629">
        <v>25</v>
      </c>
    </row>
    <row r="267" spans="1:35" ht="21" customHeight="1">
      <c r="A267" s="442"/>
      <c r="B267" s="613" t="s">
        <v>725</v>
      </c>
      <c r="C267" s="768" t="s">
        <v>491</v>
      </c>
      <c r="D267" s="768" t="s">
        <v>491</v>
      </c>
      <c r="E267" s="1007" t="s">
        <v>491</v>
      </c>
      <c r="F267" s="1007" t="s">
        <v>491</v>
      </c>
      <c r="G267" s="768"/>
      <c r="H267" s="768"/>
      <c r="I267" s="768" t="s">
        <v>491</v>
      </c>
      <c r="J267" s="768" t="s">
        <v>491</v>
      </c>
      <c r="K267" s="768" t="s">
        <v>491</v>
      </c>
      <c r="L267" s="768" t="s">
        <v>491</v>
      </c>
      <c r="M267" s="768" t="s">
        <v>491</v>
      </c>
      <c r="N267" s="768"/>
      <c r="O267" s="768"/>
      <c r="P267" s="768" t="s">
        <v>491</v>
      </c>
      <c r="Q267" s="768" t="s">
        <v>491</v>
      </c>
      <c r="R267" s="768" t="s">
        <v>491</v>
      </c>
      <c r="S267" s="768" t="s">
        <v>491</v>
      </c>
      <c r="T267" s="768" t="s">
        <v>491</v>
      </c>
      <c r="U267" s="768"/>
      <c r="V267" s="768"/>
      <c r="W267" s="768" t="s">
        <v>491</v>
      </c>
      <c r="X267" s="768" t="s">
        <v>491</v>
      </c>
      <c r="Y267" s="768" t="s">
        <v>491</v>
      </c>
      <c r="Z267" s="768" t="s">
        <v>491</v>
      </c>
      <c r="AA267" s="768" t="s">
        <v>491</v>
      </c>
      <c r="AB267" s="768"/>
      <c r="AC267" s="768"/>
      <c r="AD267" s="768" t="s">
        <v>491</v>
      </c>
      <c r="AE267" s="768" t="s">
        <v>491</v>
      </c>
      <c r="AF267" s="768" t="s">
        <v>491</v>
      </c>
      <c r="AG267" s="768" t="s">
        <v>491</v>
      </c>
      <c r="AH267" s="628">
        <v>194</v>
      </c>
      <c r="AI267" s="629">
        <v>37</v>
      </c>
    </row>
    <row r="268" spans="1:35" ht="21" customHeight="1">
      <c r="A268" s="442"/>
      <c r="B268" s="613" t="s">
        <v>726</v>
      </c>
      <c r="C268" s="970" t="s">
        <v>491</v>
      </c>
      <c r="D268" s="970" t="s">
        <v>491</v>
      </c>
      <c r="E268" s="970" t="s">
        <v>491</v>
      </c>
      <c r="F268" s="970" t="s">
        <v>491</v>
      </c>
      <c r="G268" s="768"/>
      <c r="H268" s="768"/>
      <c r="I268" s="768" t="s">
        <v>491</v>
      </c>
      <c r="J268" s="768" t="s">
        <v>491</v>
      </c>
      <c r="K268" s="768" t="s">
        <v>491</v>
      </c>
      <c r="L268" s="768" t="s">
        <v>491</v>
      </c>
      <c r="M268" s="768" t="s">
        <v>491</v>
      </c>
      <c r="N268" s="768"/>
      <c r="O268" s="768"/>
      <c r="P268" s="768" t="s">
        <v>491</v>
      </c>
      <c r="Q268" s="768" t="s">
        <v>491</v>
      </c>
      <c r="R268" s="768" t="s">
        <v>491</v>
      </c>
      <c r="S268" s="768" t="s">
        <v>491</v>
      </c>
      <c r="T268" s="1038" t="s">
        <v>491</v>
      </c>
      <c r="U268" s="1038"/>
      <c r="V268" s="1038"/>
      <c r="W268" s="1038" t="s">
        <v>491</v>
      </c>
      <c r="X268" s="1038" t="s">
        <v>714</v>
      </c>
      <c r="Y268" s="768" t="s">
        <v>491</v>
      </c>
      <c r="Z268" s="768" t="s">
        <v>491</v>
      </c>
      <c r="AA268" s="768" t="s">
        <v>491</v>
      </c>
      <c r="AB268" s="768"/>
      <c r="AC268" s="768"/>
      <c r="AD268" s="768" t="s">
        <v>491</v>
      </c>
      <c r="AE268" s="768" t="s">
        <v>491</v>
      </c>
      <c r="AF268" s="768" t="s">
        <v>491</v>
      </c>
      <c r="AG268" s="768" t="s">
        <v>491</v>
      </c>
      <c r="AH268" s="628">
        <v>98</v>
      </c>
      <c r="AI268" s="629">
        <v>37</v>
      </c>
    </row>
    <row r="269" spans="1:35" ht="21" customHeight="1">
      <c r="A269" s="442"/>
      <c r="B269" s="613" t="s">
        <v>727</v>
      </c>
      <c r="C269" s="768" t="s">
        <v>491</v>
      </c>
      <c r="D269" s="768" t="s">
        <v>491</v>
      </c>
      <c r="E269" s="768" t="s">
        <v>491</v>
      </c>
      <c r="F269" s="768" t="s">
        <v>491</v>
      </c>
      <c r="G269" s="768"/>
      <c r="H269" s="768"/>
      <c r="I269" s="768" t="s">
        <v>491</v>
      </c>
      <c r="J269" s="768" t="s">
        <v>491</v>
      </c>
      <c r="K269" s="768" t="s">
        <v>491</v>
      </c>
      <c r="L269" s="768" t="s">
        <v>491</v>
      </c>
      <c r="M269" s="768" t="s">
        <v>491</v>
      </c>
      <c r="N269" s="768"/>
      <c r="O269" s="768"/>
      <c r="P269" s="768" t="s">
        <v>491</v>
      </c>
      <c r="Q269" s="768" t="s">
        <v>491</v>
      </c>
      <c r="R269" s="768" t="s">
        <v>491</v>
      </c>
      <c r="S269" s="768" t="s">
        <v>491</v>
      </c>
      <c r="T269" s="768" t="s">
        <v>491</v>
      </c>
      <c r="U269" s="768"/>
      <c r="V269" s="768"/>
      <c r="W269" s="1054" t="s">
        <v>491</v>
      </c>
      <c r="X269" s="1054" t="s">
        <v>491</v>
      </c>
      <c r="Y269" s="1054" t="s">
        <v>491</v>
      </c>
      <c r="Z269" s="1054" t="s">
        <v>491</v>
      </c>
      <c r="AA269" s="1054" t="s">
        <v>491</v>
      </c>
      <c r="AB269" s="1054"/>
      <c r="AC269" s="1054"/>
      <c r="AD269" s="1054" t="s">
        <v>491</v>
      </c>
      <c r="AE269" s="1054" t="s">
        <v>491</v>
      </c>
      <c r="AF269" s="1054" t="s">
        <v>491</v>
      </c>
      <c r="AG269" s="1054" t="s">
        <v>491</v>
      </c>
      <c r="AH269" s="628">
        <v>75.5</v>
      </c>
      <c r="AI269" s="629">
        <v>25</v>
      </c>
    </row>
    <row r="270" spans="1:35" ht="21" customHeight="1">
      <c r="A270" s="442"/>
      <c r="B270" s="153" t="s">
        <v>728</v>
      </c>
      <c r="C270" s="980" t="s">
        <v>491</v>
      </c>
      <c r="D270" s="980" t="s">
        <v>491</v>
      </c>
      <c r="E270" s="980" t="s">
        <v>491</v>
      </c>
      <c r="F270" s="980" t="s">
        <v>491</v>
      </c>
      <c r="G270" s="768"/>
      <c r="H270" s="768"/>
      <c r="I270" s="768" t="s">
        <v>491</v>
      </c>
      <c r="J270" s="768" t="s">
        <v>491</v>
      </c>
      <c r="K270" s="768" t="s">
        <v>491</v>
      </c>
      <c r="L270" s="768" t="s">
        <v>491</v>
      </c>
      <c r="M270" s="768" t="s">
        <v>491</v>
      </c>
      <c r="N270" s="768"/>
      <c r="O270" s="768"/>
      <c r="P270" s="768" t="s">
        <v>491</v>
      </c>
      <c r="Q270" s="768" t="s">
        <v>491</v>
      </c>
      <c r="R270" s="768" t="s">
        <v>491</v>
      </c>
      <c r="S270" s="768" t="s">
        <v>491</v>
      </c>
      <c r="T270" s="768" t="s">
        <v>491</v>
      </c>
      <c r="U270" s="768"/>
      <c r="V270" s="768"/>
      <c r="W270" s="970" t="s">
        <v>491</v>
      </c>
      <c r="X270" s="970" t="s">
        <v>491</v>
      </c>
      <c r="Y270" s="970" t="s">
        <v>491</v>
      </c>
      <c r="Z270" s="970" t="s">
        <v>491</v>
      </c>
      <c r="AA270" s="970" t="s">
        <v>491</v>
      </c>
      <c r="AB270" s="970"/>
      <c r="AC270" s="970"/>
      <c r="AD270" s="970" t="s">
        <v>491</v>
      </c>
      <c r="AE270" s="970" t="s">
        <v>491</v>
      </c>
      <c r="AF270" s="970" t="s">
        <v>491</v>
      </c>
      <c r="AG270" s="970" t="s">
        <v>491</v>
      </c>
      <c r="AH270" s="628">
        <v>75</v>
      </c>
      <c r="AI270" s="629">
        <v>0</v>
      </c>
    </row>
    <row r="271" spans="1:35" ht="21" customHeight="1">
      <c r="A271" s="442"/>
      <c r="B271" s="153" t="s">
        <v>729</v>
      </c>
      <c r="C271" s="768" t="s">
        <v>491</v>
      </c>
      <c r="D271" s="768" t="s">
        <v>491</v>
      </c>
      <c r="E271" s="768" t="s">
        <v>491</v>
      </c>
      <c r="F271" s="768" t="s">
        <v>491</v>
      </c>
      <c r="G271" s="768"/>
      <c r="H271" s="768"/>
      <c r="I271" s="768" t="s">
        <v>491</v>
      </c>
      <c r="J271" s="768" t="s">
        <v>491</v>
      </c>
      <c r="K271" s="768" t="s">
        <v>491</v>
      </c>
      <c r="L271" s="768" t="s">
        <v>491</v>
      </c>
      <c r="M271" s="768" t="s">
        <v>491</v>
      </c>
      <c r="N271" s="768"/>
      <c r="O271" s="768"/>
      <c r="P271" s="970" t="s">
        <v>491</v>
      </c>
      <c r="Q271" s="970" t="s">
        <v>491</v>
      </c>
      <c r="R271" s="970" t="s">
        <v>491</v>
      </c>
      <c r="S271" s="970" t="s">
        <v>491</v>
      </c>
      <c r="T271" s="970" t="s">
        <v>491</v>
      </c>
      <c r="U271" s="970"/>
      <c r="V271" s="970"/>
      <c r="W271" s="970" t="s">
        <v>491</v>
      </c>
      <c r="X271" s="970" t="s">
        <v>491</v>
      </c>
      <c r="Y271" s="970" t="s">
        <v>491</v>
      </c>
      <c r="Z271" s="970" t="s">
        <v>491</v>
      </c>
      <c r="AA271" s="970" t="s">
        <v>491</v>
      </c>
      <c r="AB271" s="970"/>
      <c r="AC271" s="970"/>
      <c r="AD271" s="970" t="s">
        <v>491</v>
      </c>
      <c r="AE271" s="970" t="s">
        <v>491</v>
      </c>
      <c r="AF271" s="970" t="s">
        <v>491</v>
      </c>
      <c r="AG271" s="970" t="s">
        <v>491</v>
      </c>
      <c r="AH271" s="628">
        <v>74</v>
      </c>
      <c r="AI271" s="629">
        <v>0</v>
      </c>
    </row>
    <row r="272" spans="1:35" ht="21" customHeight="1">
      <c r="A272" s="134"/>
      <c r="B272" s="134" t="s">
        <v>730</v>
      </c>
      <c r="C272" s="768" t="s">
        <v>491</v>
      </c>
      <c r="D272" s="768" t="s">
        <v>491</v>
      </c>
      <c r="E272" s="768" t="s">
        <v>491</v>
      </c>
      <c r="F272" s="768" t="s">
        <v>491</v>
      </c>
      <c r="G272" s="768"/>
      <c r="H272" s="768"/>
      <c r="I272" s="768" t="s">
        <v>491</v>
      </c>
      <c r="J272" s="768" t="s">
        <v>491</v>
      </c>
      <c r="K272" s="768" t="s">
        <v>491</v>
      </c>
      <c r="L272" s="768" t="s">
        <v>491</v>
      </c>
      <c r="M272" s="768" t="s">
        <v>491</v>
      </c>
      <c r="N272" s="768"/>
      <c r="O272" s="768"/>
      <c r="P272" s="970" t="s">
        <v>491</v>
      </c>
      <c r="Q272" s="970" t="s">
        <v>491</v>
      </c>
      <c r="R272" s="970" t="s">
        <v>491</v>
      </c>
      <c r="S272" s="970" t="s">
        <v>491</v>
      </c>
      <c r="T272" s="970" t="s">
        <v>491</v>
      </c>
      <c r="U272" s="970"/>
      <c r="V272" s="970"/>
      <c r="W272" s="970" t="s">
        <v>491</v>
      </c>
      <c r="X272" s="970" t="s">
        <v>491</v>
      </c>
      <c r="Y272" s="970" t="s">
        <v>491</v>
      </c>
      <c r="Z272" s="970" t="s">
        <v>491</v>
      </c>
      <c r="AA272" s="970" t="s">
        <v>491</v>
      </c>
      <c r="AB272" s="970"/>
      <c r="AC272" s="970"/>
      <c r="AD272" s="970" t="s">
        <v>491</v>
      </c>
      <c r="AE272" s="970" t="s">
        <v>491</v>
      </c>
      <c r="AF272" s="970" t="s">
        <v>491</v>
      </c>
      <c r="AG272" s="970" t="s">
        <v>491</v>
      </c>
      <c r="AH272" s="849">
        <v>82</v>
      </c>
      <c r="AI272" s="850">
        <v>18</v>
      </c>
    </row>
    <row r="273" spans="1:35" ht="21" customHeight="1" thickBot="1">
      <c r="A273" s="917"/>
      <c r="B273" s="917" t="s">
        <v>731</v>
      </c>
      <c r="C273" s="1038" t="s">
        <v>491</v>
      </c>
      <c r="D273" s="1038" t="s">
        <v>491</v>
      </c>
      <c r="E273" s="1038" t="s">
        <v>491</v>
      </c>
      <c r="F273" s="1038" t="s">
        <v>491</v>
      </c>
      <c r="G273" s="1038"/>
      <c r="H273" s="1038"/>
      <c r="I273" s="1038" t="s">
        <v>491</v>
      </c>
      <c r="J273" s="1038" t="s">
        <v>491</v>
      </c>
      <c r="K273" s="1038" t="s">
        <v>491</v>
      </c>
      <c r="L273" s="1038" t="s">
        <v>491</v>
      </c>
      <c r="M273" s="1038" t="s">
        <v>491</v>
      </c>
      <c r="N273" s="1038"/>
      <c r="O273" s="1038"/>
      <c r="P273" s="1038" t="s">
        <v>491</v>
      </c>
      <c r="Q273" s="1038" t="s">
        <v>491</v>
      </c>
      <c r="R273" s="1038" t="s">
        <v>491</v>
      </c>
      <c r="S273" s="1038" t="s">
        <v>491</v>
      </c>
      <c r="T273" s="1038" t="s">
        <v>491</v>
      </c>
      <c r="U273" s="1038"/>
      <c r="V273" s="1038"/>
      <c r="W273" s="1038" t="s">
        <v>491</v>
      </c>
      <c r="X273" s="1038" t="s">
        <v>491</v>
      </c>
      <c r="Y273" s="1038" t="s">
        <v>491</v>
      </c>
      <c r="Z273" s="1038" t="s">
        <v>491</v>
      </c>
      <c r="AA273" s="1038" t="s">
        <v>491</v>
      </c>
      <c r="AB273" s="1038"/>
      <c r="AC273" s="1038"/>
      <c r="AD273" s="1038" t="s">
        <v>491</v>
      </c>
      <c r="AE273" s="1038" t="s">
        <v>491</v>
      </c>
      <c r="AF273" s="1038" t="s">
        <v>491</v>
      </c>
      <c r="AG273" s="1038" t="s">
        <v>491</v>
      </c>
      <c r="AH273" s="914">
        <v>185</v>
      </c>
      <c r="AI273" s="915">
        <v>37</v>
      </c>
    </row>
  </sheetData>
  <sheetProtection password="CC44" sheet="1" objects="1" scenarios="1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59" max="16383" man="1"/>
  </rowBreak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37"/>
  <dimension ref="A1:AL275"/>
  <sheetViews>
    <sheetView topLeftCell="A133" zoomScale="70" zoomScaleNormal="70" workbookViewId="0">
      <selection activeCell="AM148" sqref="AM148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449</v>
      </c>
    </row>
    <row r="2" spans="1:35" ht="13.35" customHeight="1">
      <c r="B2" s="443" t="s">
        <v>450</v>
      </c>
      <c r="C2" s="444" t="s">
        <v>451</v>
      </c>
      <c r="D2" s="445"/>
      <c r="E2" s="446" t="s">
        <v>452</v>
      </c>
      <c r="F2" s="447"/>
      <c r="G2" s="448"/>
      <c r="H2" s="448"/>
      <c r="I2" s="448"/>
      <c r="J2" s="448"/>
      <c r="K2" s="449"/>
      <c r="L2" s="450" t="s">
        <v>453</v>
      </c>
      <c r="M2" s="451"/>
      <c r="N2" s="380"/>
      <c r="O2" s="452" t="s">
        <v>454</v>
      </c>
      <c r="P2" s="453"/>
      <c r="Q2" s="454"/>
      <c r="R2" s="455"/>
      <c r="S2" s="456" t="s">
        <v>455</v>
      </c>
      <c r="T2" s="457"/>
      <c r="U2" s="458"/>
      <c r="V2" s="457"/>
      <c r="W2" s="459" t="s">
        <v>456</v>
      </c>
      <c r="X2" s="368"/>
      <c r="Y2" s="460"/>
      <c r="Z2" s="461" t="s">
        <v>457</v>
      </c>
      <c r="AA2" s="462"/>
      <c r="AB2" s="463"/>
      <c r="AC2" s="464"/>
      <c r="AD2" s="465" t="s">
        <v>458</v>
      </c>
      <c r="AE2" s="466"/>
      <c r="AF2" s="466"/>
      <c r="AG2" s="467"/>
    </row>
    <row r="3" spans="1:35" ht="13.35" customHeight="1">
      <c r="A3" s="1"/>
      <c r="B3" s="468" t="s">
        <v>459</v>
      </c>
      <c r="C3" s="469" t="s">
        <v>460</v>
      </c>
      <c r="D3" s="470"/>
      <c r="E3" s="471"/>
      <c r="F3" s="472"/>
      <c r="G3" s="472"/>
      <c r="H3" s="473" t="s">
        <v>461</v>
      </c>
      <c r="I3" s="474"/>
      <c r="J3" s="474"/>
      <c r="K3" s="475"/>
      <c r="L3" s="476" t="s">
        <v>462</v>
      </c>
      <c r="M3" s="157"/>
      <c r="N3" s="477"/>
      <c r="O3" s="474"/>
      <c r="P3" s="474"/>
      <c r="Q3" s="474"/>
      <c r="R3" s="474"/>
      <c r="S3" s="55"/>
      <c r="T3" s="478" t="s">
        <v>463</v>
      </c>
      <c r="U3" s="479"/>
      <c r="V3" s="480"/>
      <c r="W3" s="481"/>
      <c r="X3" s="482"/>
      <c r="Y3" s="473" t="s">
        <v>464</v>
      </c>
      <c r="Z3" s="157"/>
      <c r="AA3" s="157"/>
      <c r="AB3" s="483"/>
      <c r="AC3" s="484"/>
      <c r="AD3" s="485" t="s">
        <v>465</v>
      </c>
      <c r="AE3" s="486"/>
      <c r="AF3" s="486"/>
      <c r="AG3" s="487"/>
    </row>
    <row r="4" spans="1:35" ht="13.35" customHeight="1">
      <c r="A4" s="1" t="s">
        <v>466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 t="s">
        <v>14</v>
      </c>
      <c r="B5" s="1"/>
    </row>
    <row r="6" spans="1:35" ht="21.95" customHeight="1">
      <c r="A6" s="488" t="s">
        <v>467</v>
      </c>
      <c r="B6" s="157"/>
      <c r="C6" s="489"/>
      <c r="D6" s="488" t="s">
        <v>468</v>
      </c>
      <c r="E6" s="157"/>
      <c r="F6" s="157"/>
      <c r="G6" s="157"/>
      <c r="H6" s="490"/>
      <c r="I6" s="157"/>
      <c r="J6" s="157"/>
      <c r="K6" s="157"/>
      <c r="L6" s="488" t="s">
        <v>469</v>
      </c>
      <c r="M6" s="157"/>
      <c r="N6" s="157"/>
      <c r="O6" s="157"/>
      <c r="P6" s="157"/>
      <c r="Q6" s="157"/>
      <c r="R6" s="157"/>
      <c r="S6" s="489"/>
      <c r="T6" s="491" t="s">
        <v>470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35" ht="21.95" customHeight="1">
      <c r="A7" s="488" t="s">
        <v>471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472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35" ht="21.95" customHeight="1">
      <c r="A8" s="496" t="s">
        <v>473</v>
      </c>
      <c r="L8" s="496"/>
      <c r="AB8" s="1"/>
    </row>
    <row r="9" spans="1:35" ht="21.95" customHeight="1" thickBot="1">
      <c r="B9" s="497" t="s">
        <v>474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35" ht="21.95" customHeight="1" thickBot="1">
      <c r="A10" s="906" t="s">
        <v>475</v>
      </c>
      <c r="B10" s="862" t="s">
        <v>476</v>
      </c>
      <c r="C10" s="863">
        <v>1</v>
      </c>
      <c r="D10" s="880">
        <v>2</v>
      </c>
      <c r="E10" s="880">
        <v>3</v>
      </c>
      <c r="F10" s="863">
        <v>4</v>
      </c>
      <c r="G10" s="863">
        <v>5</v>
      </c>
      <c r="H10" s="863">
        <v>6</v>
      </c>
      <c r="I10" s="863">
        <v>7</v>
      </c>
      <c r="J10" s="863">
        <v>8</v>
      </c>
      <c r="K10" s="880">
        <v>9</v>
      </c>
      <c r="L10" s="880">
        <v>10</v>
      </c>
      <c r="M10" s="863">
        <v>11</v>
      </c>
      <c r="N10" s="863">
        <v>12</v>
      </c>
      <c r="O10" s="863">
        <v>13</v>
      </c>
      <c r="P10" s="863">
        <v>14</v>
      </c>
      <c r="Q10" s="863">
        <v>15</v>
      </c>
      <c r="R10" s="880">
        <v>16</v>
      </c>
      <c r="S10" s="880">
        <v>17</v>
      </c>
      <c r="T10" s="863">
        <v>18</v>
      </c>
      <c r="U10" s="863">
        <v>19</v>
      </c>
      <c r="V10" s="863">
        <v>20</v>
      </c>
      <c r="W10" s="863">
        <v>21</v>
      </c>
      <c r="X10" s="863">
        <v>22</v>
      </c>
      <c r="Y10" s="880">
        <v>23</v>
      </c>
      <c r="Z10" s="880">
        <v>24</v>
      </c>
      <c r="AA10" s="863">
        <v>25</v>
      </c>
      <c r="AB10" s="863">
        <v>26</v>
      </c>
      <c r="AC10" s="863">
        <v>27</v>
      </c>
      <c r="AD10" s="863">
        <v>28</v>
      </c>
      <c r="AE10" s="863">
        <v>29</v>
      </c>
      <c r="AF10" s="880">
        <v>30</v>
      </c>
      <c r="AG10" s="949">
        <v>31</v>
      </c>
      <c r="AH10" s="498" t="s">
        <v>477</v>
      </c>
      <c r="AI10" s="499" t="s">
        <v>478</v>
      </c>
    </row>
    <row r="11" spans="1:35" ht="21.95" customHeight="1">
      <c r="A11" s="508"/>
      <c r="B11" s="947"/>
      <c r="C11" s="764"/>
      <c r="D11" s="764"/>
      <c r="E11" s="764"/>
      <c r="F11" s="764"/>
      <c r="G11" s="764"/>
      <c r="H11" s="764"/>
      <c r="I11" s="764"/>
      <c r="J11" s="764"/>
      <c r="K11" s="764"/>
      <c r="L11" s="764"/>
      <c r="M11" s="764"/>
      <c r="N11" s="764"/>
      <c r="O11" s="764"/>
      <c r="P11" s="764"/>
      <c r="Q11" s="764"/>
      <c r="R11" s="764"/>
      <c r="S11" s="764"/>
      <c r="T11" s="764"/>
      <c r="U11" s="764"/>
      <c r="V11" s="764"/>
      <c r="W11" s="764"/>
      <c r="X11" s="764"/>
      <c r="Y11" s="764"/>
      <c r="Z11" s="764"/>
      <c r="AA11" s="764"/>
      <c r="AB11" s="764"/>
      <c r="AC11" s="764"/>
      <c r="AD11" s="764"/>
      <c r="AE11" s="764"/>
      <c r="AF11" s="764"/>
      <c r="AG11" s="948"/>
      <c r="AH11" s="924"/>
      <c r="AI11" s="925"/>
    </row>
    <row r="12" spans="1:35" ht="21.95" customHeight="1">
      <c r="A12" s="503" t="s">
        <v>479</v>
      </c>
      <c r="B12" s="457"/>
      <c r="C12" s="504"/>
      <c r="D12" s="504"/>
      <c r="E12" s="504"/>
      <c r="F12" s="504"/>
      <c r="G12" s="504"/>
      <c r="H12" s="504"/>
      <c r="I12" s="504"/>
      <c r="J12" s="504"/>
      <c r="K12" s="504"/>
      <c r="L12" s="504"/>
      <c r="M12" s="504"/>
      <c r="N12" s="504"/>
      <c r="O12" s="504"/>
      <c r="P12" s="504"/>
      <c r="Q12" s="504"/>
      <c r="R12" s="504"/>
      <c r="S12" s="504"/>
      <c r="T12" s="504"/>
      <c r="U12" s="504"/>
      <c r="V12" s="504"/>
      <c r="W12" s="504"/>
      <c r="X12" s="504"/>
      <c r="Y12" s="504"/>
      <c r="Z12" s="504"/>
      <c r="AA12" s="504"/>
      <c r="AB12" s="504"/>
      <c r="AC12" s="504"/>
      <c r="AD12" s="504"/>
      <c r="AE12" s="504"/>
      <c r="AF12" s="504"/>
      <c r="AG12" s="505"/>
      <c r="AH12" s="506"/>
      <c r="AI12" s="507"/>
    </row>
    <row r="13" spans="1:35" ht="21.95" customHeight="1">
      <c r="A13" s="508">
        <v>8546</v>
      </c>
      <c r="B13" s="509" t="s">
        <v>480</v>
      </c>
      <c r="C13" s="764">
        <v>3</v>
      </c>
      <c r="D13" s="764"/>
      <c r="E13" s="764"/>
      <c r="F13" s="764">
        <v>4</v>
      </c>
      <c r="G13" s="764">
        <v>4</v>
      </c>
      <c r="H13" s="768">
        <v>4</v>
      </c>
      <c r="I13" s="764">
        <v>4</v>
      </c>
      <c r="J13" s="764">
        <v>4</v>
      </c>
      <c r="K13" s="764" t="s">
        <v>482</v>
      </c>
      <c r="L13" s="972" t="s">
        <v>482</v>
      </c>
      <c r="M13" s="764" t="s">
        <v>481</v>
      </c>
      <c r="N13" s="764" t="s">
        <v>481</v>
      </c>
      <c r="O13" s="764" t="s">
        <v>481</v>
      </c>
      <c r="P13" s="764" t="s">
        <v>481</v>
      </c>
      <c r="Q13" s="764" t="s">
        <v>481</v>
      </c>
      <c r="R13" s="764"/>
      <c r="S13" s="764"/>
      <c r="T13" s="964">
        <v>1</v>
      </c>
      <c r="U13" s="985">
        <v>1</v>
      </c>
      <c r="V13" s="985">
        <v>2</v>
      </c>
      <c r="W13" s="985">
        <v>1</v>
      </c>
      <c r="X13" s="985">
        <v>1</v>
      </c>
      <c r="Y13" s="985"/>
      <c r="Z13" s="985"/>
      <c r="AA13" s="985">
        <v>2</v>
      </c>
      <c r="AB13" s="985">
        <v>2</v>
      </c>
      <c r="AC13" s="985">
        <v>2</v>
      </c>
      <c r="AD13" s="985">
        <v>2</v>
      </c>
      <c r="AE13" s="985">
        <v>2</v>
      </c>
      <c r="AF13" s="985" t="s">
        <v>484</v>
      </c>
      <c r="AG13" s="986" t="s">
        <v>484</v>
      </c>
      <c r="AH13" s="924">
        <v>83.5</v>
      </c>
      <c r="AI13" s="925">
        <v>37</v>
      </c>
    </row>
    <row r="14" spans="1:35" ht="21.95" customHeight="1">
      <c r="A14" s="500">
        <v>8546</v>
      </c>
      <c r="B14" s="347" t="s">
        <v>483</v>
      </c>
      <c r="C14" s="768">
        <v>2</v>
      </c>
      <c r="D14" s="768" t="s">
        <v>484</v>
      </c>
      <c r="E14" s="768" t="s">
        <v>484</v>
      </c>
      <c r="F14" s="768" t="s">
        <v>481</v>
      </c>
      <c r="G14" s="768" t="s">
        <v>481</v>
      </c>
      <c r="H14" s="768" t="s">
        <v>481</v>
      </c>
      <c r="I14" s="768" t="s">
        <v>481</v>
      </c>
      <c r="J14" s="768" t="s">
        <v>481</v>
      </c>
      <c r="K14" s="768"/>
      <c r="L14" s="768"/>
      <c r="M14" s="977">
        <v>3</v>
      </c>
      <c r="N14" s="977">
        <v>3</v>
      </c>
      <c r="O14" s="977">
        <v>3</v>
      </c>
      <c r="P14" s="977">
        <v>3</v>
      </c>
      <c r="Q14" s="977">
        <v>3</v>
      </c>
      <c r="R14" s="768"/>
      <c r="S14" s="768"/>
      <c r="T14" s="970">
        <v>4</v>
      </c>
      <c r="U14" s="970">
        <v>4</v>
      </c>
      <c r="V14" s="970">
        <v>4</v>
      </c>
      <c r="W14" s="970">
        <v>4</v>
      </c>
      <c r="X14" s="970">
        <v>4</v>
      </c>
      <c r="Y14" s="970" t="s">
        <v>482</v>
      </c>
      <c r="Z14" s="970" t="s">
        <v>482</v>
      </c>
      <c r="AA14" s="970" t="s">
        <v>481</v>
      </c>
      <c r="AB14" s="970" t="s">
        <v>481</v>
      </c>
      <c r="AC14" s="970" t="s">
        <v>481</v>
      </c>
      <c r="AD14" s="970" t="s">
        <v>481</v>
      </c>
      <c r="AE14" s="970" t="s">
        <v>481</v>
      </c>
      <c r="AF14" s="970"/>
      <c r="AG14" s="971"/>
      <c r="AH14" s="924">
        <v>123.75</v>
      </c>
      <c r="AI14" s="925">
        <v>37</v>
      </c>
    </row>
    <row r="15" spans="1:35" ht="21.95" customHeight="1">
      <c r="A15" s="500">
        <v>8546</v>
      </c>
      <c r="B15" s="347" t="s">
        <v>174</v>
      </c>
      <c r="C15" s="768" t="s">
        <v>481</v>
      </c>
      <c r="D15" s="768"/>
      <c r="E15" s="768"/>
      <c r="F15" s="768">
        <v>3</v>
      </c>
      <c r="G15" s="768">
        <v>3</v>
      </c>
      <c r="H15" s="768">
        <v>3</v>
      </c>
      <c r="I15" s="977">
        <v>3</v>
      </c>
      <c r="J15" s="977">
        <v>3</v>
      </c>
      <c r="K15" s="768"/>
      <c r="L15" s="768"/>
      <c r="M15" s="768">
        <v>4</v>
      </c>
      <c r="N15" s="768">
        <v>4</v>
      </c>
      <c r="O15" s="768">
        <v>4</v>
      </c>
      <c r="P15" s="768">
        <v>4</v>
      </c>
      <c r="Q15" s="768">
        <v>4</v>
      </c>
      <c r="R15" s="768" t="s">
        <v>482</v>
      </c>
      <c r="S15" s="768" t="s">
        <v>482</v>
      </c>
      <c r="T15" s="768" t="s">
        <v>481</v>
      </c>
      <c r="U15" s="768" t="s">
        <v>481</v>
      </c>
      <c r="V15" s="768" t="s">
        <v>481</v>
      </c>
      <c r="W15" s="768" t="s">
        <v>481</v>
      </c>
      <c r="X15" s="768" t="s">
        <v>481</v>
      </c>
      <c r="Y15" s="768"/>
      <c r="Z15" s="768"/>
      <c r="AA15" s="768">
        <v>1</v>
      </c>
      <c r="AB15" s="768">
        <v>1</v>
      </c>
      <c r="AC15" s="768">
        <v>1</v>
      </c>
      <c r="AD15" s="768">
        <v>1</v>
      </c>
      <c r="AE15" s="977">
        <v>1</v>
      </c>
      <c r="AF15" s="768"/>
      <c r="AG15" s="769"/>
      <c r="AH15" s="924">
        <v>43.5</v>
      </c>
      <c r="AI15" s="925">
        <v>37</v>
      </c>
    </row>
    <row r="16" spans="1:35" ht="21.95" customHeight="1">
      <c r="A16" s="500">
        <v>8546</v>
      </c>
      <c r="B16" s="347" t="s">
        <v>486</v>
      </c>
      <c r="C16" s="970" t="s">
        <v>481</v>
      </c>
      <c r="D16" s="970"/>
      <c r="E16" s="970"/>
      <c r="F16" s="970">
        <v>1</v>
      </c>
      <c r="G16" s="970">
        <v>1</v>
      </c>
      <c r="H16" s="970">
        <v>1</v>
      </c>
      <c r="I16" s="970">
        <v>1</v>
      </c>
      <c r="J16" s="970">
        <v>1</v>
      </c>
      <c r="K16" s="970"/>
      <c r="L16" s="970"/>
      <c r="M16" s="970">
        <v>2</v>
      </c>
      <c r="N16" s="970">
        <v>2</v>
      </c>
      <c r="O16" s="970">
        <v>2</v>
      </c>
      <c r="P16" s="970">
        <v>2</v>
      </c>
      <c r="Q16" s="970">
        <v>2</v>
      </c>
      <c r="R16" s="970" t="s">
        <v>484</v>
      </c>
      <c r="S16" s="970" t="s">
        <v>484</v>
      </c>
      <c r="T16" s="768" t="s">
        <v>481</v>
      </c>
      <c r="U16" s="768" t="s">
        <v>481</v>
      </c>
      <c r="V16" s="768" t="s">
        <v>481</v>
      </c>
      <c r="W16" s="768" t="s">
        <v>481</v>
      </c>
      <c r="X16" s="768" t="s">
        <v>481</v>
      </c>
      <c r="Y16" s="768"/>
      <c r="Z16" s="768"/>
      <c r="AA16" s="768">
        <v>3</v>
      </c>
      <c r="AB16" s="768">
        <v>3</v>
      </c>
      <c r="AC16" s="768">
        <v>3</v>
      </c>
      <c r="AD16" s="768">
        <v>3</v>
      </c>
      <c r="AE16" s="768">
        <v>3</v>
      </c>
      <c r="AF16" s="768"/>
      <c r="AG16" s="769"/>
      <c r="AH16" s="924">
        <v>91.75</v>
      </c>
      <c r="AI16" s="925">
        <v>37</v>
      </c>
    </row>
    <row r="17" spans="1:37" ht="21.95" customHeight="1">
      <c r="A17" s="500">
        <v>8546</v>
      </c>
      <c r="B17" s="347" t="s">
        <v>487</v>
      </c>
      <c r="C17" s="970">
        <v>4</v>
      </c>
      <c r="D17" s="970" t="s">
        <v>482</v>
      </c>
      <c r="E17" s="970" t="s">
        <v>482</v>
      </c>
      <c r="F17" s="970" t="s">
        <v>481</v>
      </c>
      <c r="G17" s="970" t="s">
        <v>481</v>
      </c>
      <c r="H17" s="970" t="s">
        <v>481</v>
      </c>
      <c r="I17" s="970" t="s">
        <v>481</v>
      </c>
      <c r="J17" s="970" t="s">
        <v>481</v>
      </c>
      <c r="K17" s="970"/>
      <c r="L17" s="970"/>
      <c r="M17" s="970">
        <v>1</v>
      </c>
      <c r="N17" s="970">
        <v>1</v>
      </c>
      <c r="O17" s="970">
        <v>1</v>
      </c>
      <c r="P17" s="970">
        <v>1</v>
      </c>
      <c r="Q17" s="970">
        <v>1</v>
      </c>
      <c r="R17" s="970"/>
      <c r="S17" s="970"/>
      <c r="T17" s="768">
        <v>2</v>
      </c>
      <c r="U17" s="768">
        <v>2</v>
      </c>
      <c r="V17" s="1007">
        <v>2</v>
      </c>
      <c r="W17" s="768">
        <v>2</v>
      </c>
      <c r="X17" s="768">
        <v>2</v>
      </c>
      <c r="Y17" s="768" t="s">
        <v>484</v>
      </c>
      <c r="Z17" s="768" t="s">
        <v>484</v>
      </c>
      <c r="AA17" s="768" t="s">
        <v>481</v>
      </c>
      <c r="AB17" s="768" t="s">
        <v>481</v>
      </c>
      <c r="AC17" s="768" t="s">
        <v>481</v>
      </c>
      <c r="AD17" s="768" t="s">
        <v>481</v>
      </c>
      <c r="AE17" s="768" t="s">
        <v>481</v>
      </c>
      <c r="AF17" s="768"/>
      <c r="AG17" s="769"/>
      <c r="AH17" s="924">
        <v>78.75</v>
      </c>
      <c r="AI17" s="925">
        <v>37</v>
      </c>
    </row>
    <row r="18" spans="1:37" ht="21.95" customHeight="1">
      <c r="A18" s="500">
        <v>8546</v>
      </c>
      <c r="B18" s="347" t="s">
        <v>488</v>
      </c>
      <c r="C18" s="768">
        <v>1</v>
      </c>
      <c r="D18" s="768"/>
      <c r="E18" s="768"/>
      <c r="F18" s="768">
        <v>2</v>
      </c>
      <c r="G18" s="768">
        <v>2</v>
      </c>
      <c r="H18" s="768">
        <v>2</v>
      </c>
      <c r="I18" s="768">
        <v>2</v>
      </c>
      <c r="J18" s="768">
        <v>2</v>
      </c>
      <c r="K18" s="768" t="s">
        <v>484</v>
      </c>
      <c r="L18" s="768" t="s">
        <v>484</v>
      </c>
      <c r="M18" s="768" t="s">
        <v>481</v>
      </c>
      <c r="N18" s="768" t="s">
        <v>481</v>
      </c>
      <c r="O18" s="768" t="s">
        <v>481</v>
      </c>
      <c r="P18" s="768" t="s">
        <v>481</v>
      </c>
      <c r="Q18" s="768" t="s">
        <v>481</v>
      </c>
      <c r="R18" s="768"/>
      <c r="S18" s="768"/>
      <c r="T18" s="768">
        <v>3</v>
      </c>
      <c r="U18" s="768">
        <v>3</v>
      </c>
      <c r="V18" s="768">
        <v>3</v>
      </c>
      <c r="W18" s="768">
        <v>3</v>
      </c>
      <c r="X18" s="768">
        <v>3</v>
      </c>
      <c r="Y18" s="768"/>
      <c r="Z18" s="768"/>
      <c r="AA18" s="768">
        <v>4</v>
      </c>
      <c r="AB18" s="768">
        <v>4</v>
      </c>
      <c r="AC18" s="768">
        <v>4</v>
      </c>
      <c r="AD18" s="768">
        <v>4</v>
      </c>
      <c r="AE18" s="768">
        <v>4</v>
      </c>
      <c r="AF18" s="768" t="s">
        <v>482</v>
      </c>
      <c r="AG18" s="769" t="s">
        <v>482</v>
      </c>
      <c r="AH18" s="924">
        <v>79.25</v>
      </c>
      <c r="AI18" s="925">
        <v>37</v>
      </c>
    </row>
    <row r="19" spans="1:37" ht="21.95" customHeight="1">
      <c r="A19" s="512" t="s">
        <v>489</v>
      </c>
      <c r="B19" s="513"/>
      <c r="C19" s="504"/>
      <c r="D19" s="504"/>
      <c r="E19" s="504"/>
      <c r="F19" s="504"/>
      <c r="G19" s="504"/>
      <c r="H19" s="504"/>
      <c r="I19" s="504"/>
      <c r="J19" s="504"/>
      <c r="K19" s="504"/>
      <c r="L19" s="504"/>
      <c r="M19" s="504"/>
      <c r="N19" s="504"/>
      <c r="O19" s="504"/>
      <c r="P19" s="504"/>
      <c r="Q19" s="504"/>
      <c r="R19" s="504"/>
      <c r="S19" s="504"/>
      <c r="T19" s="504"/>
      <c r="U19" s="504"/>
      <c r="V19" s="504"/>
      <c r="W19" s="504"/>
      <c r="X19" s="504"/>
      <c r="Y19" s="504"/>
      <c r="Z19" s="504"/>
      <c r="AA19" s="504"/>
      <c r="AB19" s="504"/>
      <c r="AC19" s="504"/>
      <c r="AD19" s="504"/>
      <c r="AE19" s="504"/>
      <c r="AF19" s="504"/>
      <c r="AG19" s="505"/>
      <c r="AH19" s="506"/>
      <c r="AI19" s="507"/>
    </row>
    <row r="20" spans="1:37" ht="21.95" customHeight="1">
      <c r="A20" s="500">
        <v>8500</v>
      </c>
      <c r="B20" s="186" t="s">
        <v>188</v>
      </c>
      <c r="C20" s="768" t="s">
        <v>491</v>
      </c>
      <c r="D20" s="768"/>
      <c r="E20" s="768"/>
      <c r="F20" s="768">
        <v>1</v>
      </c>
      <c r="G20" s="768">
        <v>1</v>
      </c>
      <c r="H20" s="768">
        <v>1</v>
      </c>
      <c r="I20" s="768">
        <v>3</v>
      </c>
      <c r="J20" s="768">
        <v>3</v>
      </c>
      <c r="K20" s="768"/>
      <c r="L20" s="768"/>
      <c r="M20" s="768">
        <v>2</v>
      </c>
      <c r="N20" s="768">
        <v>2</v>
      </c>
      <c r="O20" s="768">
        <v>2</v>
      </c>
      <c r="P20" s="768">
        <v>2</v>
      </c>
      <c r="Q20" s="768">
        <v>2</v>
      </c>
      <c r="R20" s="768" t="s">
        <v>484</v>
      </c>
      <c r="S20" s="768" t="s">
        <v>484</v>
      </c>
      <c r="T20" s="768" t="s">
        <v>481</v>
      </c>
      <c r="U20" s="768" t="s">
        <v>481</v>
      </c>
      <c r="V20" s="768" t="s">
        <v>481</v>
      </c>
      <c r="W20" s="768" t="s">
        <v>481</v>
      </c>
      <c r="X20" s="768">
        <v>9</v>
      </c>
      <c r="Y20" s="768" t="s">
        <v>519</v>
      </c>
      <c r="Z20" s="768" t="s">
        <v>519</v>
      </c>
      <c r="AA20" s="768" t="s">
        <v>481</v>
      </c>
      <c r="AB20" s="768" t="s">
        <v>481</v>
      </c>
      <c r="AC20" s="977" t="s">
        <v>491</v>
      </c>
      <c r="AD20" s="977" t="s">
        <v>491</v>
      </c>
      <c r="AE20" s="768">
        <v>1</v>
      </c>
      <c r="AF20" s="768" t="s">
        <v>490</v>
      </c>
      <c r="AG20" s="768" t="s">
        <v>490</v>
      </c>
      <c r="AH20" s="924">
        <v>103.25</v>
      </c>
      <c r="AI20" s="925">
        <v>37</v>
      </c>
    </row>
    <row r="21" spans="1:37" ht="21.95" customHeight="1">
      <c r="A21" s="500">
        <v>8500</v>
      </c>
      <c r="B21" s="153" t="s">
        <v>492</v>
      </c>
      <c r="C21" s="768">
        <v>4</v>
      </c>
      <c r="D21" s="768" t="s">
        <v>482</v>
      </c>
      <c r="E21" s="768"/>
      <c r="F21" s="768" t="s">
        <v>481</v>
      </c>
      <c r="G21" s="768" t="s">
        <v>481</v>
      </c>
      <c r="H21" s="768" t="s">
        <v>485</v>
      </c>
      <c r="I21" s="768" t="s">
        <v>485</v>
      </c>
      <c r="J21" s="977" t="s">
        <v>485</v>
      </c>
      <c r="K21" s="768" t="s">
        <v>490</v>
      </c>
      <c r="L21" s="768" t="s">
        <v>490</v>
      </c>
      <c r="M21" s="768">
        <v>3</v>
      </c>
      <c r="N21" s="768">
        <v>3</v>
      </c>
      <c r="O21" s="768">
        <v>3</v>
      </c>
      <c r="P21" s="768">
        <v>3</v>
      </c>
      <c r="Q21" s="768">
        <v>3</v>
      </c>
      <c r="R21" s="768"/>
      <c r="S21" s="768"/>
      <c r="T21" s="768">
        <v>4</v>
      </c>
      <c r="U21" s="768">
        <v>4</v>
      </c>
      <c r="V21" s="768">
        <v>4</v>
      </c>
      <c r="W21" s="768">
        <v>4</v>
      </c>
      <c r="X21" s="768">
        <v>4</v>
      </c>
      <c r="Y21" s="768" t="s">
        <v>482</v>
      </c>
      <c r="Z21" s="768" t="s">
        <v>482</v>
      </c>
      <c r="AA21" s="768" t="s">
        <v>481</v>
      </c>
      <c r="AB21" s="768" t="s">
        <v>481</v>
      </c>
      <c r="AC21" s="768" t="s">
        <v>481</v>
      </c>
      <c r="AD21" s="768" t="s">
        <v>481</v>
      </c>
      <c r="AE21" s="768" t="s">
        <v>481</v>
      </c>
      <c r="AF21" s="768" t="s">
        <v>490</v>
      </c>
      <c r="AG21" s="768" t="s">
        <v>490</v>
      </c>
      <c r="AH21" s="924">
        <v>80</v>
      </c>
      <c r="AI21" s="925">
        <v>37</v>
      </c>
    </row>
    <row r="22" spans="1:37" ht="21.95" customHeight="1" thickBot="1">
      <c r="A22" s="500"/>
      <c r="B22" s="153"/>
      <c r="C22" s="768"/>
      <c r="D22" s="768"/>
      <c r="E22" s="768"/>
      <c r="F22" s="768"/>
      <c r="G22" s="768"/>
      <c r="H22" s="768"/>
      <c r="I22" s="768"/>
      <c r="J22" s="768"/>
      <c r="K22" s="768"/>
      <c r="L22" s="768"/>
      <c r="M22" s="768"/>
      <c r="N22" s="768"/>
      <c r="O22" s="768"/>
      <c r="P22" s="768"/>
      <c r="Q22" s="768"/>
      <c r="R22" s="768"/>
      <c r="S22" s="768"/>
      <c r="T22" s="768"/>
      <c r="U22" s="768"/>
      <c r="V22" s="768"/>
      <c r="W22" s="768"/>
      <c r="X22" s="768"/>
      <c r="Y22" s="768"/>
      <c r="Z22" s="768"/>
      <c r="AA22" s="768"/>
      <c r="AB22" s="768"/>
      <c r="AC22" s="768"/>
      <c r="AD22" s="768"/>
      <c r="AE22" s="768"/>
      <c r="AF22" s="768"/>
      <c r="AG22" s="768"/>
      <c r="AH22" s="514"/>
      <c r="AI22" s="515"/>
    </row>
    <row r="23" spans="1:37" ht="21.95" customHeight="1">
      <c r="A23" s="516"/>
      <c r="C23" s="517"/>
      <c r="D23" s="517"/>
      <c r="E23" s="517"/>
      <c r="F23" s="517"/>
      <c r="G23" s="517"/>
      <c r="H23" s="517"/>
      <c r="I23" s="517"/>
      <c r="J23" s="517"/>
      <c r="K23" s="517"/>
      <c r="L23" s="517"/>
      <c r="M23" s="517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17"/>
      <c r="Y23" s="517"/>
      <c r="Z23" s="517"/>
      <c r="AA23" s="517"/>
      <c r="AB23" s="517"/>
      <c r="AC23" s="517"/>
      <c r="AD23" s="517"/>
      <c r="AE23" s="517"/>
      <c r="AF23" s="517"/>
      <c r="AG23" s="517"/>
    </row>
    <row r="24" spans="1:37" ht="21.95" customHeight="1">
      <c r="A24" s="516"/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</row>
    <row r="25" spans="1:37" ht="21.95" customHeight="1">
      <c r="A25" s="516"/>
      <c r="C25" s="517"/>
      <c r="D25" s="517"/>
      <c r="E25" s="517"/>
      <c r="F25" s="517"/>
      <c r="G25" s="517"/>
      <c r="H25" s="517"/>
      <c r="I25" s="517"/>
      <c r="J25" s="517"/>
      <c r="K25" s="517"/>
      <c r="L25" s="517"/>
      <c r="M25" s="517"/>
      <c r="N25" s="517"/>
      <c r="O25" s="517"/>
      <c r="P25" s="517"/>
      <c r="Q25" s="517"/>
      <c r="R25" s="517"/>
      <c r="S25" s="517"/>
      <c r="T25" s="517"/>
      <c r="U25" s="517"/>
      <c r="V25" s="517"/>
      <c r="W25" s="517"/>
      <c r="X25" s="517"/>
      <c r="Y25" s="517"/>
      <c r="Z25" s="517"/>
      <c r="AA25" s="517"/>
      <c r="AB25" s="517"/>
      <c r="AC25" s="517"/>
      <c r="AD25" s="517"/>
      <c r="AE25" s="517"/>
      <c r="AF25" s="517"/>
      <c r="AG25" s="517"/>
    </row>
    <row r="26" spans="1:37" ht="21.95" customHeight="1">
      <c r="A26" s="516"/>
      <c r="C26" s="517"/>
      <c r="D26" s="517"/>
      <c r="E26" s="517"/>
      <c r="F26" s="517"/>
      <c r="G26" s="517"/>
      <c r="H26" s="517"/>
      <c r="I26" s="517"/>
      <c r="J26" s="517"/>
      <c r="K26" s="517"/>
      <c r="L26" s="517"/>
      <c r="M26" s="517"/>
      <c r="N26" s="517"/>
      <c r="O26" s="517"/>
      <c r="P26" s="517"/>
      <c r="Q26" s="517"/>
      <c r="R26" s="517"/>
      <c r="S26" s="517"/>
      <c r="T26" s="517"/>
      <c r="U26" s="517"/>
      <c r="V26" s="517"/>
      <c r="W26" s="517"/>
      <c r="X26" s="517"/>
      <c r="Y26" s="517"/>
      <c r="Z26" s="517"/>
      <c r="AA26" s="517"/>
      <c r="AB26" s="517"/>
      <c r="AC26" s="517"/>
      <c r="AD26" s="517"/>
      <c r="AE26" s="517"/>
      <c r="AF26" s="517"/>
      <c r="AG26" s="517"/>
    </row>
    <row r="27" spans="1:37" ht="21.95" customHeight="1">
      <c r="A27" s="516"/>
      <c r="C27" s="517"/>
      <c r="D27" s="517"/>
      <c r="E27" s="517"/>
      <c r="F27" s="517"/>
      <c r="G27" s="517"/>
      <c r="H27" s="517"/>
      <c r="I27" s="517"/>
      <c r="J27" s="517"/>
      <c r="K27" s="517"/>
      <c r="L27" s="517"/>
      <c r="M27" s="517"/>
      <c r="N27" s="517"/>
      <c r="O27" s="517"/>
      <c r="P27" s="517"/>
      <c r="Q27" s="517"/>
      <c r="R27" s="517"/>
      <c r="S27" s="517"/>
      <c r="T27" s="517"/>
      <c r="U27" s="517"/>
      <c r="V27" s="517"/>
      <c r="W27" s="517"/>
      <c r="X27" s="517"/>
      <c r="Y27" s="517"/>
      <c r="Z27" s="517"/>
      <c r="AA27" s="517"/>
      <c r="AB27" s="517"/>
      <c r="AC27" s="517"/>
      <c r="AD27" s="517"/>
      <c r="AE27" s="517"/>
      <c r="AF27" s="517"/>
      <c r="AG27" s="517"/>
    </row>
    <row r="28" spans="1:37" ht="21.95" customHeight="1">
      <c r="A28" s="516"/>
      <c r="C28" s="517"/>
      <c r="D28" s="517"/>
      <c r="E28" s="517"/>
      <c r="F28" s="517"/>
      <c r="G28" s="517"/>
      <c r="H28" s="517"/>
      <c r="I28" s="517"/>
      <c r="J28" s="517"/>
      <c r="K28" s="517"/>
      <c r="L28" s="517"/>
      <c r="M28" s="517"/>
      <c r="N28" s="517"/>
      <c r="O28" s="517"/>
      <c r="P28" s="517"/>
      <c r="Q28" s="517"/>
      <c r="R28" s="517"/>
      <c r="S28" s="517"/>
      <c r="T28" s="517"/>
      <c r="U28" s="517"/>
      <c r="V28" s="517"/>
      <c r="W28" s="517"/>
      <c r="X28" s="517"/>
      <c r="Y28" s="517"/>
      <c r="Z28" s="517"/>
      <c r="AA28" s="517"/>
      <c r="AB28" s="517"/>
      <c r="AC28" s="517"/>
      <c r="AD28" s="517"/>
      <c r="AE28" s="517"/>
      <c r="AF28" s="517"/>
      <c r="AG28" s="517"/>
    </row>
    <row r="29" spans="1:37" ht="21.95" customHeight="1">
      <c r="A29" s="516"/>
      <c r="C29" s="517"/>
      <c r="D29" s="517"/>
      <c r="E29" s="517"/>
      <c r="F29" s="517"/>
      <c r="G29" s="517"/>
      <c r="H29" s="517"/>
      <c r="I29" s="517"/>
      <c r="J29" s="517"/>
      <c r="K29" s="517"/>
      <c r="L29" s="517"/>
      <c r="M29" s="517"/>
      <c r="N29" s="517"/>
      <c r="O29" s="517"/>
      <c r="P29" s="517"/>
      <c r="Q29" s="517"/>
      <c r="R29" s="517"/>
      <c r="S29" s="517"/>
      <c r="T29" s="517"/>
      <c r="U29" s="517"/>
      <c r="V29" s="517"/>
      <c r="W29" s="517"/>
      <c r="X29" s="517"/>
      <c r="Y29" s="517"/>
      <c r="Z29" s="517"/>
      <c r="AA29" s="517"/>
      <c r="AB29" s="517"/>
      <c r="AC29" s="517"/>
      <c r="AD29" s="517"/>
      <c r="AE29" s="517"/>
      <c r="AF29" s="517"/>
      <c r="AG29" s="517"/>
    </row>
    <row r="30" spans="1:37" ht="21.95" customHeight="1" thickBot="1">
      <c r="A30" s="1" t="s">
        <v>494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495</v>
      </c>
      <c r="B31" s="518"/>
      <c r="C31" s="518"/>
      <c r="D31" s="425" t="s">
        <v>496</v>
      </c>
      <c r="E31" s="519"/>
      <c r="F31" s="519"/>
      <c r="G31" s="519"/>
      <c r="H31" s="519"/>
      <c r="I31" s="519"/>
      <c r="J31" s="519"/>
      <c r="K31" s="519"/>
      <c r="L31" s="519"/>
      <c r="M31" s="520" t="s">
        <v>497</v>
      </c>
      <c r="N31" s="519"/>
      <c r="O31" s="519"/>
      <c r="P31" s="519"/>
      <c r="Q31" s="519"/>
      <c r="R31" s="519"/>
      <c r="S31" s="521"/>
      <c r="T31" s="521" t="s">
        <v>498</v>
      </c>
      <c r="U31" s="519"/>
      <c r="V31" s="519"/>
      <c r="W31" s="519"/>
      <c r="X31" s="519"/>
      <c r="Y31" s="519"/>
      <c r="Z31" s="238"/>
      <c r="AA31" s="522" t="s">
        <v>499</v>
      </c>
      <c r="AB31" s="51"/>
      <c r="AC31" s="51"/>
      <c r="AD31" s="51"/>
      <c r="AE31" s="51"/>
      <c r="AF31" s="51"/>
      <c r="AG31" s="523"/>
      <c r="AK31" s="1"/>
    </row>
    <row r="32" spans="1:37" ht="21.95" customHeight="1">
      <c r="A32" s="524" t="s">
        <v>500</v>
      </c>
      <c r="B32" s="135"/>
      <c r="C32" s="135"/>
      <c r="D32" s="495" t="s">
        <v>501</v>
      </c>
      <c r="E32" s="491"/>
      <c r="F32" s="157"/>
      <c r="G32" s="157"/>
      <c r="H32" s="157"/>
      <c r="I32" s="157"/>
      <c r="J32" s="157"/>
      <c r="K32" s="157"/>
      <c r="L32" s="489"/>
      <c r="M32" s="525" t="s">
        <v>502</v>
      </c>
      <c r="N32" s="135"/>
      <c r="O32" s="526"/>
      <c r="P32" s="135"/>
      <c r="Q32" s="135"/>
      <c r="R32" s="135"/>
      <c r="S32" s="527"/>
      <c r="T32" s="495" t="s">
        <v>503</v>
      </c>
      <c r="U32" s="157"/>
      <c r="V32" s="491"/>
      <c r="W32" s="157"/>
      <c r="X32" s="157"/>
      <c r="Y32" s="157"/>
      <c r="Z32" s="489"/>
      <c r="AA32" s="1" t="s">
        <v>504</v>
      </c>
      <c r="AD32" s="496"/>
      <c r="AG32" s="528"/>
      <c r="AK32" s="1"/>
    </row>
    <row r="33" spans="1:38" ht="21.95" customHeight="1">
      <c r="A33" s="529" t="s">
        <v>505</v>
      </c>
      <c r="B33" s="157"/>
      <c r="C33" s="157"/>
      <c r="D33" s="157"/>
      <c r="E33" s="157"/>
      <c r="F33" s="157"/>
      <c r="G33" s="489"/>
      <c r="H33" s="495" t="s">
        <v>506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0" t="s">
        <v>507</v>
      </c>
      <c r="AA33" s="526"/>
      <c r="AB33" s="135"/>
      <c r="AC33" s="135"/>
      <c r="AD33" s="135"/>
      <c r="AE33" s="135"/>
      <c r="AF33" s="135"/>
      <c r="AG33" s="531"/>
      <c r="AK33" s="312"/>
    </row>
    <row r="34" spans="1:38" ht="21.95" customHeight="1" thickBot="1">
      <c r="A34" s="532" t="s">
        <v>508</v>
      </c>
      <c r="B34" s="53"/>
      <c r="C34" s="53"/>
      <c r="D34" s="53"/>
      <c r="E34" s="53"/>
      <c r="F34" s="53"/>
      <c r="G34" s="533"/>
      <c r="H34" s="534" t="s">
        <v>509</v>
      </c>
      <c r="I34" s="533"/>
      <c r="J34" s="53"/>
      <c r="K34" s="53"/>
      <c r="L34" s="53"/>
      <c r="M34" s="53"/>
      <c r="N34" s="53"/>
      <c r="O34" s="53"/>
      <c r="P34" s="53"/>
      <c r="Q34" s="535"/>
      <c r="R34" s="535"/>
      <c r="S34" s="535"/>
      <c r="T34" s="53"/>
      <c r="U34" s="534" t="s">
        <v>510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6"/>
      <c r="AK34" s="1"/>
    </row>
    <row r="35" spans="1:38" ht="21.95" customHeight="1" thickBot="1">
      <c r="B35" s="537" t="s">
        <v>474</v>
      </c>
      <c r="C35" s="538"/>
      <c r="D35" s="538"/>
      <c r="E35" s="538"/>
      <c r="F35" s="538"/>
      <c r="G35" s="538"/>
      <c r="H35" s="538"/>
      <c r="I35" s="538"/>
      <c r="J35" s="538"/>
      <c r="K35" s="538"/>
      <c r="L35" s="538"/>
      <c r="M35" s="538"/>
      <c r="N35" s="538"/>
      <c r="O35" s="538"/>
      <c r="P35" s="538"/>
      <c r="Q35" s="538"/>
      <c r="R35" s="538"/>
      <c r="S35" s="538"/>
      <c r="T35" s="538"/>
      <c r="U35" s="538"/>
      <c r="V35" s="538"/>
      <c r="W35" s="538"/>
      <c r="X35" s="538"/>
      <c r="Y35" s="538"/>
      <c r="Z35" s="538"/>
      <c r="AA35" s="538"/>
      <c r="AB35" s="538"/>
      <c r="AC35" s="538"/>
      <c r="AD35" s="538"/>
      <c r="AE35" s="538"/>
      <c r="AF35" s="538"/>
      <c r="AG35" s="538"/>
      <c r="AH35" s="1"/>
    </row>
    <row r="36" spans="1:38" ht="21.95" customHeight="1" thickBot="1">
      <c r="A36" s="539" t="s">
        <v>475</v>
      </c>
      <c r="B36" s="182" t="s">
        <v>476</v>
      </c>
      <c r="C36" s="863">
        <v>1</v>
      </c>
      <c r="D36" s="880">
        <v>2</v>
      </c>
      <c r="E36" s="880">
        <v>3</v>
      </c>
      <c r="F36" s="863">
        <v>4</v>
      </c>
      <c r="G36" s="863">
        <v>5</v>
      </c>
      <c r="H36" s="863">
        <v>6</v>
      </c>
      <c r="I36" s="863">
        <v>7</v>
      </c>
      <c r="J36" s="863">
        <v>8</v>
      </c>
      <c r="K36" s="880">
        <v>9</v>
      </c>
      <c r="L36" s="880">
        <v>10</v>
      </c>
      <c r="M36" s="863">
        <v>11</v>
      </c>
      <c r="N36" s="863">
        <v>12</v>
      </c>
      <c r="O36" s="863">
        <v>13</v>
      </c>
      <c r="P36" s="863">
        <v>14</v>
      </c>
      <c r="Q36" s="863">
        <v>15</v>
      </c>
      <c r="R36" s="880">
        <v>16</v>
      </c>
      <c r="S36" s="880">
        <v>17</v>
      </c>
      <c r="T36" s="863">
        <v>18</v>
      </c>
      <c r="U36" s="863">
        <v>19</v>
      </c>
      <c r="V36" s="863">
        <v>20</v>
      </c>
      <c r="W36" s="863">
        <v>21</v>
      </c>
      <c r="X36" s="863">
        <v>22</v>
      </c>
      <c r="Y36" s="880">
        <v>23</v>
      </c>
      <c r="Z36" s="880">
        <v>24</v>
      </c>
      <c r="AA36" s="863">
        <v>25</v>
      </c>
      <c r="AB36" s="863">
        <v>26</v>
      </c>
      <c r="AC36" s="863">
        <v>27</v>
      </c>
      <c r="AD36" s="863">
        <v>28</v>
      </c>
      <c r="AE36" s="863">
        <v>29</v>
      </c>
      <c r="AF36" s="880">
        <v>30</v>
      </c>
      <c r="AG36" s="949">
        <v>31</v>
      </c>
      <c r="AH36" s="498" t="s">
        <v>477</v>
      </c>
      <c r="AI36" s="499" t="s">
        <v>478</v>
      </c>
      <c r="AL36" t="s">
        <v>28</v>
      </c>
    </row>
    <row r="37" spans="1:38" ht="21.95" customHeight="1">
      <c r="A37" s="540">
        <v>1</v>
      </c>
      <c r="B37" s="45" t="s">
        <v>511</v>
      </c>
      <c r="C37" s="763">
        <v>9</v>
      </c>
      <c r="D37" s="763" t="s">
        <v>519</v>
      </c>
      <c r="E37" s="763" t="s">
        <v>514</v>
      </c>
      <c r="F37" s="763" t="s">
        <v>481</v>
      </c>
      <c r="G37" s="763" t="s">
        <v>481</v>
      </c>
      <c r="H37" s="763" t="s">
        <v>481</v>
      </c>
      <c r="I37" s="763" t="s">
        <v>481</v>
      </c>
      <c r="J37" s="763" t="s">
        <v>481</v>
      </c>
      <c r="K37" s="763"/>
      <c r="L37" s="763"/>
      <c r="M37" s="763">
        <v>6</v>
      </c>
      <c r="N37" s="763">
        <v>6</v>
      </c>
      <c r="O37" s="763">
        <v>6</v>
      </c>
      <c r="P37" s="763">
        <v>6</v>
      </c>
      <c r="Q37" s="763">
        <v>6</v>
      </c>
      <c r="R37" s="763" t="s">
        <v>512</v>
      </c>
      <c r="S37" s="763" t="s">
        <v>513</v>
      </c>
      <c r="T37" s="1069" t="s">
        <v>553</v>
      </c>
      <c r="U37" s="1069" t="s">
        <v>553</v>
      </c>
      <c r="V37" s="1069">
        <v>9</v>
      </c>
      <c r="W37" s="763" t="s">
        <v>481</v>
      </c>
      <c r="X37" s="763" t="s">
        <v>481</v>
      </c>
      <c r="Y37" s="763"/>
      <c r="Z37" s="763"/>
      <c r="AA37" s="763">
        <v>4</v>
      </c>
      <c r="AB37" s="763">
        <v>4</v>
      </c>
      <c r="AC37" s="763">
        <v>4</v>
      </c>
      <c r="AD37" s="763">
        <v>4</v>
      </c>
      <c r="AE37" s="763">
        <v>4</v>
      </c>
      <c r="AF37" s="763"/>
      <c r="AG37" s="773"/>
      <c r="AH37" s="924">
        <v>91.5</v>
      </c>
      <c r="AI37" s="925">
        <v>37</v>
      </c>
    </row>
    <row r="38" spans="1:38" ht="21.95" customHeight="1">
      <c r="A38" s="541">
        <v>6</v>
      </c>
      <c r="B38" s="153" t="s">
        <v>650</v>
      </c>
      <c r="C38" s="768">
        <v>10</v>
      </c>
      <c r="D38" s="768" t="s">
        <v>514</v>
      </c>
      <c r="E38" s="768" t="s">
        <v>514</v>
      </c>
      <c r="F38" s="768" t="s">
        <v>481</v>
      </c>
      <c r="G38" s="768" t="s">
        <v>481</v>
      </c>
      <c r="H38" s="768" t="s">
        <v>481</v>
      </c>
      <c r="I38" s="768" t="s">
        <v>481</v>
      </c>
      <c r="J38" s="768" t="s">
        <v>481</v>
      </c>
      <c r="K38" s="1038" t="s">
        <v>515</v>
      </c>
      <c r="L38" s="1038" t="s">
        <v>758</v>
      </c>
      <c r="M38" s="768">
        <v>7</v>
      </c>
      <c r="N38" s="768">
        <v>7</v>
      </c>
      <c r="O38" s="768">
        <v>7</v>
      </c>
      <c r="P38" s="768">
        <v>7</v>
      </c>
      <c r="Q38" s="768">
        <v>7</v>
      </c>
      <c r="R38" s="768"/>
      <c r="S38" s="768"/>
      <c r="T38" s="768" t="s">
        <v>591</v>
      </c>
      <c r="U38" s="768" t="s">
        <v>607</v>
      </c>
      <c r="V38" s="768">
        <v>4</v>
      </c>
      <c r="W38" s="768">
        <v>4</v>
      </c>
      <c r="X38" s="768">
        <v>4</v>
      </c>
      <c r="Y38" s="768"/>
      <c r="Z38" s="768"/>
      <c r="AA38" s="768">
        <v>3</v>
      </c>
      <c r="AB38" s="768">
        <v>3</v>
      </c>
      <c r="AC38" s="768">
        <v>3</v>
      </c>
      <c r="AD38" s="768">
        <v>3</v>
      </c>
      <c r="AE38" s="768">
        <v>3</v>
      </c>
      <c r="AF38" s="768"/>
      <c r="AG38" s="774"/>
      <c r="AH38" s="924">
        <v>185</v>
      </c>
      <c r="AI38" s="925">
        <v>37</v>
      </c>
    </row>
    <row r="39" spans="1:38" ht="21.95" customHeight="1" thickBot="1">
      <c r="A39" s="543">
        <v>11</v>
      </c>
      <c r="B39" s="794" t="s">
        <v>518</v>
      </c>
      <c r="C39" s="761">
        <v>11</v>
      </c>
      <c r="D39" s="761" t="s">
        <v>517</v>
      </c>
      <c r="E39" s="761" t="s">
        <v>517</v>
      </c>
      <c r="F39" s="761" t="s">
        <v>481</v>
      </c>
      <c r="G39" s="761" t="s">
        <v>481</v>
      </c>
      <c r="H39" s="761" t="s">
        <v>481</v>
      </c>
      <c r="I39" s="761" t="s">
        <v>481</v>
      </c>
      <c r="J39" s="761" t="s">
        <v>481</v>
      </c>
      <c r="K39" s="761"/>
      <c r="L39" s="761"/>
      <c r="M39" s="967">
        <v>8</v>
      </c>
      <c r="N39" s="967">
        <v>8</v>
      </c>
      <c r="O39" s="967">
        <v>8</v>
      </c>
      <c r="P39" s="967">
        <v>8</v>
      </c>
      <c r="Q39" s="967">
        <v>8</v>
      </c>
      <c r="R39" s="761" t="s">
        <v>513</v>
      </c>
      <c r="S39" s="761" t="s">
        <v>513</v>
      </c>
      <c r="T39" s="1047">
        <v>9</v>
      </c>
      <c r="U39" s="1047">
        <v>9</v>
      </c>
      <c r="V39" s="761" t="s">
        <v>481</v>
      </c>
      <c r="W39" s="1047">
        <v>9</v>
      </c>
      <c r="X39" s="761" t="s">
        <v>481</v>
      </c>
      <c r="Y39" s="761"/>
      <c r="Z39" s="761"/>
      <c r="AA39" s="761">
        <v>1</v>
      </c>
      <c r="AB39" s="761">
        <v>1</v>
      </c>
      <c r="AC39" s="761" t="s">
        <v>609</v>
      </c>
      <c r="AD39" s="761" t="s">
        <v>609</v>
      </c>
      <c r="AE39" s="761" t="s">
        <v>609</v>
      </c>
      <c r="AF39" s="761"/>
      <c r="AG39" s="775"/>
      <c r="AH39" s="924">
        <v>83</v>
      </c>
      <c r="AI39" s="925">
        <v>37</v>
      </c>
    </row>
    <row r="40" spans="1:38" ht="21.95" customHeight="1">
      <c r="A40" s="540">
        <v>2</v>
      </c>
      <c r="B40" s="45" t="s">
        <v>520</v>
      </c>
      <c r="C40" s="974" t="s">
        <v>481</v>
      </c>
      <c r="D40" s="974"/>
      <c r="E40" s="974"/>
      <c r="F40" s="1089">
        <v>6</v>
      </c>
      <c r="G40" s="1089">
        <v>6</v>
      </c>
      <c r="H40" s="974">
        <v>6</v>
      </c>
      <c r="I40" s="974">
        <v>6</v>
      </c>
      <c r="J40" s="974">
        <v>6</v>
      </c>
      <c r="K40" s="974" t="s">
        <v>512</v>
      </c>
      <c r="L40" s="974" t="s">
        <v>513</v>
      </c>
      <c r="M40" s="974" t="s">
        <v>481</v>
      </c>
      <c r="N40" s="974" t="s">
        <v>481</v>
      </c>
      <c r="O40" s="974" t="s">
        <v>481</v>
      </c>
      <c r="P40" s="974" t="s">
        <v>481</v>
      </c>
      <c r="Q40" s="974" t="s">
        <v>481</v>
      </c>
      <c r="R40" s="974"/>
      <c r="S40" s="974"/>
      <c r="T40" s="776">
        <v>7</v>
      </c>
      <c r="U40" s="776">
        <v>7</v>
      </c>
      <c r="V40" s="763">
        <v>7</v>
      </c>
      <c r="W40" s="763">
        <v>7</v>
      </c>
      <c r="X40" s="763">
        <v>7</v>
      </c>
      <c r="Y40" s="763"/>
      <c r="Z40" s="763"/>
      <c r="AA40" s="763">
        <v>10</v>
      </c>
      <c r="AB40" s="763">
        <v>10</v>
      </c>
      <c r="AC40" s="763">
        <v>10</v>
      </c>
      <c r="AD40" s="763">
        <v>10</v>
      </c>
      <c r="AE40" s="763">
        <v>10</v>
      </c>
      <c r="AF40" s="763" t="s">
        <v>514</v>
      </c>
      <c r="AG40" s="763" t="s">
        <v>514</v>
      </c>
      <c r="AH40" s="924">
        <v>196</v>
      </c>
      <c r="AI40" s="925">
        <v>37</v>
      </c>
    </row>
    <row r="41" spans="1:38" ht="21.95" customHeight="1">
      <c r="A41" s="541">
        <v>7</v>
      </c>
      <c r="B41" s="153" t="s">
        <v>522</v>
      </c>
      <c r="C41" s="768" t="s">
        <v>481</v>
      </c>
      <c r="D41" s="768" t="s">
        <v>515</v>
      </c>
      <c r="E41" s="768" t="s">
        <v>515</v>
      </c>
      <c r="F41" s="768">
        <v>7</v>
      </c>
      <c r="G41" s="768">
        <v>7</v>
      </c>
      <c r="H41" s="768">
        <v>7</v>
      </c>
      <c r="I41" s="768">
        <v>7</v>
      </c>
      <c r="J41" s="768">
        <v>7</v>
      </c>
      <c r="K41" s="768"/>
      <c r="L41" s="768"/>
      <c r="M41" s="768">
        <v>4</v>
      </c>
      <c r="N41" s="768">
        <v>4</v>
      </c>
      <c r="O41" s="768">
        <v>4</v>
      </c>
      <c r="P41" s="768">
        <v>4</v>
      </c>
      <c r="Q41" s="768">
        <v>4</v>
      </c>
      <c r="R41" s="768"/>
      <c r="S41" s="768"/>
      <c r="T41" s="768">
        <v>3</v>
      </c>
      <c r="U41" s="768">
        <v>3</v>
      </c>
      <c r="V41" s="768">
        <v>3</v>
      </c>
      <c r="W41" s="768">
        <v>3</v>
      </c>
      <c r="X41" s="768">
        <v>3</v>
      </c>
      <c r="Y41" s="768"/>
      <c r="Z41" s="768"/>
      <c r="AA41" s="768">
        <v>11</v>
      </c>
      <c r="AB41" s="768">
        <v>11</v>
      </c>
      <c r="AC41" s="768">
        <v>11</v>
      </c>
      <c r="AD41" s="768">
        <v>11</v>
      </c>
      <c r="AE41" s="768">
        <v>11</v>
      </c>
      <c r="AF41" s="768" t="s">
        <v>517</v>
      </c>
      <c r="AG41" s="774" t="s">
        <v>517</v>
      </c>
      <c r="AH41" s="924">
        <v>173</v>
      </c>
      <c r="AI41" s="925">
        <v>37</v>
      </c>
    </row>
    <row r="42" spans="1:38" ht="21.95" customHeight="1" thickBot="1">
      <c r="A42" s="543">
        <v>12</v>
      </c>
      <c r="B42" s="544" t="s">
        <v>523</v>
      </c>
      <c r="C42" s="967" t="s">
        <v>481</v>
      </c>
      <c r="D42" s="967"/>
      <c r="E42" s="967"/>
      <c r="F42" s="967">
        <v>8</v>
      </c>
      <c r="G42" s="967">
        <v>8</v>
      </c>
      <c r="H42" s="967">
        <v>8</v>
      </c>
      <c r="I42" s="967">
        <v>8</v>
      </c>
      <c r="J42" s="967">
        <v>8</v>
      </c>
      <c r="K42" s="967" t="s">
        <v>513</v>
      </c>
      <c r="L42" s="967" t="s">
        <v>513</v>
      </c>
      <c r="M42" s="967" t="s">
        <v>481</v>
      </c>
      <c r="N42" s="967" t="s">
        <v>481</v>
      </c>
      <c r="O42" s="967" t="s">
        <v>481</v>
      </c>
      <c r="P42" s="967" t="s">
        <v>481</v>
      </c>
      <c r="Q42" s="967" t="s">
        <v>481</v>
      </c>
      <c r="R42" s="967"/>
      <c r="S42" s="967"/>
      <c r="T42" s="1037">
        <v>1</v>
      </c>
      <c r="U42" s="761">
        <v>1</v>
      </c>
      <c r="V42" s="1037">
        <v>1</v>
      </c>
      <c r="W42" s="1037">
        <v>1</v>
      </c>
      <c r="X42" s="761">
        <v>1</v>
      </c>
      <c r="Y42" s="761"/>
      <c r="Z42" s="761"/>
      <c r="AA42" s="761">
        <v>9</v>
      </c>
      <c r="AB42" s="761">
        <v>9</v>
      </c>
      <c r="AC42" s="761">
        <v>9</v>
      </c>
      <c r="AD42" s="761">
        <v>9</v>
      </c>
      <c r="AE42" s="761">
        <v>9</v>
      </c>
      <c r="AF42" s="761" t="s">
        <v>519</v>
      </c>
      <c r="AG42" s="775" t="s">
        <v>514</v>
      </c>
      <c r="AH42" s="924">
        <v>16</v>
      </c>
      <c r="AI42" s="925">
        <v>37</v>
      </c>
    </row>
    <row r="43" spans="1:38" ht="21.95" customHeight="1">
      <c r="A43" s="545">
        <v>3</v>
      </c>
      <c r="B43" s="836" t="s">
        <v>524</v>
      </c>
      <c r="C43" s="764">
        <v>6</v>
      </c>
      <c r="D43" s="764" t="s">
        <v>512</v>
      </c>
      <c r="E43" s="764" t="s">
        <v>513</v>
      </c>
      <c r="F43" s="764" t="s">
        <v>481</v>
      </c>
      <c r="G43" s="764" t="s">
        <v>481</v>
      </c>
      <c r="H43" s="764" t="s">
        <v>481</v>
      </c>
      <c r="I43" s="764" t="s">
        <v>481</v>
      </c>
      <c r="J43" s="764" t="s">
        <v>481</v>
      </c>
      <c r="K43" s="764"/>
      <c r="L43" s="764"/>
      <c r="M43" s="764">
        <v>1</v>
      </c>
      <c r="N43" s="764">
        <v>1</v>
      </c>
      <c r="O43" s="764">
        <v>1</v>
      </c>
      <c r="P43" s="764">
        <v>1</v>
      </c>
      <c r="Q43" s="764">
        <v>1</v>
      </c>
      <c r="R43" s="767"/>
      <c r="S43" s="764"/>
      <c r="T43" s="764">
        <v>10</v>
      </c>
      <c r="U43" s="764">
        <v>10</v>
      </c>
      <c r="V43" s="764">
        <v>10</v>
      </c>
      <c r="W43" s="764">
        <v>10</v>
      </c>
      <c r="X43" s="764">
        <v>10</v>
      </c>
      <c r="Y43" s="764" t="s">
        <v>514</v>
      </c>
      <c r="Z43" s="764" t="s">
        <v>514</v>
      </c>
      <c r="AA43" s="764" t="s">
        <v>481</v>
      </c>
      <c r="AB43" s="764" t="s">
        <v>481</v>
      </c>
      <c r="AC43" s="764" t="s">
        <v>481</v>
      </c>
      <c r="AD43" s="764" t="s">
        <v>481</v>
      </c>
      <c r="AE43" s="764" t="s">
        <v>481</v>
      </c>
      <c r="AF43" s="764" t="s">
        <v>515</v>
      </c>
      <c r="AG43" s="777" t="s">
        <v>515</v>
      </c>
      <c r="AH43" s="924">
        <v>93</v>
      </c>
      <c r="AI43" s="925">
        <v>37</v>
      </c>
    </row>
    <row r="44" spans="1:38" ht="21.95" customHeight="1">
      <c r="A44" s="541">
        <v>8</v>
      </c>
      <c r="B44" s="319" t="s">
        <v>525</v>
      </c>
      <c r="C44" s="768">
        <v>7</v>
      </c>
      <c r="D44" s="768"/>
      <c r="E44" s="768"/>
      <c r="F44" s="768">
        <v>4</v>
      </c>
      <c r="G44" s="778">
        <v>4</v>
      </c>
      <c r="H44" s="768">
        <v>4</v>
      </c>
      <c r="I44" s="768">
        <v>4</v>
      </c>
      <c r="J44" s="768">
        <v>4</v>
      </c>
      <c r="K44" s="768"/>
      <c r="L44" s="768"/>
      <c r="M44" s="768">
        <v>3</v>
      </c>
      <c r="N44" s="768">
        <v>3</v>
      </c>
      <c r="O44" s="768">
        <v>3</v>
      </c>
      <c r="P44" s="768">
        <v>3</v>
      </c>
      <c r="Q44" s="1135">
        <v>3</v>
      </c>
      <c r="R44" s="768"/>
      <c r="S44" s="779"/>
      <c r="T44" s="768">
        <v>11</v>
      </c>
      <c r="U44" s="768">
        <v>11</v>
      </c>
      <c r="V44" s="768">
        <v>11</v>
      </c>
      <c r="W44" s="768">
        <v>11</v>
      </c>
      <c r="X44" s="768">
        <v>11</v>
      </c>
      <c r="Y44" s="768" t="s">
        <v>517</v>
      </c>
      <c r="Z44" s="768" t="s">
        <v>517</v>
      </c>
      <c r="AA44" s="768" t="s">
        <v>481</v>
      </c>
      <c r="AB44" s="768" t="s">
        <v>481</v>
      </c>
      <c r="AC44" s="768" t="s">
        <v>481</v>
      </c>
      <c r="AD44" s="768" t="s">
        <v>481</v>
      </c>
      <c r="AE44" s="768" t="s">
        <v>481</v>
      </c>
      <c r="AF44" s="768"/>
      <c r="AG44" s="768"/>
      <c r="AH44" s="924">
        <v>100.5</v>
      </c>
      <c r="AI44" s="925">
        <v>12.5</v>
      </c>
    </row>
    <row r="45" spans="1:38" ht="21.95" customHeight="1" thickBot="1">
      <c r="A45" s="543">
        <v>13</v>
      </c>
      <c r="B45" s="52" t="s">
        <v>526</v>
      </c>
      <c r="C45" s="967">
        <v>8</v>
      </c>
      <c r="D45" s="1068" t="s">
        <v>513</v>
      </c>
      <c r="E45" s="1068" t="s">
        <v>513</v>
      </c>
      <c r="F45" s="1068" t="s">
        <v>481</v>
      </c>
      <c r="G45" s="1068" t="s">
        <v>481</v>
      </c>
      <c r="H45" s="1068" t="s">
        <v>481</v>
      </c>
      <c r="I45" s="1068" t="s">
        <v>481</v>
      </c>
      <c r="J45" s="1068" t="s">
        <v>481</v>
      </c>
      <c r="K45" s="1068"/>
      <c r="L45" s="1068"/>
      <c r="M45" s="1068">
        <v>1</v>
      </c>
      <c r="N45" s="1068">
        <v>1</v>
      </c>
      <c r="O45" s="1068">
        <v>1</v>
      </c>
      <c r="P45" s="1068">
        <v>1</v>
      </c>
      <c r="Q45" s="1068">
        <v>1</v>
      </c>
      <c r="R45" s="1084"/>
      <c r="S45" s="1068"/>
      <c r="T45" s="1068">
        <v>9</v>
      </c>
      <c r="U45" s="1068">
        <v>9</v>
      </c>
      <c r="V45" s="1068">
        <v>9</v>
      </c>
      <c r="W45" s="1068">
        <v>9</v>
      </c>
      <c r="X45" s="1068">
        <v>9</v>
      </c>
      <c r="Y45" s="1068" t="s">
        <v>519</v>
      </c>
      <c r="Z45" s="1068" t="s">
        <v>514</v>
      </c>
      <c r="AA45" s="1068" t="s">
        <v>481</v>
      </c>
      <c r="AB45" s="1068" t="s">
        <v>481</v>
      </c>
      <c r="AC45" s="1068" t="s">
        <v>481</v>
      </c>
      <c r="AD45" s="1068" t="s">
        <v>481</v>
      </c>
      <c r="AE45" s="1068" t="s">
        <v>481</v>
      </c>
      <c r="AF45" s="1068"/>
      <c r="AG45" s="1068"/>
      <c r="AH45" s="924">
        <v>150.5</v>
      </c>
      <c r="AI45" s="925">
        <v>37</v>
      </c>
    </row>
    <row r="46" spans="1:38" ht="21.95" customHeight="1">
      <c r="A46" s="545">
        <v>4</v>
      </c>
      <c r="B46" s="319" t="s">
        <v>527</v>
      </c>
      <c r="C46" s="768" t="s">
        <v>481</v>
      </c>
      <c r="D46" s="768"/>
      <c r="E46" s="768" t="s">
        <v>482</v>
      </c>
      <c r="F46" s="768" t="s">
        <v>481</v>
      </c>
      <c r="G46" s="768">
        <v>5</v>
      </c>
      <c r="H46" s="768">
        <v>5</v>
      </c>
      <c r="I46" s="768">
        <v>5</v>
      </c>
      <c r="J46" s="977">
        <v>5</v>
      </c>
      <c r="K46" s="764"/>
      <c r="L46" s="764"/>
      <c r="M46" s="1024">
        <v>10</v>
      </c>
      <c r="N46" s="764">
        <v>10</v>
      </c>
      <c r="O46" s="764">
        <v>10</v>
      </c>
      <c r="P46" s="764">
        <v>10</v>
      </c>
      <c r="Q46" s="764">
        <v>10</v>
      </c>
      <c r="R46" s="764" t="s">
        <v>514</v>
      </c>
      <c r="S46" s="764" t="s">
        <v>514</v>
      </c>
      <c r="T46" s="764" t="s">
        <v>481</v>
      </c>
      <c r="U46" s="764" t="s">
        <v>481</v>
      </c>
      <c r="V46" s="764" t="s">
        <v>481</v>
      </c>
      <c r="W46" s="764" t="s">
        <v>481</v>
      </c>
      <c r="X46" s="764" t="s">
        <v>481</v>
      </c>
      <c r="Y46" s="972" t="s">
        <v>515</v>
      </c>
      <c r="Z46" s="972" t="s">
        <v>515</v>
      </c>
      <c r="AA46" s="972">
        <v>7</v>
      </c>
      <c r="AB46" s="972">
        <v>7</v>
      </c>
      <c r="AC46" s="972">
        <v>7</v>
      </c>
      <c r="AD46" s="972">
        <v>7</v>
      </c>
      <c r="AE46" s="972">
        <v>7</v>
      </c>
      <c r="AF46" s="764"/>
      <c r="AG46" s="771"/>
      <c r="AH46" s="924">
        <v>62</v>
      </c>
      <c r="AI46" s="925">
        <v>37</v>
      </c>
    </row>
    <row r="47" spans="1:38" ht="21.95" customHeight="1">
      <c r="A47" s="541">
        <v>9</v>
      </c>
      <c r="B47" s="319" t="s">
        <v>528</v>
      </c>
      <c r="C47" s="768">
        <v>4</v>
      </c>
      <c r="D47" s="768"/>
      <c r="E47" s="768"/>
      <c r="F47" s="768">
        <v>3</v>
      </c>
      <c r="G47" s="768">
        <v>3</v>
      </c>
      <c r="H47" s="768">
        <v>3</v>
      </c>
      <c r="I47" s="768">
        <v>3</v>
      </c>
      <c r="J47" s="768">
        <v>3</v>
      </c>
      <c r="K47" s="768"/>
      <c r="L47" s="768"/>
      <c r="M47" s="768">
        <v>11</v>
      </c>
      <c r="N47" s="768">
        <v>11</v>
      </c>
      <c r="O47" s="768">
        <v>11</v>
      </c>
      <c r="P47" s="768">
        <v>11</v>
      </c>
      <c r="Q47" s="768">
        <v>11</v>
      </c>
      <c r="R47" s="768" t="s">
        <v>517</v>
      </c>
      <c r="S47" s="768" t="s">
        <v>517</v>
      </c>
      <c r="T47" s="768" t="s">
        <v>481</v>
      </c>
      <c r="U47" s="768" t="s">
        <v>481</v>
      </c>
      <c r="V47" s="768" t="s">
        <v>481</v>
      </c>
      <c r="W47" s="768" t="s">
        <v>481</v>
      </c>
      <c r="X47" s="768" t="s">
        <v>481</v>
      </c>
      <c r="Y47" s="768"/>
      <c r="Z47" s="768"/>
      <c r="AA47" s="768">
        <v>8</v>
      </c>
      <c r="AB47" s="768">
        <v>8</v>
      </c>
      <c r="AC47" s="768">
        <v>8</v>
      </c>
      <c r="AD47" s="768">
        <v>8</v>
      </c>
      <c r="AE47" s="768">
        <v>8</v>
      </c>
      <c r="AF47" s="768" t="s">
        <v>513</v>
      </c>
      <c r="AG47" s="769" t="s">
        <v>513</v>
      </c>
      <c r="AH47" s="924">
        <v>128</v>
      </c>
      <c r="AI47" s="925">
        <v>37</v>
      </c>
    </row>
    <row r="48" spans="1:38" ht="21.95" customHeight="1" thickBot="1">
      <c r="A48" s="543">
        <v>14</v>
      </c>
      <c r="B48" s="544" t="s">
        <v>529</v>
      </c>
      <c r="C48" s="761" t="s">
        <v>481</v>
      </c>
      <c r="D48" s="761"/>
      <c r="E48" s="764"/>
      <c r="F48" s="764">
        <v>1</v>
      </c>
      <c r="G48" s="764">
        <v>8</v>
      </c>
      <c r="H48" s="964">
        <v>1</v>
      </c>
      <c r="I48" s="764">
        <v>8</v>
      </c>
      <c r="J48" s="764">
        <v>1</v>
      </c>
      <c r="K48" s="764"/>
      <c r="L48" s="761"/>
      <c r="M48" s="761">
        <v>9</v>
      </c>
      <c r="N48" s="761">
        <v>9</v>
      </c>
      <c r="O48" s="761">
        <v>9</v>
      </c>
      <c r="P48" s="761">
        <v>9</v>
      </c>
      <c r="Q48" s="761">
        <v>9</v>
      </c>
      <c r="R48" s="761" t="s">
        <v>519</v>
      </c>
      <c r="S48" s="761" t="s">
        <v>514</v>
      </c>
      <c r="T48" s="967" t="s">
        <v>481</v>
      </c>
      <c r="U48" s="967" t="s">
        <v>481</v>
      </c>
      <c r="V48" s="967" t="s">
        <v>481</v>
      </c>
      <c r="W48" s="967" t="s">
        <v>481</v>
      </c>
      <c r="X48" s="967" t="s">
        <v>481</v>
      </c>
      <c r="Y48" s="967"/>
      <c r="Z48" s="967"/>
      <c r="AA48" s="967">
        <v>6</v>
      </c>
      <c r="AB48" s="967">
        <v>6</v>
      </c>
      <c r="AC48" s="967">
        <v>6</v>
      </c>
      <c r="AD48" s="967">
        <v>6</v>
      </c>
      <c r="AE48" s="967">
        <v>6</v>
      </c>
      <c r="AF48" s="967" t="s">
        <v>512</v>
      </c>
      <c r="AG48" s="981" t="s">
        <v>513</v>
      </c>
      <c r="AH48" s="924">
        <v>129</v>
      </c>
      <c r="AI48" s="925">
        <v>37</v>
      </c>
    </row>
    <row r="49" spans="1:35" ht="21.95" customHeight="1">
      <c r="A49" s="540">
        <v>5</v>
      </c>
      <c r="B49" s="542" t="s">
        <v>530</v>
      </c>
      <c r="C49" s="768">
        <v>5</v>
      </c>
      <c r="D49" s="763"/>
      <c r="E49" s="763"/>
      <c r="F49" s="763">
        <v>10</v>
      </c>
      <c r="G49" s="763">
        <v>10</v>
      </c>
      <c r="H49" s="763">
        <v>10</v>
      </c>
      <c r="I49" s="763">
        <v>10</v>
      </c>
      <c r="J49" s="763">
        <v>10</v>
      </c>
      <c r="K49" s="763" t="s">
        <v>514</v>
      </c>
      <c r="L49" s="763" t="s">
        <v>514</v>
      </c>
      <c r="M49" s="763" t="s">
        <v>481</v>
      </c>
      <c r="N49" s="763" t="s">
        <v>481</v>
      </c>
      <c r="O49" s="763" t="s">
        <v>481</v>
      </c>
      <c r="P49" s="763" t="s">
        <v>481</v>
      </c>
      <c r="Q49" s="763" t="s">
        <v>481</v>
      </c>
      <c r="R49" s="763" t="s">
        <v>515</v>
      </c>
      <c r="S49" s="768" t="s">
        <v>515</v>
      </c>
      <c r="T49" s="970">
        <v>7</v>
      </c>
      <c r="U49" s="970">
        <v>7</v>
      </c>
      <c r="V49" s="970">
        <v>7</v>
      </c>
      <c r="W49" s="970">
        <v>7</v>
      </c>
      <c r="X49" s="970">
        <v>7</v>
      </c>
      <c r="Y49" s="970"/>
      <c r="Z49" s="970"/>
      <c r="AA49" s="970">
        <v>4</v>
      </c>
      <c r="AB49" s="970">
        <v>4</v>
      </c>
      <c r="AC49" s="970">
        <v>4</v>
      </c>
      <c r="AD49" s="970">
        <v>4</v>
      </c>
      <c r="AE49" s="975">
        <v>4</v>
      </c>
      <c r="AF49" s="974"/>
      <c r="AG49" s="975"/>
      <c r="AH49" s="924">
        <v>70</v>
      </c>
      <c r="AI49" s="925">
        <v>37</v>
      </c>
    </row>
    <row r="50" spans="1:35" ht="21.95" customHeight="1">
      <c r="A50" s="541">
        <v>10</v>
      </c>
      <c r="B50" s="319" t="s">
        <v>531</v>
      </c>
      <c r="C50" s="768">
        <v>3</v>
      </c>
      <c r="D50" s="768"/>
      <c r="E50" s="768"/>
      <c r="F50" s="768">
        <v>11</v>
      </c>
      <c r="G50" s="768">
        <v>11</v>
      </c>
      <c r="H50" s="768">
        <v>11</v>
      </c>
      <c r="I50" s="768">
        <v>11</v>
      </c>
      <c r="J50" s="768">
        <v>11</v>
      </c>
      <c r="K50" s="768" t="s">
        <v>517</v>
      </c>
      <c r="L50" s="768" t="s">
        <v>517</v>
      </c>
      <c r="M50" s="768" t="s">
        <v>481</v>
      </c>
      <c r="N50" s="768" t="s">
        <v>481</v>
      </c>
      <c r="O50" s="768" t="s">
        <v>481</v>
      </c>
      <c r="P50" s="768" t="s">
        <v>481</v>
      </c>
      <c r="Q50" s="768" t="s">
        <v>481</v>
      </c>
      <c r="R50" s="768"/>
      <c r="S50" s="768"/>
      <c r="T50" s="768">
        <v>8</v>
      </c>
      <c r="U50" s="768">
        <v>8</v>
      </c>
      <c r="V50" s="768">
        <v>8</v>
      </c>
      <c r="W50" s="768">
        <v>8</v>
      </c>
      <c r="X50" s="768">
        <v>8</v>
      </c>
      <c r="Y50" s="768" t="s">
        <v>513</v>
      </c>
      <c r="Z50" s="768" t="s">
        <v>513</v>
      </c>
      <c r="AA50" s="768" t="s">
        <v>481</v>
      </c>
      <c r="AB50" s="768" t="s">
        <v>481</v>
      </c>
      <c r="AC50" s="768" t="s">
        <v>481</v>
      </c>
      <c r="AD50" s="768" t="s">
        <v>481</v>
      </c>
      <c r="AE50" s="769" t="s">
        <v>481</v>
      </c>
      <c r="AF50" s="768"/>
      <c r="AG50" s="769"/>
      <c r="AH50" s="924">
        <v>116</v>
      </c>
      <c r="AI50" s="925">
        <v>37</v>
      </c>
    </row>
    <row r="51" spans="1:35" ht="21.95" customHeight="1" thickBot="1">
      <c r="A51" s="543">
        <v>15</v>
      </c>
      <c r="B51" s="52" t="s">
        <v>532</v>
      </c>
      <c r="C51" s="761">
        <v>1</v>
      </c>
      <c r="D51" s="761"/>
      <c r="E51" s="761"/>
      <c r="F51" s="761">
        <v>9</v>
      </c>
      <c r="G51" s="761">
        <v>9</v>
      </c>
      <c r="H51" s="761">
        <v>9</v>
      </c>
      <c r="I51" s="761">
        <v>9</v>
      </c>
      <c r="J51" s="761">
        <v>9</v>
      </c>
      <c r="K51" s="761" t="s">
        <v>519</v>
      </c>
      <c r="L51" s="761" t="s">
        <v>514</v>
      </c>
      <c r="M51" s="761" t="s">
        <v>481</v>
      </c>
      <c r="N51" s="761" t="s">
        <v>481</v>
      </c>
      <c r="O51" s="761" t="s">
        <v>481</v>
      </c>
      <c r="P51" s="761" t="s">
        <v>481</v>
      </c>
      <c r="Q51" s="761" t="s">
        <v>481</v>
      </c>
      <c r="R51" s="761"/>
      <c r="S51" s="761"/>
      <c r="T51" s="967">
        <v>6</v>
      </c>
      <c r="U51" s="967">
        <v>6</v>
      </c>
      <c r="V51" s="967">
        <v>6</v>
      </c>
      <c r="W51" s="967">
        <v>6</v>
      </c>
      <c r="X51" s="967">
        <v>6</v>
      </c>
      <c r="Y51" s="967" t="s">
        <v>512</v>
      </c>
      <c r="Z51" s="967" t="s">
        <v>513</v>
      </c>
      <c r="AA51" s="967" t="s">
        <v>481</v>
      </c>
      <c r="AB51" s="967" t="s">
        <v>481</v>
      </c>
      <c r="AC51" s="967" t="s">
        <v>481</v>
      </c>
      <c r="AD51" s="967" t="s">
        <v>481</v>
      </c>
      <c r="AE51" s="981" t="s">
        <v>481</v>
      </c>
      <c r="AF51" s="967"/>
      <c r="AG51" s="981"/>
      <c r="AH51" s="924">
        <v>131.5</v>
      </c>
      <c r="AI51" s="925">
        <v>37</v>
      </c>
    </row>
    <row r="52" spans="1:35" ht="21.95" customHeight="1">
      <c r="A52" s="516"/>
      <c r="C52" s="538"/>
      <c r="D52" s="538"/>
      <c r="E52" s="538"/>
      <c r="F52" s="538"/>
      <c r="G52" s="538"/>
      <c r="H52" s="538"/>
      <c r="I52" s="538"/>
      <c r="J52" s="538"/>
      <c r="K52" s="538"/>
      <c r="L52" s="538"/>
      <c r="M52" s="538"/>
      <c r="N52" s="538"/>
      <c r="O52" s="538"/>
      <c r="P52" s="538"/>
      <c r="Q52" s="538"/>
      <c r="R52" s="538"/>
      <c r="S52" s="538"/>
      <c r="T52" s="538"/>
      <c r="U52" s="538"/>
      <c r="V52" s="538"/>
      <c r="W52" s="538"/>
      <c r="X52" s="538"/>
      <c r="Y52" s="538"/>
      <c r="Z52" s="538"/>
      <c r="AA52" s="538"/>
      <c r="AB52" s="538"/>
      <c r="AC52" s="538"/>
      <c r="AD52" s="538"/>
      <c r="AE52" s="538"/>
      <c r="AF52" s="538"/>
      <c r="AG52" s="538"/>
      <c r="AH52" s="1"/>
    </row>
    <row r="53" spans="1:35" ht="21.95" customHeight="1">
      <c r="A53" s="516"/>
      <c r="C53" s="538"/>
      <c r="D53" s="538"/>
      <c r="E53" s="538"/>
      <c r="F53" s="538"/>
      <c r="G53" s="538"/>
      <c r="H53" s="538"/>
      <c r="I53" s="538"/>
      <c r="J53" s="538"/>
      <c r="K53" s="538"/>
      <c r="L53" s="538"/>
      <c r="M53" s="538"/>
      <c r="N53" s="538"/>
      <c r="O53" s="538"/>
      <c r="P53" s="538"/>
      <c r="Q53" s="538"/>
      <c r="R53" s="538"/>
      <c r="S53" s="538"/>
      <c r="T53" s="538"/>
      <c r="U53" s="538"/>
      <c r="V53" s="538"/>
      <c r="W53" s="538"/>
      <c r="X53" s="538"/>
      <c r="Y53" s="538"/>
      <c r="Z53" s="538"/>
      <c r="AA53" s="538"/>
      <c r="AB53" s="538"/>
      <c r="AC53" s="538"/>
      <c r="AD53" s="538"/>
      <c r="AE53" s="538"/>
      <c r="AF53" s="538"/>
      <c r="AG53" s="538"/>
      <c r="AH53" s="1"/>
    </row>
    <row r="54" spans="1:35" ht="21.95" customHeight="1">
      <c r="A54" s="516"/>
      <c r="C54" s="538"/>
      <c r="D54" s="538"/>
      <c r="E54" s="538"/>
      <c r="F54" s="538"/>
      <c r="G54" s="538"/>
      <c r="H54" s="538"/>
      <c r="I54" s="538"/>
      <c r="J54" s="538"/>
      <c r="K54" s="538"/>
      <c r="L54" s="538"/>
      <c r="M54" s="538"/>
      <c r="N54" s="538"/>
      <c r="O54" s="538"/>
      <c r="P54" s="538"/>
      <c r="Q54" s="538"/>
      <c r="R54" s="538"/>
      <c r="S54" s="538"/>
      <c r="T54" s="538"/>
      <c r="U54" s="538"/>
      <c r="V54" s="538"/>
      <c r="W54" s="538"/>
      <c r="X54" s="538"/>
      <c r="Y54" s="538"/>
      <c r="Z54" s="538"/>
      <c r="AA54" s="538"/>
      <c r="AB54" s="538"/>
      <c r="AC54" s="538"/>
      <c r="AD54" s="538"/>
      <c r="AE54" s="538"/>
      <c r="AF54" s="538"/>
      <c r="AG54" s="538"/>
      <c r="AH54" s="1"/>
    </row>
    <row r="55" spans="1:35" ht="21.95" customHeight="1" thickBot="1">
      <c r="A55" s="554"/>
      <c r="C55" s="555"/>
      <c r="D55" s="555"/>
      <c r="E55" s="555"/>
      <c r="F55" s="555"/>
      <c r="G55" s="555"/>
      <c r="H55" s="555"/>
      <c r="I55" s="555"/>
      <c r="J55" s="555"/>
      <c r="K55" s="555"/>
      <c r="L55" s="555"/>
      <c r="M55" s="555"/>
      <c r="N55" s="555"/>
      <c r="O55" s="555"/>
      <c r="P55" s="555"/>
      <c r="Q55" s="555"/>
      <c r="R55" s="555"/>
      <c r="S55" s="555"/>
      <c r="T55" s="555"/>
      <c r="U55" s="555"/>
      <c r="V55" s="555"/>
      <c r="W55" s="555"/>
      <c r="X55" s="555"/>
      <c r="Y55" s="555"/>
      <c r="Z55" s="555"/>
      <c r="AA55" s="555"/>
      <c r="AB55" s="555"/>
      <c r="AC55" s="555"/>
      <c r="AD55" s="555"/>
      <c r="AE55" s="555"/>
      <c r="AF55" s="555"/>
      <c r="AG55" s="555"/>
      <c r="AH55" s="556"/>
      <c r="AI55" s="556"/>
    </row>
    <row r="56" spans="1:35" ht="21.95" customHeight="1">
      <c r="A56" s="361"/>
      <c r="B56" s="23" t="s">
        <v>533</v>
      </c>
      <c r="C56" s="7"/>
      <c r="D56" s="414" t="s">
        <v>2</v>
      </c>
      <c r="E56" s="547"/>
      <c r="F56" s="7"/>
      <c r="G56" s="6" t="s">
        <v>3</v>
      </c>
      <c r="H56" s="548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49"/>
      <c r="R56" s="118"/>
      <c r="S56" s="6" t="s">
        <v>7</v>
      </c>
      <c r="T56" s="550"/>
      <c r="U56" s="118"/>
      <c r="V56" s="6" t="s">
        <v>8</v>
      </c>
      <c r="W56" s="549"/>
      <c r="X56" s="349" t="s">
        <v>9</v>
      </c>
      <c r="Y56" s="557"/>
      <c r="Z56" s="557"/>
      <c r="AA56" s="558"/>
      <c r="AB56" s="27" t="s">
        <v>10</v>
      </c>
      <c r="AC56" s="551"/>
      <c r="AD56" s="551"/>
      <c r="AE56" s="559"/>
      <c r="AF56" s="559"/>
      <c r="AG56" s="560"/>
    </row>
    <row r="57" spans="1:35" ht="21.95" customHeight="1">
      <c r="A57" s="361"/>
      <c r="B57" s="306" t="s">
        <v>534</v>
      </c>
      <c r="C57" s="561" t="s">
        <v>535</v>
      </c>
      <c r="D57" s="483"/>
      <c r="E57" s="484"/>
      <c r="F57" s="561" t="s">
        <v>535</v>
      </c>
      <c r="G57" s="483"/>
      <c r="H57" s="484"/>
      <c r="I57" s="561" t="s">
        <v>535</v>
      </c>
      <c r="J57" s="483"/>
      <c r="K57" s="484"/>
      <c r="L57" s="561" t="s">
        <v>535</v>
      </c>
      <c r="M57" s="483"/>
      <c r="N57" s="484"/>
      <c r="O57" s="561" t="s">
        <v>116</v>
      </c>
      <c r="P57" s="483"/>
      <c r="Q57" s="484"/>
      <c r="R57" s="561"/>
      <c r="S57" s="483"/>
      <c r="T57" s="484"/>
      <c r="U57" s="561"/>
      <c r="V57" s="483"/>
      <c r="W57" s="484"/>
      <c r="X57" s="561"/>
      <c r="Y57" s="483"/>
      <c r="Z57" s="483"/>
      <c r="AA57" s="483"/>
      <c r="AB57" s="476"/>
      <c r="AC57" s="483"/>
      <c r="AD57" s="483"/>
      <c r="AE57" s="483"/>
      <c r="AF57" s="483"/>
      <c r="AG57" s="562"/>
    </row>
    <row r="58" spans="1:35" ht="21.95" customHeight="1">
      <c r="A58" s="361"/>
      <c r="B58" s="306" t="s">
        <v>536</v>
      </c>
      <c r="C58" s="561" t="s">
        <v>147</v>
      </c>
      <c r="D58" s="483"/>
      <c r="E58" s="484"/>
      <c r="F58" s="561" t="s">
        <v>147</v>
      </c>
      <c r="G58" s="483"/>
      <c r="H58" s="484"/>
      <c r="I58" s="561" t="s">
        <v>147</v>
      </c>
      <c r="J58" s="483"/>
      <c r="K58" s="484"/>
      <c r="L58" s="561" t="s">
        <v>147</v>
      </c>
      <c r="M58" s="483"/>
      <c r="N58" s="484"/>
      <c r="O58" s="561" t="s">
        <v>537</v>
      </c>
      <c r="P58" s="483"/>
      <c r="Q58" s="484"/>
      <c r="R58" s="561"/>
      <c r="S58" s="483"/>
      <c r="T58" s="484"/>
      <c r="U58" s="561"/>
      <c r="V58" s="483"/>
      <c r="W58" s="484"/>
      <c r="X58" s="561"/>
      <c r="Y58" s="483"/>
      <c r="Z58" s="483"/>
      <c r="AA58" s="483"/>
      <c r="AB58" s="476"/>
      <c r="AC58" s="483"/>
      <c r="AD58" s="483"/>
      <c r="AE58" s="483"/>
      <c r="AF58" s="483"/>
      <c r="AG58" s="562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 thickBot="1">
      <c r="A60" s="1100" t="s">
        <v>475</v>
      </c>
      <c r="B60" s="1101" t="s">
        <v>476</v>
      </c>
      <c r="C60" s="867">
        <v>1</v>
      </c>
      <c r="D60" s="1102">
        <v>2</v>
      </c>
      <c r="E60" s="1102">
        <v>3</v>
      </c>
      <c r="F60" s="867">
        <v>4</v>
      </c>
      <c r="G60" s="867">
        <v>5</v>
      </c>
      <c r="H60" s="867">
        <v>6</v>
      </c>
      <c r="I60" s="867">
        <v>7</v>
      </c>
      <c r="J60" s="867">
        <v>8</v>
      </c>
      <c r="K60" s="1102">
        <v>9</v>
      </c>
      <c r="L60" s="1102">
        <v>10</v>
      </c>
      <c r="M60" s="867">
        <v>11</v>
      </c>
      <c r="N60" s="867">
        <v>12</v>
      </c>
      <c r="O60" s="867">
        <v>13</v>
      </c>
      <c r="P60" s="867">
        <v>14</v>
      </c>
      <c r="Q60" s="867">
        <v>15</v>
      </c>
      <c r="R60" s="1102">
        <v>16</v>
      </c>
      <c r="S60" s="1102">
        <v>17</v>
      </c>
      <c r="T60" s="867">
        <v>18</v>
      </c>
      <c r="U60" s="867">
        <v>19</v>
      </c>
      <c r="V60" s="867">
        <v>20</v>
      </c>
      <c r="W60" s="867">
        <v>21</v>
      </c>
      <c r="X60" s="867">
        <v>22</v>
      </c>
      <c r="Y60" s="1102">
        <v>23</v>
      </c>
      <c r="Z60" s="1102">
        <v>24</v>
      </c>
      <c r="AA60" s="867">
        <v>25</v>
      </c>
      <c r="AB60" s="867">
        <v>26</v>
      </c>
      <c r="AC60" s="867">
        <v>27</v>
      </c>
      <c r="AD60" s="867">
        <v>28</v>
      </c>
      <c r="AE60" s="867">
        <v>29</v>
      </c>
      <c r="AF60" s="1102">
        <v>30</v>
      </c>
      <c r="AG60" s="1103">
        <v>31</v>
      </c>
      <c r="AH60" s="864" t="s">
        <v>477</v>
      </c>
      <c r="AI60" s="865" t="s">
        <v>478</v>
      </c>
    </row>
    <row r="61" spans="1:35" ht="21.95" customHeight="1">
      <c r="A61" s="1122">
        <v>8520</v>
      </c>
      <c r="B61" s="1122" t="s">
        <v>538</v>
      </c>
      <c r="C61" s="764" t="s">
        <v>539</v>
      </c>
      <c r="D61" s="764"/>
      <c r="E61" s="764"/>
      <c r="F61" s="764" t="s">
        <v>539</v>
      </c>
      <c r="G61" s="764" t="s">
        <v>539</v>
      </c>
      <c r="H61" s="764" t="s">
        <v>539</v>
      </c>
      <c r="I61" s="764" t="s">
        <v>539</v>
      </c>
      <c r="J61" s="764" t="s">
        <v>539</v>
      </c>
      <c r="K61" s="764"/>
      <c r="L61" s="764"/>
      <c r="M61" s="764" t="s">
        <v>539</v>
      </c>
      <c r="N61" s="764" t="s">
        <v>539</v>
      </c>
      <c r="O61" s="764" t="s">
        <v>539</v>
      </c>
      <c r="P61" s="764" t="s">
        <v>539</v>
      </c>
      <c r="Q61" s="764" t="s">
        <v>539</v>
      </c>
      <c r="R61" s="764"/>
      <c r="S61" s="764"/>
      <c r="T61" s="764" t="s">
        <v>539</v>
      </c>
      <c r="U61" s="764" t="s">
        <v>539</v>
      </c>
      <c r="V61" s="764" t="s">
        <v>539</v>
      </c>
      <c r="W61" s="764" t="s">
        <v>539</v>
      </c>
      <c r="X61" s="764" t="s">
        <v>539</v>
      </c>
      <c r="Y61" s="764"/>
      <c r="Z61" s="764"/>
      <c r="AA61" s="764" t="s">
        <v>539</v>
      </c>
      <c r="AB61" s="764" t="s">
        <v>539</v>
      </c>
      <c r="AC61" s="764" t="s">
        <v>539</v>
      </c>
      <c r="AD61" s="764" t="s">
        <v>539</v>
      </c>
      <c r="AE61" s="764" t="s">
        <v>539</v>
      </c>
      <c r="AF61" s="764"/>
      <c r="AG61" s="764"/>
      <c r="AH61" s="510">
        <v>75.75</v>
      </c>
      <c r="AI61" s="511">
        <v>31</v>
      </c>
    </row>
    <row r="62" spans="1:35" ht="21.95" customHeight="1" thickBot="1">
      <c r="A62" s="1123">
        <v>8521</v>
      </c>
      <c r="B62" s="1123"/>
      <c r="C62" s="867" t="s">
        <v>540</v>
      </c>
      <c r="D62" s="867"/>
      <c r="E62" s="867"/>
      <c r="F62" s="867" t="s">
        <v>540</v>
      </c>
      <c r="G62" s="867" t="s">
        <v>540</v>
      </c>
      <c r="H62" s="867" t="s">
        <v>540</v>
      </c>
      <c r="I62" s="867" t="s">
        <v>540</v>
      </c>
      <c r="J62" s="867" t="s">
        <v>540</v>
      </c>
      <c r="K62" s="867"/>
      <c r="L62" s="867"/>
      <c r="M62" s="867" t="s">
        <v>540</v>
      </c>
      <c r="N62" s="867" t="s">
        <v>540</v>
      </c>
      <c r="O62" s="867" t="s">
        <v>540</v>
      </c>
      <c r="P62" s="867" t="s">
        <v>540</v>
      </c>
      <c r="Q62" s="867" t="s">
        <v>540</v>
      </c>
      <c r="R62" s="867"/>
      <c r="S62" s="867"/>
      <c r="T62" s="867" t="s">
        <v>540</v>
      </c>
      <c r="U62" s="867" t="s">
        <v>540</v>
      </c>
      <c r="V62" s="867" t="s">
        <v>540</v>
      </c>
      <c r="W62" s="867" t="s">
        <v>540</v>
      </c>
      <c r="X62" s="867" t="s">
        <v>540</v>
      </c>
      <c r="Y62" s="867"/>
      <c r="Z62" s="867"/>
      <c r="AA62" s="867" t="s">
        <v>540</v>
      </c>
      <c r="AB62" s="867" t="s">
        <v>540</v>
      </c>
      <c r="AC62" s="867" t="s">
        <v>540</v>
      </c>
      <c r="AD62" s="867" t="s">
        <v>540</v>
      </c>
      <c r="AE62" s="867" t="s">
        <v>540</v>
      </c>
      <c r="AF62" s="867"/>
      <c r="AG62" s="867"/>
      <c r="AH62" s="868">
        <v>185</v>
      </c>
      <c r="AI62" s="869">
        <v>37</v>
      </c>
    </row>
    <row r="63" spans="1:35" ht="21.95" customHeight="1">
      <c r="A63" s="361"/>
      <c r="B63" s="361"/>
      <c r="C63" s="538"/>
      <c r="D63" s="517"/>
      <c r="E63" s="517"/>
      <c r="F63" s="517"/>
      <c r="G63" s="517"/>
      <c r="H63" s="517"/>
      <c r="I63" s="517"/>
      <c r="J63" s="517"/>
      <c r="K63" s="517"/>
      <c r="L63" s="517"/>
      <c r="M63" s="517"/>
      <c r="N63" s="517"/>
      <c r="O63" s="517"/>
      <c r="P63" s="517"/>
      <c r="Q63" s="517"/>
      <c r="R63" s="517"/>
      <c r="S63" s="517"/>
      <c r="T63" s="517"/>
      <c r="U63" s="517"/>
      <c r="V63" s="517"/>
      <c r="W63" s="517"/>
      <c r="X63" s="517"/>
      <c r="Y63" s="517"/>
      <c r="Z63" s="517"/>
      <c r="AA63" s="517"/>
      <c r="AB63" s="517"/>
      <c r="AC63" s="517"/>
      <c r="AD63" s="517"/>
      <c r="AE63" s="517"/>
      <c r="AF63" s="517"/>
      <c r="AG63" s="517"/>
      <c r="AH63" s="556"/>
      <c r="AI63" s="556"/>
    </row>
    <row r="64" spans="1:35" ht="21.95" customHeight="1">
      <c r="A64" s="361"/>
      <c r="B64" s="361"/>
      <c r="C64" s="538"/>
      <c r="D64" s="517"/>
      <c r="E64" s="517"/>
      <c r="F64" s="517"/>
      <c r="G64" s="517"/>
      <c r="H64" s="517"/>
      <c r="I64" s="517"/>
      <c r="J64" s="517"/>
      <c r="K64" s="517"/>
      <c r="L64" s="517"/>
      <c r="M64" s="517"/>
      <c r="N64" s="517"/>
      <c r="O64" s="517"/>
      <c r="P64" s="517"/>
      <c r="Q64" s="517"/>
      <c r="R64" s="517"/>
      <c r="S64" s="517"/>
      <c r="T64" s="517"/>
      <c r="U64" s="517"/>
      <c r="V64" s="517"/>
      <c r="W64" s="517"/>
      <c r="X64" s="517"/>
      <c r="Y64" s="517"/>
      <c r="Z64" s="517"/>
      <c r="AA64" s="517"/>
      <c r="AB64" s="517"/>
      <c r="AC64" s="517"/>
      <c r="AD64" s="517"/>
      <c r="AE64" s="517"/>
      <c r="AF64" s="517"/>
      <c r="AG64" s="517"/>
      <c r="AH64" s="556"/>
      <c r="AI64" s="556"/>
    </row>
    <row r="65" spans="1:35" ht="21.95" customHeight="1">
      <c r="A65" s="361"/>
      <c r="B65" s="361"/>
      <c r="C65" s="538"/>
      <c r="D65" s="517"/>
      <c r="E65" s="517"/>
      <c r="F65" s="517"/>
      <c r="G65" s="517"/>
      <c r="H65" s="517"/>
      <c r="I65" s="517"/>
      <c r="J65" s="517"/>
      <c r="K65" s="517"/>
      <c r="L65" s="517"/>
      <c r="M65" s="517"/>
      <c r="N65" s="517"/>
      <c r="O65" s="517"/>
      <c r="P65" s="517"/>
      <c r="Q65" s="517"/>
      <c r="R65" s="517"/>
      <c r="S65" s="517"/>
      <c r="T65" s="517"/>
      <c r="U65" s="517"/>
      <c r="V65" s="517"/>
      <c r="W65" s="517"/>
      <c r="X65" s="517"/>
      <c r="Y65" s="517"/>
      <c r="Z65" s="517"/>
      <c r="AA65" s="517"/>
      <c r="AB65" s="517"/>
      <c r="AC65" s="517"/>
      <c r="AD65" s="517"/>
      <c r="AE65" s="517"/>
      <c r="AF65" s="517"/>
      <c r="AG65" s="517"/>
      <c r="AH65" s="556"/>
      <c r="AI65" s="556"/>
    </row>
    <row r="66" spans="1:35" ht="21.95" customHeight="1" thickBot="1">
      <c r="A66" s="1" t="s">
        <v>541</v>
      </c>
      <c r="D66" s="361"/>
      <c r="E66" s="361"/>
      <c r="F66" s="361"/>
      <c r="G66" s="546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35" ht="21.95" customHeight="1">
      <c r="A67" s="1"/>
      <c r="B67" s="23" t="s">
        <v>542</v>
      </c>
      <c r="C67" s="7"/>
      <c r="D67" s="522" t="s">
        <v>2</v>
      </c>
      <c r="E67" s="51"/>
      <c r="F67" s="548"/>
      <c r="G67" s="7"/>
      <c r="H67" s="522" t="s">
        <v>3</v>
      </c>
      <c r="I67" s="51"/>
      <c r="J67" s="548"/>
      <c r="K67" s="7"/>
      <c r="L67" s="522" t="s">
        <v>4</v>
      </c>
      <c r="M67" s="51"/>
      <c r="N67" s="548"/>
      <c r="O67" s="7"/>
      <c r="P67" s="522" t="s">
        <v>5</v>
      </c>
      <c r="Q67" s="51"/>
      <c r="R67" s="548"/>
      <c r="S67" s="7"/>
      <c r="T67" s="522" t="s">
        <v>6</v>
      </c>
      <c r="U67" s="51"/>
      <c r="V67" s="548"/>
      <c r="W67" s="27"/>
      <c r="X67" s="713" t="s">
        <v>7</v>
      </c>
      <c r="Y67" s="519"/>
      <c r="Z67" s="238"/>
      <c r="AA67" s="7"/>
      <c r="AB67" s="522" t="s">
        <v>8</v>
      </c>
      <c r="AC67" s="51"/>
      <c r="AD67" s="51"/>
      <c r="AE67" s="349" t="s">
        <v>9</v>
      </c>
      <c r="AF67" s="51"/>
      <c r="AG67" s="51"/>
      <c r="AH67" s="51"/>
      <c r="AI67" s="523"/>
    </row>
    <row r="68" spans="1:35" ht="21.95" customHeight="1">
      <c r="A68" s="1"/>
      <c r="B68" s="129" t="s">
        <v>324</v>
      </c>
      <c r="C68" s="563" t="s">
        <v>735</v>
      </c>
      <c r="E68" s="157"/>
      <c r="F68" s="564"/>
      <c r="G68" s="563" t="s">
        <v>735</v>
      </c>
      <c r="H68" s="157"/>
      <c r="I68" s="157"/>
      <c r="J68" s="564"/>
      <c r="K68" s="563" t="s">
        <v>735</v>
      </c>
      <c r="L68" s="157"/>
      <c r="M68" s="157"/>
      <c r="N68" s="564"/>
      <c r="O68" s="563" t="s">
        <v>544</v>
      </c>
      <c r="P68" s="157"/>
      <c r="Q68" s="157"/>
      <c r="R68" s="564"/>
      <c r="S68" s="563" t="s">
        <v>736</v>
      </c>
      <c r="T68" s="157"/>
      <c r="U68" s="157"/>
      <c r="V68" s="565"/>
      <c r="W68" s="714"/>
      <c r="X68" s="715"/>
      <c r="Y68" s="715"/>
      <c r="Z68" s="716"/>
      <c r="AA68" s="565"/>
      <c r="AB68" s="157"/>
      <c r="AC68" s="157"/>
      <c r="AD68" s="565"/>
      <c r="AE68" s="121">
        <v>37</v>
      </c>
      <c r="AG68" s="157"/>
      <c r="AH68" s="565"/>
      <c r="AI68" s="490"/>
    </row>
    <row r="69" spans="1:35" ht="21.95" customHeight="1">
      <c r="A69" s="1"/>
      <c r="B69" s="129" t="s">
        <v>325</v>
      </c>
      <c r="C69" s="563" t="s">
        <v>546</v>
      </c>
      <c r="D69" s="157"/>
      <c r="E69" s="157"/>
      <c r="F69" s="564"/>
      <c r="G69" s="563" t="s">
        <v>546</v>
      </c>
      <c r="H69" s="157"/>
      <c r="I69" s="157"/>
      <c r="J69" s="564"/>
      <c r="K69" s="563" t="s">
        <v>546</v>
      </c>
      <c r="L69" s="157"/>
      <c r="M69" s="157"/>
      <c r="N69" s="564"/>
      <c r="O69" s="563" t="s">
        <v>547</v>
      </c>
      <c r="P69" s="157"/>
      <c r="Q69" s="157"/>
      <c r="R69" s="564"/>
      <c r="S69" s="563" t="s">
        <v>548</v>
      </c>
      <c r="T69" s="157"/>
      <c r="U69" s="157"/>
      <c r="V69" s="564"/>
      <c r="W69" s="604" t="s">
        <v>549</v>
      </c>
      <c r="X69" s="55"/>
      <c r="Y69" s="55"/>
      <c r="Z69" s="55"/>
      <c r="AA69" s="563" t="s">
        <v>550</v>
      </c>
      <c r="AB69" s="563"/>
      <c r="AC69" s="563"/>
      <c r="AD69" s="563"/>
      <c r="AE69" s="155">
        <v>68.25</v>
      </c>
      <c r="AF69" s="157"/>
      <c r="AG69" s="567"/>
      <c r="AH69" s="568"/>
      <c r="AI69" s="569"/>
    </row>
    <row r="70" spans="1:35" ht="21.95" customHeight="1">
      <c r="A70" s="1"/>
      <c r="B70" s="129" t="s">
        <v>326</v>
      </c>
      <c r="C70" s="712" t="s">
        <v>167</v>
      </c>
      <c r="D70" s="157"/>
      <c r="E70" s="157"/>
      <c r="F70" s="564"/>
      <c r="G70" s="157" t="s">
        <v>167</v>
      </c>
      <c r="H70" s="157"/>
      <c r="I70" s="157"/>
      <c r="J70" s="564"/>
      <c r="K70" s="157" t="s">
        <v>167</v>
      </c>
      <c r="L70" s="157"/>
      <c r="M70" s="157"/>
      <c r="N70" s="564"/>
      <c r="O70" s="157" t="s">
        <v>167</v>
      </c>
      <c r="P70" s="157"/>
      <c r="Q70" s="157"/>
      <c r="R70" s="564"/>
      <c r="S70" s="157" t="s">
        <v>167</v>
      </c>
      <c r="T70" s="157"/>
      <c r="U70" s="157"/>
      <c r="V70" s="564"/>
      <c r="W70" s="563"/>
      <c r="X70" s="157"/>
      <c r="Y70" s="157"/>
      <c r="Z70" s="564"/>
      <c r="AA70" s="563"/>
      <c r="AB70" s="157"/>
      <c r="AC70" s="157"/>
      <c r="AD70" s="565"/>
      <c r="AE70" s="566">
        <v>0</v>
      </c>
      <c r="AF70" s="567"/>
      <c r="AG70" s="157"/>
      <c r="AH70" s="565"/>
      <c r="AI70" s="490"/>
    </row>
    <row r="71" spans="1:35" ht="21.95" customHeight="1" thickBot="1">
      <c r="A71" s="1"/>
      <c r="B71" s="47"/>
      <c r="C71" s="570"/>
      <c r="D71" s="53"/>
      <c r="E71" s="53"/>
      <c r="F71" s="571"/>
      <c r="G71" s="570"/>
      <c r="H71" s="53"/>
      <c r="I71" s="53"/>
      <c r="J71" s="571"/>
      <c r="K71" s="570"/>
      <c r="L71" s="53"/>
      <c r="M71" s="53"/>
      <c r="N71" s="571"/>
      <c r="O71" s="570"/>
      <c r="P71" s="53"/>
      <c r="Q71" s="53"/>
      <c r="R71" s="571"/>
      <c r="S71" s="570"/>
      <c r="T71" s="53"/>
      <c r="U71" s="53"/>
      <c r="V71" s="571"/>
      <c r="W71" s="53"/>
      <c r="X71" s="53"/>
      <c r="Y71" s="53"/>
      <c r="Z71" s="53"/>
      <c r="AA71" s="53"/>
      <c r="AB71" s="53"/>
      <c r="AC71" s="53"/>
      <c r="AD71" s="53"/>
      <c r="AE71" s="572"/>
      <c r="AF71" s="53"/>
      <c r="AG71" s="53"/>
      <c r="AH71" s="573"/>
      <c r="AI71" s="536"/>
    </row>
    <row r="72" spans="1:35" ht="21.95" customHeight="1" thickBot="1">
      <c r="A72" s="574"/>
      <c r="B72" s="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</row>
    <row r="73" spans="1:35" ht="21.95" customHeight="1" thickBot="1">
      <c r="A73" s="1100"/>
      <c r="B73" s="1101" t="s">
        <v>476</v>
      </c>
      <c r="C73" s="867">
        <v>1</v>
      </c>
      <c r="D73" s="1102">
        <v>2</v>
      </c>
      <c r="E73" s="1102">
        <v>3</v>
      </c>
      <c r="F73" s="867">
        <v>4</v>
      </c>
      <c r="G73" s="867">
        <v>5</v>
      </c>
      <c r="H73" s="867">
        <v>6</v>
      </c>
      <c r="I73" s="867">
        <v>7</v>
      </c>
      <c r="J73" s="867">
        <v>8</v>
      </c>
      <c r="K73" s="1102">
        <v>9</v>
      </c>
      <c r="L73" s="1102">
        <v>10</v>
      </c>
      <c r="M73" s="867">
        <v>11</v>
      </c>
      <c r="N73" s="867">
        <v>12</v>
      </c>
      <c r="O73" s="867">
        <v>13</v>
      </c>
      <c r="P73" s="867">
        <v>14</v>
      </c>
      <c r="Q73" s="867">
        <v>15</v>
      </c>
      <c r="R73" s="1102">
        <v>16</v>
      </c>
      <c r="S73" s="1102">
        <v>17</v>
      </c>
      <c r="T73" s="867">
        <v>18</v>
      </c>
      <c r="U73" s="867">
        <v>19</v>
      </c>
      <c r="V73" s="867">
        <v>20</v>
      </c>
      <c r="W73" s="867">
        <v>21</v>
      </c>
      <c r="X73" s="867">
        <v>22</v>
      </c>
      <c r="Y73" s="1102">
        <v>23</v>
      </c>
      <c r="Z73" s="1102">
        <v>24</v>
      </c>
      <c r="AA73" s="867">
        <v>25</v>
      </c>
      <c r="AB73" s="867">
        <v>26</v>
      </c>
      <c r="AC73" s="867">
        <v>27</v>
      </c>
      <c r="AD73" s="867">
        <v>28</v>
      </c>
      <c r="AE73" s="867">
        <v>29</v>
      </c>
      <c r="AF73" s="1102">
        <v>30</v>
      </c>
      <c r="AG73" s="1103">
        <v>31</v>
      </c>
      <c r="AH73" s="864" t="s">
        <v>477</v>
      </c>
      <c r="AI73" s="865" t="s">
        <v>478</v>
      </c>
    </row>
    <row r="74" spans="1:35" ht="21.95" customHeight="1">
      <c r="A74" s="1116">
        <v>1</v>
      </c>
      <c r="B74" s="836" t="s">
        <v>551</v>
      </c>
      <c r="C74" s="1127" t="s">
        <v>552</v>
      </c>
      <c r="D74" s="871"/>
      <c r="E74" s="871"/>
      <c r="F74" s="871" t="s">
        <v>553</v>
      </c>
      <c r="G74" s="871" t="s">
        <v>553</v>
      </c>
      <c r="H74" s="871" t="s">
        <v>553</v>
      </c>
      <c r="I74" s="871" t="s">
        <v>554</v>
      </c>
      <c r="J74" s="871" t="s">
        <v>554</v>
      </c>
      <c r="K74" s="871" t="s">
        <v>555</v>
      </c>
      <c r="L74" s="871" t="s">
        <v>555</v>
      </c>
      <c r="M74" s="871" t="s">
        <v>481</v>
      </c>
      <c r="N74" s="871" t="s">
        <v>481</v>
      </c>
      <c r="O74" s="871" t="s">
        <v>481</v>
      </c>
      <c r="P74" s="871" t="s">
        <v>481</v>
      </c>
      <c r="Q74" s="871" t="s">
        <v>481</v>
      </c>
      <c r="R74" s="871"/>
      <c r="S74" s="871"/>
      <c r="T74" s="976" t="s">
        <v>552</v>
      </c>
      <c r="U74" s="976" t="s">
        <v>552</v>
      </c>
      <c r="V74" s="976" t="s">
        <v>552</v>
      </c>
      <c r="W74" s="976" t="s">
        <v>552</v>
      </c>
      <c r="X74" s="1058" t="s">
        <v>552</v>
      </c>
      <c r="Y74" s="976"/>
      <c r="Z74" s="976"/>
      <c r="AA74" s="976" t="s">
        <v>553</v>
      </c>
      <c r="AB74" s="976" t="s">
        <v>553</v>
      </c>
      <c r="AC74" s="976" t="s">
        <v>553</v>
      </c>
      <c r="AD74" s="976" t="s">
        <v>554</v>
      </c>
      <c r="AE74" s="976" t="s">
        <v>554</v>
      </c>
      <c r="AF74" s="976" t="s">
        <v>555</v>
      </c>
      <c r="AG74" s="976" t="s">
        <v>555</v>
      </c>
      <c r="AH74" s="510">
        <v>19.5</v>
      </c>
      <c r="AI74" s="511">
        <v>37</v>
      </c>
    </row>
    <row r="75" spans="1:35" ht="21.95" customHeight="1">
      <c r="A75" s="1117">
        <v>2</v>
      </c>
      <c r="B75" s="542" t="s">
        <v>556</v>
      </c>
      <c r="C75" s="762" t="s">
        <v>554</v>
      </c>
      <c r="D75" s="762" t="s">
        <v>555</v>
      </c>
      <c r="E75" s="978" t="s">
        <v>555</v>
      </c>
      <c r="F75" s="762" t="s">
        <v>481</v>
      </c>
      <c r="G75" s="762" t="s">
        <v>481</v>
      </c>
      <c r="H75" s="762" t="s">
        <v>481</v>
      </c>
      <c r="I75" s="762" t="s">
        <v>481</v>
      </c>
      <c r="J75" s="762" t="s">
        <v>481</v>
      </c>
      <c r="K75" s="762"/>
      <c r="L75" s="762"/>
      <c r="M75" s="966" t="s">
        <v>552</v>
      </c>
      <c r="N75" s="966" t="s">
        <v>552</v>
      </c>
      <c r="O75" s="966" t="s">
        <v>552</v>
      </c>
      <c r="P75" s="966" t="s">
        <v>552</v>
      </c>
      <c r="Q75" s="966" t="s">
        <v>552</v>
      </c>
      <c r="R75" s="966"/>
      <c r="S75" s="966"/>
      <c r="T75" s="966" t="s">
        <v>553</v>
      </c>
      <c r="U75" s="966" t="s">
        <v>553</v>
      </c>
      <c r="V75" s="966" t="s">
        <v>553</v>
      </c>
      <c r="W75" s="966" t="s">
        <v>554</v>
      </c>
      <c r="X75" s="966" t="s">
        <v>554</v>
      </c>
      <c r="Y75" s="966" t="s">
        <v>555</v>
      </c>
      <c r="Z75" s="966" t="s">
        <v>555</v>
      </c>
      <c r="AA75" s="966" t="s">
        <v>481</v>
      </c>
      <c r="AB75" s="966" t="s">
        <v>481</v>
      </c>
      <c r="AC75" s="966" t="s">
        <v>481</v>
      </c>
      <c r="AD75" s="966" t="s">
        <v>481</v>
      </c>
      <c r="AE75" s="966" t="s">
        <v>481</v>
      </c>
      <c r="AF75" s="966"/>
      <c r="AG75" s="966"/>
      <c r="AH75" s="924">
        <v>82</v>
      </c>
      <c r="AI75" s="925">
        <v>37</v>
      </c>
    </row>
    <row r="76" spans="1:35" ht="21.95" customHeight="1" thickBot="1">
      <c r="A76" s="1121">
        <v>3</v>
      </c>
      <c r="B76" s="874" t="s">
        <v>558</v>
      </c>
      <c r="C76" s="875" t="s">
        <v>481</v>
      </c>
      <c r="D76" s="875"/>
      <c r="E76" s="875"/>
      <c r="F76" s="990" t="s">
        <v>552</v>
      </c>
      <c r="G76" s="990" t="s">
        <v>552</v>
      </c>
      <c r="H76" s="990" t="s">
        <v>552</v>
      </c>
      <c r="I76" s="990" t="s">
        <v>552</v>
      </c>
      <c r="J76" s="990" t="s">
        <v>552</v>
      </c>
      <c r="K76" s="875"/>
      <c r="L76" s="875"/>
      <c r="M76" s="875" t="s">
        <v>553</v>
      </c>
      <c r="N76" s="875" t="s">
        <v>553</v>
      </c>
      <c r="O76" s="875" t="s">
        <v>553</v>
      </c>
      <c r="P76" s="875" t="s">
        <v>554</v>
      </c>
      <c r="Q76" s="875" t="s">
        <v>554</v>
      </c>
      <c r="R76" s="875" t="s">
        <v>555</v>
      </c>
      <c r="S76" s="875" t="s">
        <v>555</v>
      </c>
      <c r="T76" s="875" t="s">
        <v>481</v>
      </c>
      <c r="U76" s="875" t="s">
        <v>481</v>
      </c>
      <c r="V76" s="875" t="s">
        <v>481</v>
      </c>
      <c r="W76" s="875" t="s">
        <v>481</v>
      </c>
      <c r="X76" s="875" t="s">
        <v>481</v>
      </c>
      <c r="Y76" s="875"/>
      <c r="Z76" s="875"/>
      <c r="AA76" s="875" t="s">
        <v>611</v>
      </c>
      <c r="AB76" s="875" t="s">
        <v>611</v>
      </c>
      <c r="AC76" s="875" t="s">
        <v>611</v>
      </c>
      <c r="AD76" s="875" t="s">
        <v>611</v>
      </c>
      <c r="AE76" s="875" t="s">
        <v>611</v>
      </c>
      <c r="AF76" s="875"/>
      <c r="AG76" s="875"/>
      <c r="AH76" s="868">
        <v>107.75</v>
      </c>
      <c r="AI76" s="869">
        <v>37</v>
      </c>
    </row>
    <row r="77" spans="1:35" ht="21.95" customHeight="1"/>
    <row r="78" spans="1:35" ht="21.95" customHeight="1" thickBot="1">
      <c r="A78" s="312" t="s">
        <v>559</v>
      </c>
      <c r="C78" s="555"/>
      <c r="D78" s="555"/>
      <c r="E78" s="555"/>
      <c r="F78" s="555"/>
      <c r="G78" s="555"/>
      <c r="H78" s="555"/>
      <c r="I78" s="555"/>
      <c r="J78" s="555"/>
      <c r="K78" s="555"/>
      <c r="L78" s="555"/>
      <c r="M78" s="555"/>
      <c r="N78" s="555"/>
      <c r="O78" s="555"/>
      <c r="P78" s="555"/>
      <c r="Q78" s="555"/>
      <c r="R78" s="555"/>
      <c r="S78" s="555"/>
      <c r="T78" s="555"/>
      <c r="U78" s="555"/>
      <c r="V78" s="555"/>
      <c r="W78" s="555"/>
      <c r="X78" s="555"/>
      <c r="Y78" s="555"/>
      <c r="Z78" s="555"/>
      <c r="AA78" s="555"/>
      <c r="AB78" s="555"/>
      <c r="AC78" s="555"/>
      <c r="AD78" s="555"/>
      <c r="AE78" s="555"/>
      <c r="AF78" s="555"/>
      <c r="AH78" s="556"/>
      <c r="AI78" s="556"/>
    </row>
    <row r="79" spans="1:35" ht="21.95" customHeight="1">
      <c r="A79" s="576"/>
      <c r="B79" s="23" t="s">
        <v>542</v>
      </c>
      <c r="C79" s="7"/>
      <c r="D79" s="522" t="s">
        <v>2</v>
      </c>
      <c r="E79" s="51"/>
      <c r="F79" s="548"/>
      <c r="G79" s="7"/>
      <c r="H79" s="522" t="s">
        <v>3</v>
      </c>
      <c r="I79" s="51"/>
      <c r="J79" s="548"/>
      <c r="K79" s="7"/>
      <c r="L79" s="522" t="s">
        <v>4</v>
      </c>
      <c r="M79" s="51"/>
      <c r="N79" s="548"/>
      <c r="O79" s="7"/>
      <c r="P79" s="522" t="s">
        <v>5</v>
      </c>
      <c r="Q79" s="51"/>
      <c r="R79" s="548"/>
      <c r="S79" s="7"/>
      <c r="T79" s="522" t="s">
        <v>6</v>
      </c>
      <c r="U79" s="51"/>
      <c r="V79" s="548"/>
      <c r="W79" s="27"/>
      <c r="X79" s="713" t="s">
        <v>7</v>
      </c>
      <c r="Y79" s="519"/>
      <c r="Z79" s="238"/>
      <c r="AA79" s="7"/>
      <c r="AB79" s="522" t="s">
        <v>8</v>
      </c>
      <c r="AC79" s="51"/>
      <c r="AD79" s="51"/>
      <c r="AE79" s="349" t="s">
        <v>9</v>
      </c>
      <c r="AF79" s="51"/>
      <c r="AG79" s="51"/>
      <c r="AH79" s="51"/>
      <c r="AI79" s="523"/>
    </row>
    <row r="80" spans="1:35" ht="21.95" customHeight="1">
      <c r="B80" s="129" t="s">
        <v>324</v>
      </c>
      <c r="C80" s="589" t="s">
        <v>560</v>
      </c>
      <c r="E80" s="157"/>
      <c r="F80" s="564"/>
      <c r="G80" s="563" t="s">
        <v>561</v>
      </c>
      <c r="H80" s="483" t="s">
        <v>562</v>
      </c>
      <c r="I80" s="157"/>
      <c r="J80" s="564"/>
      <c r="K80" s="589" t="s">
        <v>560</v>
      </c>
      <c r="L80" s="483"/>
      <c r="M80" s="483"/>
      <c r="N80" s="588"/>
      <c r="O80" s="589" t="s">
        <v>563</v>
      </c>
      <c r="P80" s="483"/>
      <c r="Q80" s="483"/>
      <c r="R80" s="588"/>
      <c r="S80" s="589" t="s">
        <v>738</v>
      </c>
      <c r="T80" s="483"/>
      <c r="U80" s="483"/>
      <c r="V80" s="477"/>
      <c r="W80" s="714"/>
      <c r="X80" s="715"/>
      <c r="Y80" s="715"/>
      <c r="Z80" s="716"/>
      <c r="AA80" s="565"/>
      <c r="AB80" s="157"/>
      <c r="AC80" s="157"/>
      <c r="AD80" s="565"/>
      <c r="AE80" s="121">
        <v>37</v>
      </c>
      <c r="AG80" s="157"/>
      <c r="AH80" s="565"/>
      <c r="AI80" s="490"/>
    </row>
    <row r="81" spans="1:35" ht="21.95" customHeight="1">
      <c r="B81" s="129" t="s">
        <v>325</v>
      </c>
      <c r="C81" s="589" t="s">
        <v>565</v>
      </c>
      <c r="E81" s="157"/>
      <c r="F81" s="564"/>
      <c r="G81" s="589" t="s">
        <v>565</v>
      </c>
      <c r="I81" s="157"/>
      <c r="J81" s="564"/>
      <c r="K81" s="589" t="s">
        <v>565</v>
      </c>
      <c r="L81" s="157"/>
      <c r="M81" s="157"/>
      <c r="N81" s="564"/>
      <c r="O81" s="589" t="s">
        <v>566</v>
      </c>
      <c r="P81" s="157"/>
      <c r="Q81" s="157"/>
      <c r="R81" s="564"/>
      <c r="S81" s="563" t="s">
        <v>567</v>
      </c>
      <c r="T81" s="157"/>
      <c r="U81" s="157"/>
      <c r="V81" s="564"/>
      <c r="W81" s="604" t="s">
        <v>291</v>
      </c>
      <c r="X81" s="55"/>
      <c r="Y81" s="55"/>
      <c r="Z81" s="55"/>
      <c r="AA81" s="563" t="s">
        <v>28</v>
      </c>
      <c r="AB81" s="563"/>
      <c r="AC81" s="563"/>
      <c r="AD81" s="563"/>
      <c r="AE81" s="155">
        <v>37</v>
      </c>
      <c r="AF81" s="157"/>
      <c r="AG81" s="567"/>
      <c r="AH81" s="568"/>
      <c r="AI81" s="569"/>
    </row>
    <row r="82" spans="1:35" ht="21.95" customHeight="1">
      <c r="B82" s="129" t="s">
        <v>326</v>
      </c>
      <c r="C82" s="834" t="s">
        <v>568</v>
      </c>
      <c r="D82" s="157"/>
      <c r="E82" s="157"/>
      <c r="F82" s="564"/>
      <c r="G82" s="157" t="s">
        <v>569</v>
      </c>
      <c r="H82" s="157"/>
      <c r="I82" s="157"/>
      <c r="J82" s="564"/>
      <c r="K82" s="835" t="s">
        <v>570</v>
      </c>
      <c r="L82" s="157"/>
      <c r="M82" s="157"/>
      <c r="N82" s="564"/>
      <c r="O82" s="835" t="s">
        <v>571</v>
      </c>
      <c r="P82" s="157"/>
      <c r="Q82" s="157"/>
      <c r="R82" s="564"/>
      <c r="S82" s="835" t="s">
        <v>571</v>
      </c>
      <c r="T82" s="157"/>
      <c r="U82" s="157"/>
      <c r="V82" s="564"/>
      <c r="W82" s="563"/>
      <c r="X82" s="157"/>
      <c r="Y82" s="157"/>
      <c r="Z82" s="564"/>
      <c r="AA82" s="563"/>
      <c r="AB82" s="157"/>
      <c r="AC82" s="157"/>
      <c r="AD82" s="565"/>
      <c r="AE82" s="566">
        <v>36</v>
      </c>
      <c r="AF82" s="567"/>
      <c r="AG82" s="157"/>
      <c r="AH82" s="565"/>
      <c r="AI82" s="490"/>
    </row>
    <row r="83" spans="1:35" ht="21.95" customHeight="1" thickBot="1">
      <c r="B83" s="47"/>
      <c r="C83" s="570"/>
      <c r="D83" s="53"/>
      <c r="E83" s="53"/>
      <c r="F83" s="571"/>
      <c r="G83" s="570"/>
      <c r="H83" s="53"/>
      <c r="I83" s="53"/>
      <c r="J83" s="571"/>
      <c r="K83" s="570"/>
      <c r="L83" s="53"/>
      <c r="M83" s="53"/>
      <c r="N83" s="571"/>
      <c r="O83" s="570"/>
      <c r="P83" s="53"/>
      <c r="Q83" s="53"/>
      <c r="R83" s="571"/>
      <c r="S83" s="570"/>
      <c r="T83" s="53"/>
      <c r="U83" s="53"/>
      <c r="V83" s="571"/>
      <c r="W83" s="53"/>
      <c r="X83" s="53"/>
      <c r="Y83" s="53"/>
      <c r="Z83" s="53"/>
      <c r="AA83" s="53"/>
      <c r="AB83" s="53"/>
      <c r="AC83" s="53"/>
      <c r="AD83" s="53"/>
      <c r="AE83" s="572"/>
      <c r="AF83" s="53"/>
      <c r="AG83" s="53"/>
      <c r="AH83" s="573"/>
      <c r="AI83" s="536"/>
    </row>
    <row r="84" spans="1:35" ht="21.95" customHeight="1" thickBot="1"/>
    <row r="85" spans="1:35" ht="21.95" customHeight="1" thickBot="1">
      <c r="A85" s="1100"/>
      <c r="B85" s="1101" t="s">
        <v>476</v>
      </c>
      <c r="C85" s="867">
        <v>1</v>
      </c>
      <c r="D85" s="1102">
        <v>2</v>
      </c>
      <c r="E85" s="1102">
        <v>3</v>
      </c>
      <c r="F85" s="867">
        <v>4</v>
      </c>
      <c r="G85" s="867">
        <v>5</v>
      </c>
      <c r="H85" s="867">
        <v>6</v>
      </c>
      <c r="I85" s="867">
        <v>7</v>
      </c>
      <c r="J85" s="867">
        <v>8</v>
      </c>
      <c r="K85" s="1102">
        <v>9</v>
      </c>
      <c r="L85" s="1102">
        <v>10</v>
      </c>
      <c r="M85" s="867">
        <v>11</v>
      </c>
      <c r="N85" s="867">
        <v>12</v>
      </c>
      <c r="O85" s="867">
        <v>13</v>
      </c>
      <c r="P85" s="867">
        <v>14</v>
      </c>
      <c r="Q85" s="867">
        <v>15</v>
      </c>
      <c r="R85" s="1102">
        <v>16</v>
      </c>
      <c r="S85" s="1102">
        <v>17</v>
      </c>
      <c r="T85" s="867">
        <v>18</v>
      </c>
      <c r="U85" s="867">
        <v>19</v>
      </c>
      <c r="V85" s="867">
        <v>20</v>
      </c>
      <c r="W85" s="867">
        <v>21</v>
      </c>
      <c r="X85" s="867">
        <v>22</v>
      </c>
      <c r="Y85" s="1102">
        <v>23</v>
      </c>
      <c r="Z85" s="1102">
        <v>24</v>
      </c>
      <c r="AA85" s="867">
        <v>25</v>
      </c>
      <c r="AB85" s="867">
        <v>26</v>
      </c>
      <c r="AC85" s="867">
        <v>27</v>
      </c>
      <c r="AD85" s="867">
        <v>28</v>
      </c>
      <c r="AE85" s="867">
        <v>29</v>
      </c>
      <c r="AF85" s="1102">
        <v>30</v>
      </c>
      <c r="AG85" s="1103">
        <v>31</v>
      </c>
      <c r="AH85" s="864" t="s">
        <v>477</v>
      </c>
      <c r="AI85" s="865" t="s">
        <v>478</v>
      </c>
    </row>
    <row r="86" spans="1:35" ht="21.95" customHeight="1">
      <c r="A86" s="1116">
        <v>1</v>
      </c>
      <c r="B86" s="1118" t="s">
        <v>572</v>
      </c>
      <c r="C86" s="871" t="s">
        <v>561</v>
      </c>
      <c r="D86" s="871"/>
      <c r="E86" s="871"/>
      <c r="F86" s="871" t="s">
        <v>573</v>
      </c>
      <c r="G86" s="871" t="s">
        <v>573</v>
      </c>
      <c r="H86" s="871" t="s">
        <v>573</v>
      </c>
      <c r="I86" s="871" t="s">
        <v>573</v>
      </c>
      <c r="J86" s="871" t="s">
        <v>573</v>
      </c>
      <c r="K86" s="871"/>
      <c r="L86" s="871"/>
      <c r="M86" s="976" t="s">
        <v>554</v>
      </c>
      <c r="N86" s="976" t="s">
        <v>554</v>
      </c>
      <c r="O86" s="976" t="s">
        <v>554</v>
      </c>
      <c r="P86" s="976" t="s">
        <v>553</v>
      </c>
      <c r="Q86" s="976" t="s">
        <v>553</v>
      </c>
      <c r="R86" s="976"/>
      <c r="S86" s="976"/>
      <c r="T86" s="976" t="s">
        <v>561</v>
      </c>
      <c r="U86" s="976" t="s">
        <v>561</v>
      </c>
      <c r="V86" s="976" t="s">
        <v>561</v>
      </c>
      <c r="W86" s="976" t="s">
        <v>561</v>
      </c>
      <c r="X86" s="976" t="s">
        <v>561</v>
      </c>
      <c r="Y86" s="976"/>
      <c r="Z86" s="976"/>
      <c r="AA86" s="976" t="s">
        <v>573</v>
      </c>
      <c r="AB86" s="976" t="s">
        <v>573</v>
      </c>
      <c r="AC86" s="976" t="s">
        <v>573</v>
      </c>
      <c r="AD86" s="976" t="s">
        <v>573</v>
      </c>
      <c r="AE86" s="976" t="s">
        <v>573</v>
      </c>
      <c r="AF86" s="976"/>
      <c r="AG86" s="976"/>
      <c r="AH86" s="510">
        <v>130.5</v>
      </c>
      <c r="AI86" s="511">
        <v>37</v>
      </c>
    </row>
    <row r="87" spans="1:35" ht="21.95" customHeight="1" thickBot="1">
      <c r="A87" s="1117">
        <v>2</v>
      </c>
      <c r="B87" s="1119" t="s">
        <v>574</v>
      </c>
      <c r="C87" s="990" t="s">
        <v>573</v>
      </c>
      <c r="D87" s="762"/>
      <c r="E87" s="762"/>
      <c r="F87" s="990" t="s">
        <v>554</v>
      </c>
      <c r="G87" s="990" t="s">
        <v>554</v>
      </c>
      <c r="H87" s="990" t="s">
        <v>554</v>
      </c>
      <c r="I87" s="990" t="s">
        <v>553</v>
      </c>
      <c r="J87" s="990" t="s">
        <v>553</v>
      </c>
      <c r="K87" s="966"/>
      <c r="L87" s="966"/>
      <c r="M87" s="966" t="s">
        <v>561</v>
      </c>
      <c r="N87" s="966" t="s">
        <v>561</v>
      </c>
      <c r="O87" s="966" t="s">
        <v>561</v>
      </c>
      <c r="P87" s="966" t="s">
        <v>561</v>
      </c>
      <c r="Q87" s="966" t="s">
        <v>561</v>
      </c>
      <c r="R87" s="966"/>
      <c r="S87" s="966"/>
      <c r="T87" s="990" t="s">
        <v>573</v>
      </c>
      <c r="U87" s="990" t="s">
        <v>573</v>
      </c>
      <c r="V87" s="990" t="s">
        <v>573</v>
      </c>
      <c r="W87" s="990" t="s">
        <v>573</v>
      </c>
      <c r="X87" s="990" t="s">
        <v>573</v>
      </c>
      <c r="Y87" s="966"/>
      <c r="Z87" s="966"/>
      <c r="AA87" s="875" t="s">
        <v>554</v>
      </c>
      <c r="AB87" s="875" t="s">
        <v>554</v>
      </c>
      <c r="AC87" s="875" t="s">
        <v>554</v>
      </c>
      <c r="AD87" s="875" t="s">
        <v>553</v>
      </c>
      <c r="AE87" s="875" t="s">
        <v>553</v>
      </c>
      <c r="AF87" s="875"/>
      <c r="AG87" s="762"/>
      <c r="AH87" s="924">
        <v>122.25</v>
      </c>
      <c r="AI87" s="925">
        <v>37</v>
      </c>
    </row>
    <row r="88" spans="1:35" ht="21.95" customHeight="1" thickBot="1">
      <c r="A88" s="1120">
        <v>3</v>
      </c>
      <c r="B88" s="878" t="s">
        <v>575</v>
      </c>
      <c r="C88" s="875" t="s">
        <v>553</v>
      </c>
      <c r="D88" s="875"/>
      <c r="E88" s="875"/>
      <c r="F88" s="875" t="s">
        <v>561</v>
      </c>
      <c r="G88" s="875" t="s">
        <v>561</v>
      </c>
      <c r="H88" s="875" t="s">
        <v>561</v>
      </c>
      <c r="I88" s="875" t="s">
        <v>561</v>
      </c>
      <c r="J88" s="875" t="s">
        <v>561</v>
      </c>
      <c r="K88" s="875"/>
      <c r="L88" s="875"/>
      <c r="M88" s="1134" t="s">
        <v>600</v>
      </c>
      <c r="N88" s="875" t="s">
        <v>573</v>
      </c>
      <c r="O88" s="875" t="s">
        <v>573</v>
      </c>
      <c r="P88" s="875" t="s">
        <v>573</v>
      </c>
      <c r="Q88" s="875" t="s">
        <v>573</v>
      </c>
      <c r="R88" s="875"/>
      <c r="S88" s="875"/>
      <c r="T88" s="875" t="s">
        <v>554</v>
      </c>
      <c r="U88" s="875" t="s">
        <v>554</v>
      </c>
      <c r="V88" s="875" t="s">
        <v>554</v>
      </c>
      <c r="W88" s="875" t="s">
        <v>553</v>
      </c>
      <c r="X88" s="875" t="s">
        <v>553</v>
      </c>
      <c r="Y88" s="875"/>
      <c r="Z88" s="875"/>
      <c r="AA88" s="875" t="s">
        <v>561</v>
      </c>
      <c r="AB88" s="875" t="s">
        <v>561</v>
      </c>
      <c r="AC88" s="875" t="s">
        <v>606</v>
      </c>
      <c r="AD88" s="875" t="s">
        <v>606</v>
      </c>
      <c r="AE88" s="875" t="s">
        <v>606</v>
      </c>
      <c r="AF88" s="875"/>
      <c r="AG88" s="875"/>
      <c r="AH88" s="868">
        <v>128.69999999999999</v>
      </c>
      <c r="AI88" s="869">
        <v>37</v>
      </c>
    </row>
    <row r="89" spans="1:35" ht="21.95" customHeight="1">
      <c r="A89" s="576"/>
      <c r="B89" s="583"/>
      <c r="C89" s="583"/>
      <c r="D89" s="583"/>
      <c r="E89" s="583"/>
      <c r="F89" s="583"/>
      <c r="G89" s="583"/>
      <c r="H89" s="583"/>
      <c r="I89" s="555"/>
      <c r="J89" s="555"/>
      <c r="K89" s="555"/>
      <c r="L89" s="555"/>
      <c r="M89" s="555"/>
      <c r="N89" s="555"/>
      <c r="O89" s="555"/>
      <c r="P89" s="555"/>
      <c r="Q89" s="555"/>
      <c r="R89" s="555"/>
      <c r="S89" s="555"/>
      <c r="T89" s="555"/>
      <c r="U89" s="555"/>
      <c r="V89" s="555"/>
      <c r="W89" s="555"/>
      <c r="X89" s="555"/>
      <c r="Y89" s="555"/>
      <c r="Z89" s="555"/>
      <c r="AA89" s="555"/>
      <c r="AB89" s="555"/>
      <c r="AC89" s="555"/>
      <c r="AD89" s="555"/>
      <c r="AE89" s="555"/>
      <c r="AF89" s="555"/>
      <c r="AH89" s="556"/>
      <c r="AI89" s="556"/>
    </row>
    <row r="90" spans="1:35" ht="21.95" customHeight="1">
      <c r="A90" s="576"/>
      <c r="B90" s="583"/>
      <c r="C90" s="555"/>
      <c r="D90" s="555"/>
      <c r="E90" s="555"/>
      <c r="F90" s="555"/>
      <c r="G90" s="555"/>
      <c r="H90" s="555"/>
      <c r="I90" s="555"/>
      <c r="J90" s="555"/>
      <c r="K90" s="555"/>
      <c r="L90" s="555"/>
      <c r="M90" s="555"/>
      <c r="N90" s="555"/>
      <c r="O90" s="555"/>
      <c r="P90" s="555"/>
      <c r="Q90" s="555"/>
      <c r="R90" s="555"/>
      <c r="S90" s="555"/>
      <c r="T90" s="555"/>
      <c r="U90" s="555"/>
      <c r="V90" s="555"/>
      <c r="W90" s="555"/>
      <c r="X90" s="555"/>
      <c r="Y90" s="555"/>
      <c r="Z90" s="555"/>
      <c r="AA90" s="555"/>
      <c r="AB90" s="555"/>
      <c r="AC90" s="555"/>
      <c r="AD90" s="555"/>
      <c r="AE90" s="555"/>
      <c r="AF90" s="555"/>
      <c r="AG90" s="555"/>
      <c r="AH90" s="556"/>
      <c r="AI90" s="556"/>
    </row>
    <row r="91" spans="1:35" ht="21.95" customHeight="1" thickBot="1">
      <c r="A91" s="1" t="s">
        <v>576</v>
      </c>
      <c r="D91" s="361"/>
      <c r="E91" s="361"/>
      <c r="F91" s="361"/>
      <c r="G91" s="546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5" ht="21.95" customHeight="1">
      <c r="A92" s="1"/>
      <c r="B92" s="23" t="s">
        <v>577</v>
      </c>
      <c r="C92" s="7"/>
      <c r="D92" s="522" t="s">
        <v>2</v>
      </c>
      <c r="E92" s="51"/>
      <c r="F92" s="548"/>
      <c r="G92" s="7"/>
      <c r="H92" s="522" t="s">
        <v>3</v>
      </c>
      <c r="I92" s="51"/>
      <c r="J92" s="548"/>
      <c r="K92" s="7"/>
      <c r="L92" s="522" t="s">
        <v>4</v>
      </c>
      <c r="M92" s="51"/>
      <c r="N92" s="548"/>
      <c r="O92" s="7"/>
      <c r="P92" s="522" t="s">
        <v>5</v>
      </c>
      <c r="Q92" s="51"/>
      <c r="R92" s="548"/>
      <c r="S92" s="7"/>
      <c r="T92" s="522" t="s">
        <v>6</v>
      </c>
      <c r="U92" s="51"/>
      <c r="V92" s="548"/>
      <c r="W92" s="7"/>
      <c r="X92" s="522" t="s">
        <v>7</v>
      </c>
      <c r="Y92" s="51"/>
      <c r="Z92" s="548"/>
      <c r="AA92" s="7"/>
      <c r="AB92" s="522" t="s">
        <v>8</v>
      </c>
      <c r="AC92" s="51"/>
      <c r="AD92" s="51"/>
      <c r="AE92" s="425" t="s">
        <v>10</v>
      </c>
      <c r="AF92" s="51"/>
      <c r="AG92" s="51"/>
      <c r="AH92" s="51"/>
      <c r="AI92" s="523"/>
    </row>
    <row r="93" spans="1:35" ht="21.95" customHeight="1">
      <c r="A93" s="1"/>
      <c r="B93" s="129" t="s">
        <v>324</v>
      </c>
      <c r="C93" s="121" t="s">
        <v>578</v>
      </c>
      <c r="D93" s="157"/>
      <c r="E93" s="157"/>
      <c r="F93" s="564"/>
      <c r="G93" s="121" t="s">
        <v>578</v>
      </c>
      <c r="H93" s="157"/>
      <c r="I93" s="157"/>
      <c r="J93" s="564"/>
      <c r="K93" s="121" t="s">
        <v>578</v>
      </c>
      <c r="L93" s="157"/>
      <c r="M93" s="157"/>
      <c r="N93" s="564"/>
      <c r="O93" s="121" t="s">
        <v>579</v>
      </c>
      <c r="P93" s="157"/>
      <c r="Q93" s="157"/>
      <c r="R93" s="564"/>
      <c r="S93" s="121" t="s">
        <v>167</v>
      </c>
      <c r="T93" s="157"/>
      <c r="U93" s="157"/>
      <c r="V93" s="564"/>
      <c r="W93" s="795"/>
      <c r="X93" s="577"/>
      <c r="Y93" s="577"/>
      <c r="Z93" s="578"/>
      <c r="AA93" s="563"/>
      <c r="AB93" s="157"/>
      <c r="AC93" s="157"/>
      <c r="AD93" s="565"/>
      <c r="AE93" s="128">
        <v>27</v>
      </c>
      <c r="AF93" s="157"/>
      <c r="AG93" s="157" t="s">
        <v>28</v>
      </c>
      <c r="AH93" s="565"/>
      <c r="AI93" s="490"/>
    </row>
    <row r="94" spans="1:35" ht="21.95" customHeight="1">
      <c r="A94" s="1"/>
      <c r="B94" s="129" t="s">
        <v>325</v>
      </c>
      <c r="C94" s="121" t="s">
        <v>580</v>
      </c>
      <c r="D94" s="157"/>
      <c r="E94" s="157"/>
      <c r="F94" s="564"/>
      <c r="G94" s="121" t="s">
        <v>580</v>
      </c>
      <c r="H94" s="157"/>
      <c r="I94" s="157"/>
      <c r="J94" s="564"/>
      <c r="K94" s="121" t="s">
        <v>580</v>
      </c>
      <c r="L94" s="157"/>
      <c r="M94" s="157"/>
      <c r="N94" s="564"/>
      <c r="O94" s="121" t="s">
        <v>580</v>
      </c>
      <c r="P94" s="157"/>
      <c r="Q94" s="157"/>
      <c r="R94" s="564"/>
      <c r="S94" s="121" t="s">
        <v>578</v>
      </c>
      <c r="T94" s="157"/>
      <c r="U94" s="157"/>
      <c r="V94" s="564"/>
      <c r="W94" s="121"/>
      <c r="X94" s="157"/>
      <c r="Y94" s="157"/>
      <c r="Z94" s="564"/>
      <c r="AA94" s="157"/>
      <c r="AB94" s="157"/>
      <c r="AC94" s="157"/>
      <c r="AD94" s="565"/>
      <c r="AE94" s="128">
        <v>39</v>
      </c>
      <c r="AF94" s="157"/>
      <c r="AG94" s="157"/>
      <c r="AH94" s="565"/>
      <c r="AI94" s="490"/>
    </row>
    <row r="95" spans="1:35" ht="21.95" customHeight="1">
      <c r="A95" s="1"/>
      <c r="B95" s="129" t="s">
        <v>326</v>
      </c>
      <c r="C95" s="121" t="s">
        <v>580</v>
      </c>
      <c r="D95" s="157"/>
      <c r="E95" s="157"/>
      <c r="F95" s="564"/>
      <c r="G95" s="121" t="s">
        <v>580</v>
      </c>
      <c r="H95" s="157"/>
      <c r="I95" s="157"/>
      <c r="J95" s="564"/>
      <c r="K95" s="121" t="s">
        <v>580</v>
      </c>
      <c r="L95" s="157"/>
      <c r="M95" s="157"/>
      <c r="N95" s="564"/>
      <c r="O95" s="121" t="s">
        <v>580</v>
      </c>
      <c r="P95" s="157"/>
      <c r="Q95" s="157"/>
      <c r="R95" s="564"/>
      <c r="S95" s="121" t="s">
        <v>580</v>
      </c>
      <c r="T95" s="157"/>
      <c r="U95" s="157"/>
      <c r="V95" s="564"/>
      <c r="W95" s="584" t="s">
        <v>581</v>
      </c>
      <c r="X95" s="135"/>
      <c r="Y95" s="135"/>
      <c r="Z95" s="580"/>
      <c r="AA95" s="579"/>
      <c r="AB95" s="135"/>
      <c r="AC95" s="135"/>
      <c r="AD95" s="581"/>
      <c r="AE95" s="128">
        <v>45</v>
      </c>
      <c r="AF95" s="157"/>
      <c r="AG95" s="157"/>
      <c r="AH95" s="565"/>
      <c r="AI95" s="490"/>
    </row>
    <row r="96" spans="1:35" ht="21.95" customHeight="1" thickBot="1">
      <c r="A96" s="1"/>
      <c r="B96" s="16" t="s">
        <v>236</v>
      </c>
      <c r="C96" s="57"/>
      <c r="D96" s="53"/>
      <c r="E96" s="53"/>
      <c r="F96" s="571"/>
      <c r="G96" s="57"/>
      <c r="H96" s="53"/>
      <c r="I96" s="53"/>
      <c r="J96" s="571"/>
      <c r="K96" s="57"/>
      <c r="L96" s="53"/>
      <c r="M96" s="53"/>
      <c r="N96" s="571"/>
      <c r="O96" s="57"/>
      <c r="P96" s="53"/>
      <c r="Q96" s="53"/>
      <c r="R96" s="571"/>
      <c r="S96" s="57"/>
      <c r="T96" s="53"/>
      <c r="U96" s="53"/>
      <c r="V96" s="573"/>
      <c r="W96" s="57"/>
      <c r="X96" s="573"/>
      <c r="Y96" s="53"/>
      <c r="Z96" s="571"/>
      <c r="AA96" s="57"/>
      <c r="AB96" s="573"/>
      <c r="AC96" s="53"/>
      <c r="AD96" s="571"/>
      <c r="AE96" s="582"/>
      <c r="AF96" s="53"/>
      <c r="AG96" s="53"/>
      <c r="AH96" s="573"/>
      <c r="AI96" s="536"/>
    </row>
    <row r="97" spans="1:35" ht="21.95" customHeight="1" thickBot="1">
      <c r="A97" s="574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 thickBot="1">
      <c r="A98" s="1100"/>
      <c r="B98" s="1101" t="s">
        <v>476</v>
      </c>
      <c r="C98" s="867">
        <v>1</v>
      </c>
      <c r="D98" s="1102">
        <v>2</v>
      </c>
      <c r="E98" s="1102">
        <v>3</v>
      </c>
      <c r="F98" s="867">
        <v>4</v>
      </c>
      <c r="G98" s="867">
        <v>5</v>
      </c>
      <c r="H98" s="867">
        <v>6</v>
      </c>
      <c r="I98" s="867">
        <v>7</v>
      </c>
      <c r="J98" s="867">
        <v>8</v>
      </c>
      <c r="K98" s="1102">
        <v>9</v>
      </c>
      <c r="L98" s="1102">
        <v>10</v>
      </c>
      <c r="M98" s="867">
        <v>11</v>
      </c>
      <c r="N98" s="867">
        <v>12</v>
      </c>
      <c r="O98" s="867">
        <v>13</v>
      </c>
      <c r="P98" s="867">
        <v>14</v>
      </c>
      <c r="Q98" s="867">
        <v>15</v>
      </c>
      <c r="R98" s="1102">
        <v>16</v>
      </c>
      <c r="S98" s="1102">
        <v>17</v>
      </c>
      <c r="T98" s="867">
        <v>18</v>
      </c>
      <c r="U98" s="867">
        <v>19</v>
      </c>
      <c r="V98" s="867">
        <v>20</v>
      </c>
      <c r="W98" s="867">
        <v>21</v>
      </c>
      <c r="X98" s="867">
        <v>22</v>
      </c>
      <c r="Y98" s="1102">
        <v>23</v>
      </c>
      <c r="Z98" s="1102">
        <v>24</v>
      </c>
      <c r="AA98" s="867">
        <v>25</v>
      </c>
      <c r="AB98" s="867">
        <v>26</v>
      </c>
      <c r="AC98" s="867">
        <v>27</v>
      </c>
      <c r="AD98" s="867">
        <v>28</v>
      </c>
      <c r="AE98" s="867">
        <v>29</v>
      </c>
      <c r="AF98" s="1102">
        <v>30</v>
      </c>
      <c r="AG98" s="1103">
        <v>31</v>
      </c>
      <c r="AH98" s="864" t="s">
        <v>477</v>
      </c>
      <c r="AI98" s="865" t="s">
        <v>478</v>
      </c>
    </row>
    <row r="99" spans="1:35" ht="21.95" customHeight="1">
      <c r="A99" s="1116">
        <v>1</v>
      </c>
      <c r="B99" s="879" t="s">
        <v>582</v>
      </c>
      <c r="C99" s="764" t="s">
        <v>481</v>
      </c>
      <c r="D99" s="764"/>
      <c r="E99" s="764"/>
      <c r="F99" s="764" t="s">
        <v>585</v>
      </c>
      <c r="G99" s="764" t="s">
        <v>585</v>
      </c>
      <c r="H99" s="764" t="s">
        <v>585</v>
      </c>
      <c r="I99" s="764" t="s">
        <v>585</v>
      </c>
      <c r="J99" s="764" t="s">
        <v>585</v>
      </c>
      <c r="K99" s="764"/>
      <c r="L99" s="764"/>
      <c r="M99" s="972" t="s">
        <v>583</v>
      </c>
      <c r="N99" s="972" t="s">
        <v>583</v>
      </c>
      <c r="O99" s="972" t="s">
        <v>583</v>
      </c>
      <c r="P99" s="972" t="s">
        <v>583</v>
      </c>
      <c r="Q99" s="972" t="s">
        <v>583</v>
      </c>
      <c r="R99" s="972" t="s">
        <v>583</v>
      </c>
      <c r="S99" s="972"/>
      <c r="T99" s="972" t="s">
        <v>584</v>
      </c>
      <c r="U99" s="972" t="s">
        <v>584</v>
      </c>
      <c r="V99" s="972" t="s">
        <v>584</v>
      </c>
      <c r="W99" s="972" t="s">
        <v>584</v>
      </c>
      <c r="X99" s="972" t="s">
        <v>481</v>
      </c>
      <c r="Y99" s="972"/>
      <c r="Z99" s="972"/>
      <c r="AA99" s="764" t="s">
        <v>585</v>
      </c>
      <c r="AB99" s="983" t="s">
        <v>586</v>
      </c>
      <c r="AC99" s="764" t="s">
        <v>585</v>
      </c>
      <c r="AD99" s="764" t="s">
        <v>585</v>
      </c>
      <c r="AE99" s="764" t="s">
        <v>585</v>
      </c>
      <c r="AF99" s="764"/>
      <c r="AG99" s="764"/>
      <c r="AH99" s="510">
        <v>105</v>
      </c>
      <c r="AI99" s="511">
        <v>37</v>
      </c>
    </row>
    <row r="100" spans="1:35" ht="21.95" customHeight="1">
      <c r="A100" s="1117">
        <v>2</v>
      </c>
      <c r="B100" s="857" t="s">
        <v>587</v>
      </c>
      <c r="C100" s="970" t="s">
        <v>585</v>
      </c>
      <c r="D100" s="970"/>
      <c r="E100" s="970"/>
      <c r="F100" s="970" t="s">
        <v>583</v>
      </c>
      <c r="G100" s="970" t="s">
        <v>583</v>
      </c>
      <c r="H100" s="970" t="s">
        <v>583</v>
      </c>
      <c r="I100" s="970" t="s">
        <v>583</v>
      </c>
      <c r="J100" s="970" t="s">
        <v>583</v>
      </c>
      <c r="K100" s="970" t="s">
        <v>583</v>
      </c>
      <c r="L100" s="970"/>
      <c r="M100" s="768" t="s">
        <v>584</v>
      </c>
      <c r="N100" s="768" t="s">
        <v>584</v>
      </c>
      <c r="O100" s="768" t="s">
        <v>584</v>
      </c>
      <c r="P100" s="768" t="s">
        <v>584</v>
      </c>
      <c r="Q100" s="768" t="s">
        <v>481</v>
      </c>
      <c r="R100" s="768"/>
      <c r="S100" s="768"/>
      <c r="T100" s="768" t="s">
        <v>585</v>
      </c>
      <c r="U100" s="768" t="s">
        <v>585</v>
      </c>
      <c r="V100" s="768" t="s">
        <v>585</v>
      </c>
      <c r="W100" s="1131" t="s">
        <v>585</v>
      </c>
      <c r="X100" s="768" t="s">
        <v>585</v>
      </c>
      <c r="Y100" s="768"/>
      <c r="Z100" s="768"/>
      <c r="AA100" s="768" t="s">
        <v>583</v>
      </c>
      <c r="AB100" s="768" t="s">
        <v>583</v>
      </c>
      <c r="AC100" s="768" t="s">
        <v>583</v>
      </c>
      <c r="AD100" s="1131" t="s">
        <v>583</v>
      </c>
      <c r="AE100" s="768" t="s">
        <v>583</v>
      </c>
      <c r="AF100" s="768" t="s">
        <v>583</v>
      </c>
      <c r="AG100" s="768"/>
      <c r="AH100" s="924">
        <v>64</v>
      </c>
      <c r="AI100" s="925">
        <v>37</v>
      </c>
    </row>
    <row r="101" spans="1:35" ht="21.95" customHeight="1">
      <c r="A101" s="1117">
        <v>3</v>
      </c>
      <c r="B101" s="857" t="s">
        <v>289</v>
      </c>
      <c r="C101" s="768" t="s">
        <v>583</v>
      </c>
      <c r="D101" s="768" t="s">
        <v>583</v>
      </c>
      <c r="E101" s="768"/>
      <c r="F101" s="768" t="s">
        <v>584</v>
      </c>
      <c r="G101" s="768" t="s">
        <v>584</v>
      </c>
      <c r="H101" s="970" t="s">
        <v>584</v>
      </c>
      <c r="I101" s="970" t="s">
        <v>584</v>
      </c>
      <c r="J101" s="768" t="s">
        <v>481</v>
      </c>
      <c r="K101" s="768"/>
      <c r="L101" s="768"/>
      <c r="M101" s="768" t="s">
        <v>585</v>
      </c>
      <c r="N101" s="768" t="s">
        <v>585</v>
      </c>
      <c r="O101" s="768" t="s">
        <v>585</v>
      </c>
      <c r="P101" s="768" t="s">
        <v>585</v>
      </c>
      <c r="Q101" s="768" t="s">
        <v>585</v>
      </c>
      <c r="R101" s="768"/>
      <c r="S101" s="768"/>
      <c r="T101" s="768" t="s">
        <v>583</v>
      </c>
      <c r="U101" s="768" t="s">
        <v>583</v>
      </c>
      <c r="V101" s="768" t="s">
        <v>583</v>
      </c>
      <c r="W101" s="768" t="s">
        <v>583</v>
      </c>
      <c r="X101" s="768" t="s">
        <v>583</v>
      </c>
      <c r="Y101" s="768" t="s">
        <v>583</v>
      </c>
      <c r="Z101" s="768"/>
      <c r="AA101" s="970" t="s">
        <v>584</v>
      </c>
      <c r="AB101" s="970" t="s">
        <v>584</v>
      </c>
      <c r="AC101" s="970" t="s">
        <v>584</v>
      </c>
      <c r="AD101" s="970" t="s">
        <v>584</v>
      </c>
      <c r="AE101" s="970" t="s">
        <v>481</v>
      </c>
      <c r="AF101" s="970"/>
      <c r="AG101" s="970"/>
      <c r="AH101" s="924">
        <v>90</v>
      </c>
      <c r="AI101" s="925">
        <v>37</v>
      </c>
    </row>
    <row r="102" spans="1:35" ht="21.95" customHeight="1">
      <c r="A102" s="1117">
        <v>4</v>
      </c>
      <c r="B102" s="857"/>
      <c r="C102" s="768"/>
      <c r="D102" s="762"/>
      <c r="E102" s="768"/>
      <c r="F102" s="768"/>
      <c r="G102" s="768"/>
      <c r="H102" s="768"/>
      <c r="I102" s="768"/>
      <c r="J102" s="762"/>
      <c r="K102" s="762"/>
      <c r="L102" s="768"/>
      <c r="M102" s="768"/>
      <c r="N102" s="987"/>
      <c r="O102" s="768"/>
      <c r="P102" s="768"/>
      <c r="Q102" s="762"/>
      <c r="R102" s="762"/>
      <c r="S102" s="762"/>
      <c r="T102" s="762"/>
      <c r="U102" s="762"/>
      <c r="V102" s="762"/>
      <c r="W102" s="762"/>
      <c r="X102" s="768"/>
      <c r="Y102" s="762"/>
      <c r="Z102" s="768"/>
      <c r="AA102" s="768"/>
      <c r="AB102" s="768"/>
      <c r="AC102" s="768"/>
      <c r="AD102" s="768"/>
      <c r="AE102" s="768"/>
      <c r="AF102" s="762"/>
      <c r="AG102" s="768"/>
      <c r="AH102" s="924">
        <v>185</v>
      </c>
      <c r="AI102" s="925">
        <v>37</v>
      </c>
    </row>
    <row r="103" spans="1:35" ht="21.95" customHeight="1">
      <c r="A103" s="576"/>
      <c r="B103" s="583"/>
      <c r="C103" s="555"/>
      <c r="D103" s="538"/>
      <c r="E103" s="538"/>
      <c r="F103" s="538"/>
      <c r="G103" s="538"/>
      <c r="H103" s="538"/>
      <c r="I103" s="555"/>
      <c r="J103" s="555"/>
      <c r="K103" s="538"/>
      <c r="L103" s="538"/>
      <c r="M103" s="538"/>
      <c r="N103" s="538"/>
      <c r="O103" s="538"/>
      <c r="P103" s="538"/>
      <c r="Q103" s="555"/>
      <c r="R103" s="538"/>
      <c r="S103" s="817"/>
      <c r="T103" s="817"/>
      <c r="U103" s="817"/>
      <c r="V103" s="817"/>
      <c r="W103" s="555"/>
      <c r="X103" s="555"/>
      <c r="Y103" s="538"/>
      <c r="Z103" s="538"/>
      <c r="AA103" s="538"/>
      <c r="AB103" s="538"/>
      <c r="AC103" s="538"/>
      <c r="AD103" s="538"/>
      <c r="AE103" s="555"/>
      <c r="AF103" s="538"/>
      <c r="AG103" s="538"/>
      <c r="AH103" s="556"/>
      <c r="AI103" s="556"/>
    </row>
    <row r="104" spans="1:35" ht="21.95" customHeight="1" thickBot="1">
      <c r="A104" s="805" t="s">
        <v>588</v>
      </c>
      <c r="B104" s="538"/>
      <c r="C104" s="555"/>
      <c r="D104" s="538"/>
      <c r="E104" s="538"/>
      <c r="F104" s="538"/>
      <c r="G104" s="538"/>
      <c r="H104" s="538"/>
      <c r="I104" s="555"/>
      <c r="J104" s="555"/>
      <c r="K104" s="538"/>
      <c r="L104" s="538"/>
      <c r="M104" s="538"/>
      <c r="N104" s="538"/>
      <c r="O104" s="538"/>
      <c r="P104" s="538"/>
      <c r="Q104" s="555"/>
      <c r="R104" s="538"/>
      <c r="S104" s="538"/>
      <c r="T104" s="538"/>
      <c r="U104" s="538"/>
      <c r="V104" s="538"/>
      <c r="W104" s="555"/>
      <c r="X104" s="555"/>
      <c r="Y104" s="538"/>
      <c r="Z104" s="538"/>
      <c r="AA104" s="538"/>
      <c r="AB104" s="538"/>
      <c r="AC104" s="538"/>
      <c r="AD104" s="538"/>
      <c r="AE104" s="555"/>
      <c r="AF104" s="538"/>
      <c r="AG104" s="538"/>
      <c r="AH104" s="556"/>
      <c r="AI104" s="556"/>
    </row>
    <row r="105" spans="1:35" ht="21.95" customHeight="1">
      <c r="A105" s="576"/>
      <c r="B105" s="806" t="s">
        <v>589</v>
      </c>
      <c r="C105" s="814"/>
      <c r="D105" s="807" t="s">
        <v>2</v>
      </c>
      <c r="E105" s="808"/>
      <c r="F105" s="809"/>
      <c r="G105" s="810"/>
      <c r="H105" s="807" t="s">
        <v>3</v>
      </c>
      <c r="I105" s="808"/>
      <c r="J105" s="809"/>
      <c r="K105" s="810"/>
      <c r="L105" s="807" t="s">
        <v>4</v>
      </c>
      <c r="M105" s="808"/>
      <c r="N105" s="809"/>
      <c r="O105" s="810"/>
      <c r="P105" s="807" t="s">
        <v>5</v>
      </c>
      <c r="Q105" s="808"/>
      <c r="R105" s="809"/>
      <c r="S105" s="810"/>
      <c r="T105" s="807" t="s">
        <v>6</v>
      </c>
      <c r="U105" s="808"/>
      <c r="V105" s="809"/>
      <c r="W105" s="810"/>
      <c r="X105" s="807" t="s">
        <v>7</v>
      </c>
      <c r="Y105" s="808"/>
      <c r="Z105" s="809"/>
      <c r="AA105" s="810"/>
      <c r="AB105" s="807" t="s">
        <v>8</v>
      </c>
      <c r="AC105" s="808"/>
      <c r="AD105" s="808"/>
      <c r="AE105" s="811" t="s">
        <v>10</v>
      </c>
      <c r="AF105" s="808"/>
      <c r="AG105" s="808"/>
      <c r="AH105" s="808"/>
      <c r="AI105" s="812"/>
    </row>
    <row r="106" spans="1:35" ht="21.95" customHeight="1">
      <c r="A106" s="576"/>
      <c r="B106" s="832" t="s">
        <v>590</v>
      </c>
      <c r="C106" s="815" t="s">
        <v>591</v>
      </c>
      <c r="D106" s="831" t="s">
        <v>592</v>
      </c>
      <c r="E106" s="816"/>
      <c r="F106" s="813"/>
      <c r="G106" s="815"/>
      <c r="H106" s="831" t="s">
        <v>592</v>
      </c>
      <c r="I106" s="816"/>
      <c r="J106" s="813"/>
      <c r="K106" s="815"/>
      <c r="L106" s="831" t="s">
        <v>592</v>
      </c>
      <c r="M106" s="816"/>
      <c r="N106" s="813"/>
      <c r="O106" s="815"/>
      <c r="P106" s="831" t="s">
        <v>593</v>
      </c>
      <c r="Q106" s="816"/>
      <c r="R106" s="813"/>
      <c r="S106" s="815"/>
      <c r="T106" s="831" t="s">
        <v>594</v>
      </c>
      <c r="U106" s="816"/>
      <c r="V106" s="813"/>
      <c r="W106" s="815"/>
      <c r="X106" s="816"/>
      <c r="Y106" s="816"/>
      <c r="Z106" s="813"/>
      <c r="AA106" s="815"/>
      <c r="AB106" s="816"/>
      <c r="AC106" s="816"/>
      <c r="AD106" s="816"/>
      <c r="AE106" s="815"/>
      <c r="AF106" s="816"/>
      <c r="AG106" s="816"/>
      <c r="AH106" s="818"/>
      <c r="AI106" s="819"/>
    </row>
    <row r="107" spans="1:35" ht="21.95" customHeight="1">
      <c r="A107" s="576"/>
      <c r="B107" s="833" t="s">
        <v>595</v>
      </c>
      <c r="C107" s="815" t="s">
        <v>596</v>
      </c>
      <c r="D107" s="831" t="s">
        <v>592</v>
      </c>
      <c r="E107" s="816"/>
      <c r="F107" s="813"/>
      <c r="G107" s="815"/>
      <c r="H107" s="831" t="s">
        <v>592</v>
      </c>
      <c r="I107" s="816"/>
      <c r="J107" s="813"/>
      <c r="K107" s="815"/>
      <c r="L107" s="831" t="s">
        <v>592</v>
      </c>
      <c r="M107" s="816"/>
      <c r="N107" s="813"/>
      <c r="O107" s="815"/>
      <c r="P107" s="831" t="s">
        <v>593</v>
      </c>
      <c r="Q107" s="816"/>
      <c r="R107" s="813"/>
      <c r="S107" s="815"/>
      <c r="T107" s="831" t="s">
        <v>594</v>
      </c>
      <c r="U107" s="816"/>
      <c r="V107" s="813"/>
      <c r="W107" s="815"/>
      <c r="X107" s="816"/>
      <c r="Y107" s="816"/>
      <c r="Z107" s="813"/>
      <c r="AA107" s="815"/>
      <c r="AB107" s="816"/>
      <c r="AC107" s="816"/>
      <c r="AD107" s="816"/>
      <c r="AE107" s="815"/>
      <c r="AF107" s="816"/>
      <c r="AG107" s="816"/>
      <c r="AH107" s="818"/>
      <c r="AI107" s="819"/>
    </row>
    <row r="108" spans="1:35" ht="21.95" customHeight="1">
      <c r="A108" s="576"/>
      <c r="B108" s="833" t="s">
        <v>597</v>
      </c>
      <c r="C108" s="815" t="s">
        <v>598</v>
      </c>
      <c r="D108" s="831" t="s">
        <v>592</v>
      </c>
      <c r="E108" s="816"/>
      <c r="F108" s="813"/>
      <c r="G108" s="815"/>
      <c r="H108" s="831" t="s">
        <v>592</v>
      </c>
      <c r="I108" s="816"/>
      <c r="J108" s="813"/>
      <c r="K108" s="815"/>
      <c r="L108" s="831" t="s">
        <v>592</v>
      </c>
      <c r="M108" s="816"/>
      <c r="N108" s="813"/>
      <c r="O108" s="815"/>
      <c r="P108" s="831" t="s">
        <v>593</v>
      </c>
      <c r="Q108" s="816"/>
      <c r="R108" s="813"/>
      <c r="S108" s="815"/>
      <c r="T108" s="831" t="s">
        <v>594</v>
      </c>
      <c r="U108" s="816"/>
      <c r="V108" s="813"/>
      <c r="W108" s="815"/>
      <c r="X108" s="816"/>
      <c r="Y108" s="816"/>
      <c r="Z108" s="813"/>
      <c r="AA108" s="815"/>
      <c r="AB108" s="816"/>
      <c r="AC108" s="816"/>
      <c r="AD108" s="816"/>
      <c r="AE108" s="815"/>
      <c r="AF108" s="816"/>
      <c r="AG108" s="816"/>
      <c r="AH108" s="818"/>
      <c r="AI108" s="819"/>
    </row>
    <row r="109" spans="1:35" ht="21.95" customHeight="1">
      <c r="A109" s="576"/>
      <c r="B109" s="833" t="s">
        <v>599</v>
      </c>
      <c r="C109" s="815" t="s">
        <v>600</v>
      </c>
      <c r="D109" s="831" t="s">
        <v>592</v>
      </c>
      <c r="E109" s="816"/>
      <c r="F109" s="813"/>
      <c r="G109" s="815"/>
      <c r="H109" s="831" t="s">
        <v>592</v>
      </c>
      <c r="I109" s="816"/>
      <c r="J109" s="813"/>
      <c r="K109" s="815"/>
      <c r="L109" s="831" t="s">
        <v>592</v>
      </c>
      <c r="M109" s="816"/>
      <c r="N109" s="813"/>
      <c r="O109" s="815"/>
      <c r="P109" s="831" t="s">
        <v>593</v>
      </c>
      <c r="Q109" s="816"/>
      <c r="R109" s="813"/>
      <c r="S109" s="815"/>
      <c r="T109" s="831" t="s">
        <v>594</v>
      </c>
      <c r="U109" s="816"/>
      <c r="V109" s="813"/>
      <c r="W109" s="815"/>
      <c r="X109" s="816"/>
      <c r="Y109" s="816"/>
      <c r="Z109" s="813"/>
      <c r="AA109" s="815"/>
      <c r="AB109" s="816"/>
      <c r="AC109" s="816"/>
      <c r="AD109" s="816"/>
      <c r="AE109" s="815"/>
      <c r="AF109" s="816"/>
      <c r="AG109" s="816"/>
      <c r="AH109" s="818"/>
      <c r="AI109" s="819"/>
    </row>
    <row r="110" spans="1:35" ht="21.95" customHeight="1">
      <c r="A110" s="576"/>
      <c r="B110" s="833" t="s">
        <v>601</v>
      </c>
      <c r="C110" s="815" t="s">
        <v>602</v>
      </c>
      <c r="D110" s="831" t="s">
        <v>592</v>
      </c>
      <c r="E110" s="816"/>
      <c r="F110" s="813"/>
      <c r="G110" s="815"/>
      <c r="H110" s="831" t="s">
        <v>592</v>
      </c>
      <c r="I110" s="816"/>
      <c r="J110" s="813"/>
      <c r="K110" s="815"/>
      <c r="L110" s="831" t="s">
        <v>592</v>
      </c>
      <c r="M110" s="816"/>
      <c r="N110" s="813"/>
      <c r="O110" s="815"/>
      <c r="P110" s="831" t="s">
        <v>593</v>
      </c>
      <c r="Q110" s="816"/>
      <c r="R110" s="813"/>
      <c r="S110" s="815"/>
      <c r="T110" s="831" t="s">
        <v>594</v>
      </c>
      <c r="U110" s="816"/>
      <c r="V110" s="813"/>
      <c r="W110" s="815"/>
      <c r="X110" s="816"/>
      <c r="Y110" s="816"/>
      <c r="Z110" s="813"/>
      <c r="AA110" s="815"/>
      <c r="AB110" s="816"/>
      <c r="AC110" s="816"/>
      <c r="AD110" s="816"/>
      <c r="AE110" s="815"/>
      <c r="AF110" s="816"/>
      <c r="AG110" s="816"/>
      <c r="AH110" s="818"/>
      <c r="AI110" s="819"/>
    </row>
    <row r="111" spans="1:35" ht="21.95" customHeight="1">
      <c r="A111" s="576"/>
      <c r="B111" s="833" t="s">
        <v>603</v>
      </c>
      <c r="C111" s="815" t="s">
        <v>604</v>
      </c>
      <c r="D111" s="831" t="s">
        <v>592</v>
      </c>
      <c r="E111" s="816"/>
      <c r="F111" s="813"/>
      <c r="G111" s="815"/>
      <c r="H111" s="831" t="s">
        <v>592</v>
      </c>
      <c r="I111" s="816"/>
      <c r="J111" s="813"/>
      <c r="K111" s="815"/>
      <c r="L111" s="831" t="s">
        <v>592</v>
      </c>
      <c r="M111" s="816"/>
      <c r="N111" s="813"/>
      <c r="O111" s="815"/>
      <c r="P111" s="831" t="s">
        <v>593</v>
      </c>
      <c r="Q111" s="816"/>
      <c r="R111" s="813"/>
      <c r="S111" s="815"/>
      <c r="T111" s="831" t="s">
        <v>594</v>
      </c>
      <c r="U111" s="816"/>
      <c r="V111" s="813"/>
      <c r="W111" s="815"/>
      <c r="X111" s="816"/>
      <c r="Y111" s="816"/>
      <c r="Z111" s="813"/>
      <c r="AA111" s="815"/>
      <c r="AB111" s="816"/>
      <c r="AC111" s="816"/>
      <c r="AD111" s="816"/>
      <c r="AE111" s="815"/>
      <c r="AF111" s="816"/>
      <c r="AG111" s="816"/>
      <c r="AH111" s="818"/>
      <c r="AI111" s="819"/>
    </row>
    <row r="112" spans="1:35" ht="21.95" customHeight="1">
      <c r="A112" s="576"/>
      <c r="B112" s="833" t="s">
        <v>605</v>
      </c>
      <c r="C112" s="815" t="s">
        <v>606</v>
      </c>
      <c r="D112" s="831" t="s">
        <v>592</v>
      </c>
      <c r="E112" s="816"/>
      <c r="F112" s="813"/>
      <c r="G112" s="815"/>
      <c r="H112" s="831" t="s">
        <v>592</v>
      </c>
      <c r="I112" s="816"/>
      <c r="J112" s="813"/>
      <c r="K112" s="815"/>
      <c r="L112" s="831" t="s">
        <v>592</v>
      </c>
      <c r="M112" s="816"/>
      <c r="N112" s="813"/>
      <c r="O112" s="815"/>
      <c r="P112" s="831" t="s">
        <v>593</v>
      </c>
      <c r="Q112" s="816"/>
      <c r="R112" s="813"/>
      <c r="S112" s="815"/>
      <c r="T112" s="831" t="s">
        <v>594</v>
      </c>
      <c r="U112" s="816"/>
      <c r="V112" s="813"/>
      <c r="W112" s="815"/>
      <c r="X112" s="816"/>
      <c r="Y112" s="816"/>
      <c r="Z112" s="813"/>
      <c r="AA112" s="815"/>
      <c r="AB112" s="816"/>
      <c r="AC112" s="816"/>
      <c r="AD112" s="816"/>
      <c r="AE112" s="815"/>
      <c r="AF112" s="816"/>
      <c r="AG112" s="816"/>
      <c r="AH112" s="818"/>
      <c r="AI112" s="819"/>
    </row>
    <row r="113" spans="1:35" ht="21.95" customHeight="1">
      <c r="A113" s="576"/>
      <c r="B113" s="833" t="s">
        <v>605</v>
      </c>
      <c r="C113" s="815" t="s">
        <v>607</v>
      </c>
      <c r="D113" s="831" t="s">
        <v>592</v>
      </c>
      <c r="E113" s="816"/>
      <c r="F113" s="813"/>
      <c r="G113" s="815"/>
      <c r="H113" s="831" t="s">
        <v>592</v>
      </c>
      <c r="I113" s="816"/>
      <c r="J113" s="813"/>
      <c r="K113" s="815"/>
      <c r="L113" s="831" t="s">
        <v>592</v>
      </c>
      <c r="M113" s="816"/>
      <c r="N113" s="813"/>
      <c r="O113" s="815"/>
      <c r="P113" s="831" t="s">
        <v>593</v>
      </c>
      <c r="Q113" s="816"/>
      <c r="R113" s="813"/>
      <c r="S113" s="815"/>
      <c r="T113" s="831" t="s">
        <v>594</v>
      </c>
      <c r="U113" s="816"/>
      <c r="V113" s="813"/>
      <c r="W113" s="815"/>
      <c r="X113" s="816"/>
      <c r="Y113" s="816"/>
      <c r="Z113" s="813"/>
      <c r="AA113" s="815"/>
      <c r="AB113" s="816"/>
      <c r="AC113" s="816"/>
      <c r="AD113" s="816"/>
      <c r="AE113" s="815"/>
      <c r="AF113" s="816"/>
      <c r="AG113" s="816"/>
      <c r="AH113" s="818"/>
      <c r="AI113" s="819"/>
    </row>
    <row r="114" spans="1:35" ht="21.95" customHeight="1">
      <c r="A114" s="576"/>
      <c r="B114" s="833" t="s">
        <v>608</v>
      </c>
      <c r="C114" s="815" t="s">
        <v>609</v>
      </c>
      <c r="D114" s="831" t="s">
        <v>592</v>
      </c>
      <c r="E114" s="816"/>
      <c r="F114" s="813"/>
      <c r="G114" s="815"/>
      <c r="H114" s="831" t="s">
        <v>592</v>
      </c>
      <c r="I114" s="816"/>
      <c r="J114" s="813"/>
      <c r="K114" s="815"/>
      <c r="L114" s="831" t="s">
        <v>592</v>
      </c>
      <c r="M114" s="816"/>
      <c r="N114" s="813"/>
      <c r="O114" s="815"/>
      <c r="P114" s="831" t="s">
        <v>593</v>
      </c>
      <c r="Q114" s="816"/>
      <c r="R114" s="813"/>
      <c r="S114" s="815"/>
      <c r="T114" s="831" t="s">
        <v>594</v>
      </c>
      <c r="U114" s="816"/>
      <c r="V114" s="813"/>
      <c r="W114" s="815"/>
      <c r="X114" s="816"/>
      <c r="Y114" s="816"/>
      <c r="Z114" s="813"/>
      <c r="AA114" s="815"/>
      <c r="AB114" s="816"/>
      <c r="AC114" s="816"/>
      <c r="AD114" s="816"/>
      <c r="AE114" s="815"/>
      <c r="AF114" s="816"/>
      <c r="AG114" s="816"/>
      <c r="AH114" s="818"/>
      <c r="AI114" s="819"/>
    </row>
    <row r="115" spans="1:35" ht="21.95" customHeight="1">
      <c r="A115" s="576"/>
      <c r="B115" s="833" t="s">
        <v>610</v>
      </c>
      <c r="C115" s="815" t="s">
        <v>611</v>
      </c>
      <c r="D115" s="831" t="s">
        <v>592</v>
      </c>
      <c r="E115" s="816"/>
      <c r="F115" s="813"/>
      <c r="G115" s="815"/>
      <c r="H115" s="831" t="s">
        <v>592</v>
      </c>
      <c r="I115" s="816"/>
      <c r="J115" s="813"/>
      <c r="K115" s="815"/>
      <c r="L115" s="831" t="s">
        <v>592</v>
      </c>
      <c r="M115" s="816"/>
      <c r="N115" s="813"/>
      <c r="O115" s="815"/>
      <c r="P115" s="831" t="s">
        <v>593</v>
      </c>
      <c r="Q115" s="816"/>
      <c r="R115" s="813"/>
      <c r="S115" s="815"/>
      <c r="T115" s="831" t="s">
        <v>594</v>
      </c>
      <c r="U115" s="816"/>
      <c r="V115" s="813"/>
      <c r="W115" s="815"/>
      <c r="X115" s="816"/>
      <c r="Y115" s="816"/>
      <c r="Z115" s="813"/>
      <c r="AA115" s="815"/>
      <c r="AB115" s="816"/>
      <c r="AC115" s="816"/>
      <c r="AD115" s="816"/>
      <c r="AE115" s="815"/>
      <c r="AF115" s="816"/>
      <c r="AG115" s="816"/>
      <c r="AH115" s="818"/>
      <c r="AI115" s="819"/>
    </row>
    <row r="116" spans="1:35" ht="21.95" customHeight="1">
      <c r="A116" s="576"/>
      <c r="B116" s="833" t="s">
        <v>612</v>
      </c>
      <c r="C116" s="815" t="s">
        <v>613</v>
      </c>
      <c r="D116" s="831" t="s">
        <v>592</v>
      </c>
      <c r="E116" s="816"/>
      <c r="F116" s="813"/>
      <c r="G116" s="815"/>
      <c r="H116" s="831" t="s">
        <v>592</v>
      </c>
      <c r="I116" s="816"/>
      <c r="J116" s="813"/>
      <c r="K116" s="815"/>
      <c r="L116" s="831" t="s">
        <v>592</v>
      </c>
      <c r="M116" s="816"/>
      <c r="N116" s="813"/>
      <c r="O116" s="815"/>
      <c r="P116" s="831" t="s">
        <v>593</v>
      </c>
      <c r="Q116" s="816"/>
      <c r="R116" s="813"/>
      <c r="S116" s="815"/>
      <c r="T116" s="831" t="s">
        <v>594</v>
      </c>
      <c r="U116" s="816"/>
      <c r="V116" s="813"/>
      <c r="W116" s="815"/>
      <c r="X116" s="816"/>
      <c r="Y116" s="816"/>
      <c r="Z116" s="813"/>
      <c r="AA116" s="815"/>
      <c r="AB116" s="816"/>
      <c r="AC116" s="816"/>
      <c r="AD116" s="816"/>
      <c r="AE116" s="815"/>
      <c r="AF116" s="816"/>
      <c r="AG116" s="816"/>
      <c r="AH116" s="818"/>
      <c r="AI116" s="819"/>
    </row>
    <row r="117" spans="1:35" ht="21.95" customHeight="1" thickBot="1">
      <c r="A117" s="576"/>
      <c r="B117" s="583"/>
      <c r="C117" s="555"/>
      <c r="D117" s="538"/>
      <c r="E117" s="538"/>
      <c r="F117" s="538"/>
      <c r="G117" s="538"/>
      <c r="H117" s="538"/>
      <c r="I117" s="555"/>
      <c r="J117" s="555"/>
      <c r="K117" s="538"/>
      <c r="L117" s="538"/>
      <c r="M117" s="538"/>
      <c r="N117" s="538"/>
      <c r="O117" s="538"/>
      <c r="P117" s="538"/>
      <c r="Q117" s="555"/>
      <c r="R117" s="538"/>
      <c r="S117" s="538"/>
      <c r="T117" s="538"/>
      <c r="U117" s="538"/>
      <c r="V117" s="538"/>
      <c r="W117" s="555"/>
      <c r="X117" s="555"/>
      <c r="Y117" s="538"/>
      <c r="Z117" s="538"/>
      <c r="AA117" s="538"/>
      <c r="AB117" s="538"/>
      <c r="AC117" s="538"/>
      <c r="AD117" s="538"/>
      <c r="AE117" s="555"/>
      <c r="AF117" s="538"/>
      <c r="AG117" s="538"/>
      <c r="AH117" s="556"/>
      <c r="AI117" s="556"/>
    </row>
    <row r="118" spans="1:35" ht="21.95" customHeight="1" thickBot="1">
      <c r="A118" s="785"/>
      <c r="B118" s="1108" t="s">
        <v>476</v>
      </c>
      <c r="C118" s="867">
        <v>1</v>
      </c>
      <c r="D118" s="1102">
        <v>2</v>
      </c>
      <c r="E118" s="1102">
        <v>3</v>
      </c>
      <c r="F118" s="867">
        <v>4</v>
      </c>
      <c r="G118" s="867">
        <v>5</v>
      </c>
      <c r="H118" s="867">
        <v>6</v>
      </c>
      <c r="I118" s="867">
        <v>7</v>
      </c>
      <c r="J118" s="867">
        <v>8</v>
      </c>
      <c r="K118" s="1102">
        <v>9</v>
      </c>
      <c r="L118" s="1102">
        <v>10</v>
      </c>
      <c r="M118" s="867">
        <v>11</v>
      </c>
      <c r="N118" s="867">
        <v>12</v>
      </c>
      <c r="O118" s="867">
        <v>13</v>
      </c>
      <c r="P118" s="867">
        <v>14</v>
      </c>
      <c r="Q118" s="867">
        <v>15</v>
      </c>
      <c r="R118" s="1102">
        <v>16</v>
      </c>
      <c r="S118" s="1102">
        <v>17</v>
      </c>
      <c r="T118" s="867">
        <v>18</v>
      </c>
      <c r="U118" s="867">
        <v>19</v>
      </c>
      <c r="V118" s="867">
        <v>20</v>
      </c>
      <c r="W118" s="867">
        <v>21</v>
      </c>
      <c r="X118" s="867">
        <v>22</v>
      </c>
      <c r="Y118" s="1102">
        <v>23</v>
      </c>
      <c r="Z118" s="1102">
        <v>24</v>
      </c>
      <c r="AA118" s="867">
        <v>25</v>
      </c>
      <c r="AB118" s="867">
        <v>26</v>
      </c>
      <c r="AC118" s="867">
        <v>27</v>
      </c>
      <c r="AD118" s="867">
        <v>28</v>
      </c>
      <c r="AE118" s="867">
        <v>29</v>
      </c>
      <c r="AF118" s="1102">
        <v>30</v>
      </c>
      <c r="AG118" s="1103">
        <v>31</v>
      </c>
      <c r="AH118" s="884" t="s">
        <v>477</v>
      </c>
      <c r="AI118" s="885" t="s">
        <v>478</v>
      </c>
    </row>
    <row r="119" spans="1:35" ht="21.95" customHeight="1">
      <c r="A119" s="576"/>
      <c r="B119" s="1114" t="s">
        <v>614</v>
      </c>
      <c r="C119" s="882" t="s">
        <v>591</v>
      </c>
      <c r="D119" s="882"/>
      <c r="E119" s="882"/>
      <c r="F119" s="999" t="s">
        <v>591</v>
      </c>
      <c r="G119" s="999" t="s">
        <v>591</v>
      </c>
      <c r="H119" s="999" t="s">
        <v>591</v>
      </c>
      <c r="I119" s="999" t="s">
        <v>591</v>
      </c>
      <c r="J119" s="999" t="s">
        <v>591</v>
      </c>
      <c r="K119" s="999"/>
      <c r="L119" s="999"/>
      <c r="M119" s="999" t="s">
        <v>591</v>
      </c>
      <c r="N119" s="999" t="s">
        <v>591</v>
      </c>
      <c r="O119" s="999" t="s">
        <v>591</v>
      </c>
      <c r="P119" s="999" t="s">
        <v>591</v>
      </c>
      <c r="Q119" s="999" t="s">
        <v>591</v>
      </c>
      <c r="R119" s="999"/>
      <c r="S119" s="999"/>
      <c r="T119" s="999" t="s">
        <v>591</v>
      </c>
      <c r="U119" s="999" t="s">
        <v>591</v>
      </c>
      <c r="V119" s="999" t="s">
        <v>591</v>
      </c>
      <c r="W119" s="999" t="s">
        <v>591</v>
      </c>
      <c r="X119" s="999" t="s">
        <v>591</v>
      </c>
      <c r="Y119" s="999"/>
      <c r="Z119" s="999"/>
      <c r="AA119" s="882" t="s">
        <v>591</v>
      </c>
      <c r="AB119" s="882" t="s">
        <v>591</v>
      </c>
      <c r="AC119" s="882" t="s">
        <v>591</v>
      </c>
      <c r="AD119" s="882" t="s">
        <v>591</v>
      </c>
      <c r="AE119" s="999" t="s">
        <v>591</v>
      </c>
      <c r="AF119" s="882"/>
      <c r="AG119" s="882"/>
      <c r="AH119" s="510">
        <v>103.75</v>
      </c>
      <c r="AI119" s="511">
        <v>37</v>
      </c>
    </row>
    <row r="120" spans="1:35" ht="21.95" customHeight="1">
      <c r="A120" s="576"/>
      <c r="B120" s="1115" t="s">
        <v>615</v>
      </c>
      <c r="C120" s="837" t="s">
        <v>591</v>
      </c>
      <c r="D120" s="837"/>
      <c r="E120" s="837"/>
      <c r="F120" s="837" t="s">
        <v>591</v>
      </c>
      <c r="G120" s="837" t="s">
        <v>591</v>
      </c>
      <c r="H120" s="837" t="s">
        <v>591</v>
      </c>
      <c r="I120" s="837" t="s">
        <v>591</v>
      </c>
      <c r="J120" s="837" t="s">
        <v>591</v>
      </c>
      <c r="K120" s="837"/>
      <c r="L120" s="837"/>
      <c r="M120" s="837" t="s">
        <v>591</v>
      </c>
      <c r="N120" s="837" t="s">
        <v>591</v>
      </c>
      <c r="O120" s="837" t="s">
        <v>591</v>
      </c>
      <c r="P120" s="837" t="s">
        <v>591</v>
      </c>
      <c r="Q120" s="837" t="s">
        <v>591</v>
      </c>
      <c r="R120" s="837"/>
      <c r="S120" s="837"/>
      <c r="T120" s="837" t="s">
        <v>591</v>
      </c>
      <c r="U120" s="837" t="s">
        <v>591</v>
      </c>
      <c r="V120" s="837" t="s">
        <v>591</v>
      </c>
      <c r="W120" s="837" t="s">
        <v>591</v>
      </c>
      <c r="X120" s="837" t="s">
        <v>591</v>
      </c>
      <c r="Y120" s="837"/>
      <c r="Z120" s="837"/>
      <c r="AA120" s="837" t="s">
        <v>591</v>
      </c>
      <c r="AB120" s="837" t="s">
        <v>591</v>
      </c>
      <c r="AC120" s="837" t="s">
        <v>591</v>
      </c>
      <c r="AD120" s="837" t="s">
        <v>591</v>
      </c>
      <c r="AE120" s="837" t="s">
        <v>591</v>
      </c>
      <c r="AF120" s="837"/>
      <c r="AG120" s="837"/>
      <c r="AH120" s="924">
        <v>177.75</v>
      </c>
      <c r="AI120" s="925">
        <v>37</v>
      </c>
    </row>
    <row r="121" spans="1:35" ht="21.95" customHeight="1">
      <c r="A121" s="576"/>
      <c r="B121" s="1115" t="s">
        <v>616</v>
      </c>
      <c r="C121" s="837" t="s">
        <v>596</v>
      </c>
      <c r="D121" s="837"/>
      <c r="E121" s="837"/>
      <c r="F121" s="969" t="s">
        <v>596</v>
      </c>
      <c r="G121" s="969" t="s">
        <v>596</v>
      </c>
      <c r="H121" s="969" t="s">
        <v>596</v>
      </c>
      <c r="I121" s="969" t="s">
        <v>596</v>
      </c>
      <c r="J121" s="969" t="s">
        <v>596</v>
      </c>
      <c r="K121" s="969"/>
      <c r="L121" s="969"/>
      <c r="M121" s="969" t="s">
        <v>596</v>
      </c>
      <c r="N121" s="969" t="s">
        <v>596</v>
      </c>
      <c r="O121" s="969" t="s">
        <v>596</v>
      </c>
      <c r="P121" s="969" t="s">
        <v>596</v>
      </c>
      <c r="Q121" s="969" t="s">
        <v>596</v>
      </c>
      <c r="R121" s="969"/>
      <c r="S121" s="969"/>
      <c r="T121" s="969" t="s">
        <v>596</v>
      </c>
      <c r="U121" s="969" t="s">
        <v>596</v>
      </c>
      <c r="V121" s="969" t="s">
        <v>596</v>
      </c>
      <c r="W121" s="969" t="s">
        <v>596</v>
      </c>
      <c r="X121" s="969" t="s">
        <v>596</v>
      </c>
      <c r="Y121" s="969"/>
      <c r="Z121" s="969"/>
      <c r="AA121" s="837" t="s">
        <v>596</v>
      </c>
      <c r="AB121" s="837" t="s">
        <v>596</v>
      </c>
      <c r="AC121" s="837" t="s">
        <v>596</v>
      </c>
      <c r="AD121" s="837" t="s">
        <v>596</v>
      </c>
      <c r="AE121" s="837" t="s">
        <v>596</v>
      </c>
      <c r="AF121" s="837"/>
      <c r="AG121" s="837"/>
      <c r="AH121" s="924">
        <v>106</v>
      </c>
      <c r="AI121" s="925">
        <v>37</v>
      </c>
    </row>
    <row r="122" spans="1:35" ht="21.95" customHeight="1">
      <c r="A122" s="576"/>
      <c r="B122" s="1115" t="s">
        <v>617</v>
      </c>
      <c r="C122" s="969" t="s">
        <v>598</v>
      </c>
      <c r="D122" s="837"/>
      <c r="E122" s="837"/>
      <c r="F122" s="837" t="s">
        <v>598</v>
      </c>
      <c r="G122" s="837" t="s">
        <v>598</v>
      </c>
      <c r="H122" s="837" t="s">
        <v>598</v>
      </c>
      <c r="I122" s="837" t="s">
        <v>598</v>
      </c>
      <c r="J122" s="837" t="s">
        <v>598</v>
      </c>
      <c r="K122" s="837"/>
      <c r="L122" s="837"/>
      <c r="M122" s="837" t="s">
        <v>598</v>
      </c>
      <c r="N122" s="837" t="s">
        <v>598</v>
      </c>
      <c r="O122" s="837" t="s">
        <v>598</v>
      </c>
      <c r="P122" s="837" t="s">
        <v>598</v>
      </c>
      <c r="Q122" s="837" t="s">
        <v>598</v>
      </c>
      <c r="R122" s="837"/>
      <c r="S122" s="837"/>
      <c r="T122" s="837" t="s">
        <v>598</v>
      </c>
      <c r="U122" s="837" t="s">
        <v>598</v>
      </c>
      <c r="V122" s="837" t="s">
        <v>598</v>
      </c>
      <c r="W122" s="837" t="s">
        <v>598</v>
      </c>
      <c r="X122" s="837" t="s">
        <v>598</v>
      </c>
      <c r="Y122" s="837"/>
      <c r="Z122" s="837"/>
      <c r="AA122" s="837" t="s">
        <v>598</v>
      </c>
      <c r="AB122" s="837" t="s">
        <v>598</v>
      </c>
      <c r="AC122" s="837" t="s">
        <v>598</v>
      </c>
      <c r="AD122" s="837" t="s">
        <v>598</v>
      </c>
      <c r="AE122" s="1133" t="s">
        <v>598</v>
      </c>
      <c r="AF122" s="837"/>
      <c r="AG122" s="837"/>
      <c r="AH122" s="924">
        <v>103.5</v>
      </c>
      <c r="AI122" s="925">
        <v>37</v>
      </c>
    </row>
    <row r="123" spans="1:35" ht="21.95" customHeight="1">
      <c r="A123" s="576"/>
      <c r="B123" s="1115" t="s">
        <v>619</v>
      </c>
      <c r="C123" s="837" t="s">
        <v>600</v>
      </c>
      <c r="D123" s="837"/>
      <c r="E123" s="837"/>
      <c r="F123" s="837" t="s">
        <v>600</v>
      </c>
      <c r="G123" s="837" t="s">
        <v>600</v>
      </c>
      <c r="H123" s="837" t="s">
        <v>600</v>
      </c>
      <c r="I123" s="837" t="s">
        <v>600</v>
      </c>
      <c r="J123" s="837" t="s">
        <v>600</v>
      </c>
      <c r="K123" s="837"/>
      <c r="L123" s="837"/>
      <c r="M123" s="1132" t="s">
        <v>600</v>
      </c>
      <c r="N123" s="837" t="s">
        <v>600</v>
      </c>
      <c r="O123" s="837" t="s">
        <v>600</v>
      </c>
      <c r="P123" s="837" t="s">
        <v>600</v>
      </c>
      <c r="Q123" s="837" t="s">
        <v>600</v>
      </c>
      <c r="R123" s="837"/>
      <c r="S123" s="837"/>
      <c r="T123" s="837" t="s">
        <v>600</v>
      </c>
      <c r="U123" s="837" t="s">
        <v>600</v>
      </c>
      <c r="V123" s="837" t="s">
        <v>600</v>
      </c>
      <c r="W123" s="837" t="s">
        <v>600</v>
      </c>
      <c r="X123" s="837" t="s">
        <v>600</v>
      </c>
      <c r="Y123" s="837"/>
      <c r="Z123" s="837"/>
      <c r="AA123" s="837" t="s">
        <v>600</v>
      </c>
      <c r="AB123" s="837" t="s">
        <v>600</v>
      </c>
      <c r="AC123" s="837" t="s">
        <v>600</v>
      </c>
      <c r="AD123" s="837" t="s">
        <v>600</v>
      </c>
      <c r="AE123" s="837" t="s">
        <v>600</v>
      </c>
      <c r="AF123" s="837"/>
      <c r="AG123" s="837"/>
      <c r="AH123" s="924">
        <v>148</v>
      </c>
      <c r="AI123" s="925">
        <v>37</v>
      </c>
    </row>
    <row r="124" spans="1:35" ht="21.95" customHeight="1">
      <c r="A124" s="576"/>
      <c r="B124" s="1115" t="s">
        <v>621</v>
      </c>
      <c r="C124" s="837" t="s">
        <v>602</v>
      </c>
      <c r="D124" s="837"/>
      <c r="E124" s="837"/>
      <c r="F124" s="837" t="s">
        <v>602</v>
      </c>
      <c r="G124" s="837" t="s">
        <v>602</v>
      </c>
      <c r="H124" s="837" t="s">
        <v>602</v>
      </c>
      <c r="I124" s="837" t="s">
        <v>602</v>
      </c>
      <c r="J124" s="837" t="s">
        <v>602</v>
      </c>
      <c r="K124" s="837"/>
      <c r="L124" s="837"/>
      <c r="M124" s="837" t="s">
        <v>602</v>
      </c>
      <c r="N124" s="837" t="s">
        <v>602</v>
      </c>
      <c r="O124" s="837" t="s">
        <v>602</v>
      </c>
      <c r="P124" s="837" t="s">
        <v>602</v>
      </c>
      <c r="Q124" s="837" t="s">
        <v>602</v>
      </c>
      <c r="R124" s="837"/>
      <c r="S124" s="837"/>
      <c r="T124" s="837" t="s">
        <v>602</v>
      </c>
      <c r="U124" s="837" t="s">
        <v>602</v>
      </c>
      <c r="V124" s="837" t="s">
        <v>602</v>
      </c>
      <c r="W124" s="837" t="s">
        <v>602</v>
      </c>
      <c r="X124" s="837" t="s">
        <v>602</v>
      </c>
      <c r="Y124" s="837"/>
      <c r="Z124" s="837"/>
      <c r="AA124" s="837" t="s">
        <v>602</v>
      </c>
      <c r="AB124" s="837" t="s">
        <v>602</v>
      </c>
      <c r="AC124" s="837" t="s">
        <v>602</v>
      </c>
      <c r="AD124" s="837" t="s">
        <v>602</v>
      </c>
      <c r="AE124" s="969" t="s">
        <v>602</v>
      </c>
      <c r="AF124" s="837"/>
      <c r="AG124" s="837"/>
      <c r="AH124" s="924">
        <v>143.75</v>
      </c>
      <c r="AI124" s="925">
        <v>37</v>
      </c>
    </row>
    <row r="125" spans="1:35" ht="21.95" customHeight="1">
      <c r="A125" s="576"/>
      <c r="B125" s="1115" t="s">
        <v>622</v>
      </c>
      <c r="C125" s="969" t="s">
        <v>604</v>
      </c>
      <c r="D125" s="969"/>
      <c r="E125" s="969"/>
      <c r="F125" s="969" t="s">
        <v>604</v>
      </c>
      <c r="G125" s="969" t="s">
        <v>604</v>
      </c>
      <c r="H125" s="969" t="s">
        <v>604</v>
      </c>
      <c r="I125" s="969" t="s">
        <v>604</v>
      </c>
      <c r="J125" s="969" t="s">
        <v>604</v>
      </c>
      <c r="K125" s="969"/>
      <c r="L125" s="969"/>
      <c r="M125" s="969" t="s">
        <v>604</v>
      </c>
      <c r="N125" s="969" t="s">
        <v>604</v>
      </c>
      <c r="O125" s="969" t="s">
        <v>604</v>
      </c>
      <c r="P125" s="969" t="s">
        <v>604</v>
      </c>
      <c r="Q125" s="969" t="s">
        <v>604</v>
      </c>
      <c r="R125" s="969"/>
      <c r="S125" s="969"/>
      <c r="T125" s="837" t="s">
        <v>604</v>
      </c>
      <c r="U125" s="837" t="s">
        <v>604</v>
      </c>
      <c r="V125" s="837" t="s">
        <v>604</v>
      </c>
      <c r="W125" s="837" t="s">
        <v>604</v>
      </c>
      <c r="X125" s="837" t="s">
        <v>604</v>
      </c>
      <c r="Y125" s="837"/>
      <c r="Z125" s="837"/>
      <c r="AA125" s="837" t="s">
        <v>604</v>
      </c>
      <c r="AB125" s="837" t="s">
        <v>604</v>
      </c>
      <c r="AC125" s="837" t="s">
        <v>604</v>
      </c>
      <c r="AD125" s="837" t="s">
        <v>604</v>
      </c>
      <c r="AE125" s="837" t="s">
        <v>604</v>
      </c>
      <c r="AF125" s="837"/>
      <c r="AG125" s="837"/>
      <c r="AH125" s="924">
        <v>81.5</v>
      </c>
      <c r="AI125" s="925">
        <v>37</v>
      </c>
    </row>
    <row r="126" spans="1:35" ht="21.95" customHeight="1">
      <c r="A126" s="576"/>
      <c r="B126" s="1115" t="s">
        <v>623</v>
      </c>
      <c r="C126" s="837" t="s">
        <v>606</v>
      </c>
      <c r="D126" s="837"/>
      <c r="E126" s="837"/>
      <c r="F126" s="837" t="s">
        <v>606</v>
      </c>
      <c r="G126" s="837" t="s">
        <v>606</v>
      </c>
      <c r="H126" s="837" t="s">
        <v>606</v>
      </c>
      <c r="I126" s="837" t="s">
        <v>606</v>
      </c>
      <c r="J126" s="837" t="s">
        <v>606</v>
      </c>
      <c r="K126" s="837"/>
      <c r="L126" s="837"/>
      <c r="M126" s="837" t="s">
        <v>606</v>
      </c>
      <c r="N126" s="837" t="s">
        <v>606</v>
      </c>
      <c r="O126" s="837" t="s">
        <v>606</v>
      </c>
      <c r="P126" s="837" t="s">
        <v>606</v>
      </c>
      <c r="Q126" s="837" t="s">
        <v>606</v>
      </c>
      <c r="R126" s="837"/>
      <c r="S126" s="837"/>
      <c r="T126" s="969" t="s">
        <v>606</v>
      </c>
      <c r="U126" s="969" t="s">
        <v>606</v>
      </c>
      <c r="V126" s="969" t="s">
        <v>606</v>
      </c>
      <c r="W126" s="969" t="s">
        <v>606</v>
      </c>
      <c r="X126" s="969" t="s">
        <v>606</v>
      </c>
      <c r="Y126" s="969"/>
      <c r="Z126" s="969"/>
      <c r="AA126" s="969" t="s">
        <v>606</v>
      </c>
      <c r="AB126" s="969" t="s">
        <v>606</v>
      </c>
      <c r="AC126" s="969" t="s">
        <v>606</v>
      </c>
      <c r="AD126" s="969" t="s">
        <v>606</v>
      </c>
      <c r="AE126" s="969" t="s">
        <v>606</v>
      </c>
      <c r="AF126" s="969"/>
      <c r="AG126" s="969"/>
      <c r="AH126" s="924">
        <v>74</v>
      </c>
      <c r="AI126" s="925">
        <v>37</v>
      </c>
    </row>
    <row r="127" spans="1:35" ht="21.95" customHeight="1">
      <c r="A127" s="576"/>
      <c r="B127" s="1115" t="s">
        <v>624</v>
      </c>
      <c r="C127" s="837" t="s">
        <v>607</v>
      </c>
      <c r="D127" s="837"/>
      <c r="E127" s="837"/>
      <c r="F127" s="837" t="s">
        <v>607</v>
      </c>
      <c r="G127" s="837" t="s">
        <v>607</v>
      </c>
      <c r="H127" s="837" t="s">
        <v>607</v>
      </c>
      <c r="I127" s="837" t="s">
        <v>607</v>
      </c>
      <c r="J127" s="837" t="s">
        <v>607</v>
      </c>
      <c r="K127" s="837"/>
      <c r="L127" s="837"/>
      <c r="M127" s="837" t="s">
        <v>607</v>
      </c>
      <c r="N127" s="837" t="s">
        <v>607</v>
      </c>
      <c r="O127" s="837" t="s">
        <v>607</v>
      </c>
      <c r="P127" s="837" t="s">
        <v>607</v>
      </c>
      <c r="Q127" s="837" t="s">
        <v>607</v>
      </c>
      <c r="R127" s="837"/>
      <c r="S127" s="837"/>
      <c r="T127" s="837" t="s">
        <v>607</v>
      </c>
      <c r="U127" s="837" t="s">
        <v>607</v>
      </c>
      <c r="V127" s="837" t="s">
        <v>607</v>
      </c>
      <c r="W127" s="837" t="s">
        <v>607</v>
      </c>
      <c r="X127" s="837" t="s">
        <v>607</v>
      </c>
      <c r="Y127" s="837"/>
      <c r="Z127" s="837"/>
      <c r="AA127" s="837" t="s">
        <v>607</v>
      </c>
      <c r="AB127" s="837" t="s">
        <v>607</v>
      </c>
      <c r="AC127" s="837" t="s">
        <v>607</v>
      </c>
      <c r="AD127" s="837" t="s">
        <v>607</v>
      </c>
      <c r="AE127" s="837" t="s">
        <v>607</v>
      </c>
      <c r="AF127" s="837"/>
      <c r="AG127" s="837"/>
      <c r="AH127" s="924">
        <v>81.25</v>
      </c>
      <c r="AI127" s="925">
        <v>37</v>
      </c>
    </row>
    <row r="128" spans="1:35" ht="21.95" customHeight="1">
      <c r="A128" s="576"/>
      <c r="B128" s="1115" t="s">
        <v>626</v>
      </c>
      <c r="C128" s="1023" t="s">
        <v>609</v>
      </c>
      <c r="D128" s="837"/>
      <c r="E128" s="837"/>
      <c r="F128" s="837" t="s">
        <v>609</v>
      </c>
      <c r="G128" s="837" t="s">
        <v>609</v>
      </c>
      <c r="H128" s="837" t="s">
        <v>609</v>
      </c>
      <c r="I128" s="837" t="s">
        <v>609</v>
      </c>
      <c r="J128" s="837" t="s">
        <v>609</v>
      </c>
      <c r="K128" s="837"/>
      <c r="L128" s="837"/>
      <c r="M128" s="837" t="s">
        <v>609</v>
      </c>
      <c r="N128" s="837" t="s">
        <v>609</v>
      </c>
      <c r="O128" s="837" t="s">
        <v>609</v>
      </c>
      <c r="P128" s="837" t="s">
        <v>609</v>
      </c>
      <c r="Q128" s="837" t="s">
        <v>609</v>
      </c>
      <c r="R128" s="837"/>
      <c r="S128" s="837"/>
      <c r="T128" s="837" t="s">
        <v>609</v>
      </c>
      <c r="U128" s="837" t="s">
        <v>609</v>
      </c>
      <c r="V128" s="837" t="s">
        <v>609</v>
      </c>
      <c r="W128" s="837" t="s">
        <v>609</v>
      </c>
      <c r="X128" s="837" t="s">
        <v>609</v>
      </c>
      <c r="Y128" s="837"/>
      <c r="Z128" s="837"/>
      <c r="AA128" s="837" t="s">
        <v>609</v>
      </c>
      <c r="AB128" s="837" t="s">
        <v>609</v>
      </c>
      <c r="AC128" s="1023" t="s">
        <v>609</v>
      </c>
      <c r="AD128" s="1023" t="s">
        <v>609</v>
      </c>
      <c r="AE128" s="1023" t="s">
        <v>759</v>
      </c>
      <c r="AF128" s="837"/>
      <c r="AG128" s="837"/>
      <c r="AH128" s="924">
        <v>185</v>
      </c>
      <c r="AI128" s="925">
        <v>37</v>
      </c>
    </row>
    <row r="129" spans="1:35" ht="21.95" customHeight="1">
      <c r="A129" s="576"/>
      <c r="B129" s="1115" t="s">
        <v>627</v>
      </c>
      <c r="C129" s="1023" t="s">
        <v>611</v>
      </c>
      <c r="D129" s="837"/>
      <c r="E129" s="837"/>
      <c r="F129" s="1023" t="s">
        <v>611</v>
      </c>
      <c r="G129" s="1023" t="s">
        <v>611</v>
      </c>
      <c r="H129" s="1023" t="s">
        <v>611</v>
      </c>
      <c r="I129" s="1023" t="s">
        <v>611</v>
      </c>
      <c r="J129" s="1023" t="s">
        <v>611</v>
      </c>
      <c r="K129" s="1023"/>
      <c r="L129" s="1023"/>
      <c r="M129" s="1023" t="s">
        <v>611</v>
      </c>
      <c r="N129" s="1023" t="s">
        <v>611</v>
      </c>
      <c r="O129" s="1023" t="s">
        <v>611</v>
      </c>
      <c r="P129" s="1023" t="s">
        <v>611</v>
      </c>
      <c r="Q129" s="1023" t="s">
        <v>611</v>
      </c>
      <c r="R129" s="1023"/>
      <c r="S129" s="1023"/>
      <c r="T129" s="1023" t="s">
        <v>611</v>
      </c>
      <c r="U129" s="1023" t="s">
        <v>611</v>
      </c>
      <c r="V129" s="1023" t="s">
        <v>611</v>
      </c>
      <c r="W129" s="1023" t="s">
        <v>611</v>
      </c>
      <c r="X129" s="1023" t="s">
        <v>611</v>
      </c>
      <c r="Y129" s="1023"/>
      <c r="Z129" s="1023"/>
      <c r="AA129" s="1023" t="s">
        <v>611</v>
      </c>
      <c r="AB129" s="1023" t="s">
        <v>611</v>
      </c>
      <c r="AC129" s="1023" t="s">
        <v>611</v>
      </c>
      <c r="AD129" s="1023" t="s">
        <v>611</v>
      </c>
      <c r="AE129" s="1023" t="s">
        <v>658</v>
      </c>
      <c r="AF129" s="815"/>
      <c r="AG129" s="815"/>
      <c r="AH129" s="924">
        <v>209.58</v>
      </c>
      <c r="AI129" s="925">
        <v>32</v>
      </c>
    </row>
    <row r="130" spans="1:35" ht="21.95" customHeight="1" thickBot="1">
      <c r="A130" s="576"/>
      <c r="B130" s="1113" t="s">
        <v>629</v>
      </c>
      <c r="C130" s="887" t="s">
        <v>613</v>
      </c>
      <c r="D130" s="887"/>
      <c r="E130" s="887"/>
      <c r="F130" s="887" t="s">
        <v>613</v>
      </c>
      <c r="G130" s="887" t="s">
        <v>613</v>
      </c>
      <c r="H130" s="887" t="s">
        <v>613</v>
      </c>
      <c r="I130" s="887" t="s">
        <v>613</v>
      </c>
      <c r="J130" s="887" t="s">
        <v>613</v>
      </c>
      <c r="K130" s="887"/>
      <c r="L130" s="887"/>
      <c r="M130" s="887" t="s">
        <v>613</v>
      </c>
      <c r="N130" s="887" t="s">
        <v>613</v>
      </c>
      <c r="O130" s="887" t="s">
        <v>613</v>
      </c>
      <c r="P130" s="887" t="s">
        <v>613</v>
      </c>
      <c r="Q130" s="887" t="s">
        <v>613</v>
      </c>
      <c r="R130" s="887"/>
      <c r="S130" s="887"/>
      <c r="T130" s="887" t="s">
        <v>613</v>
      </c>
      <c r="U130" s="887" t="s">
        <v>613</v>
      </c>
      <c r="V130" s="887" t="s">
        <v>613</v>
      </c>
      <c r="W130" s="887" t="s">
        <v>613</v>
      </c>
      <c r="X130" s="887" t="s">
        <v>613</v>
      </c>
      <c r="Y130" s="887"/>
      <c r="Z130" s="887"/>
      <c r="AA130" s="887" t="s">
        <v>613</v>
      </c>
      <c r="AB130" s="887" t="s">
        <v>613</v>
      </c>
      <c r="AC130" s="887" t="s">
        <v>613</v>
      </c>
      <c r="AD130" s="887" t="s">
        <v>613</v>
      </c>
      <c r="AE130" s="887" t="s">
        <v>613</v>
      </c>
      <c r="AF130" s="887"/>
      <c r="AG130" s="887"/>
      <c r="AH130" s="868">
        <v>202.75</v>
      </c>
      <c r="AI130" s="869">
        <v>37</v>
      </c>
    </row>
    <row r="131" spans="1:35" ht="21.95" customHeight="1">
      <c r="A131" s="576"/>
      <c r="B131" s="847"/>
      <c r="C131" s="555"/>
      <c r="D131" s="555"/>
      <c r="E131" s="555"/>
      <c r="F131" s="555"/>
      <c r="G131" s="555"/>
      <c r="H131" s="555"/>
      <c r="I131" s="555"/>
      <c r="J131" s="555"/>
      <c r="K131" s="555"/>
      <c r="L131" s="555"/>
      <c r="M131" s="555"/>
      <c r="N131" s="555"/>
      <c r="O131" s="555"/>
      <c r="P131" s="555"/>
      <c r="Q131" s="555"/>
      <c r="R131" s="555"/>
      <c r="S131" s="555"/>
      <c r="T131" s="555"/>
      <c r="U131" s="555"/>
      <c r="V131" s="555"/>
      <c r="W131" s="555"/>
      <c r="X131" s="555"/>
      <c r="Y131" s="555"/>
      <c r="Z131" s="555"/>
      <c r="AA131" s="555"/>
      <c r="AB131" s="555"/>
      <c r="AC131" s="555"/>
      <c r="AD131" s="555"/>
      <c r="AE131" s="555"/>
      <c r="AF131" s="555"/>
      <c r="AG131" s="555"/>
      <c r="AH131" s="556"/>
      <c r="AI131" s="556"/>
    </row>
    <row r="132" spans="1:35" ht="21.95" customHeight="1" thickBot="1">
      <c r="A132" s="805" t="s">
        <v>630</v>
      </c>
      <c r="B132" s="538" t="s">
        <v>631</v>
      </c>
      <c r="C132" s="555"/>
      <c r="D132" s="538"/>
      <c r="E132" s="538"/>
      <c r="F132" s="538"/>
      <c r="G132" s="538"/>
      <c r="H132" s="538"/>
      <c r="I132" s="555"/>
      <c r="J132" s="555"/>
      <c r="K132" s="538"/>
      <c r="L132" s="538"/>
      <c r="M132" s="538"/>
      <c r="N132" s="538"/>
      <c r="O132" s="538"/>
      <c r="P132" s="538"/>
      <c r="Q132" s="555"/>
      <c r="R132" s="538"/>
      <c r="S132" s="538"/>
      <c r="T132" s="538"/>
      <c r="U132" s="538"/>
      <c r="V132" s="538"/>
      <c r="W132" s="555"/>
      <c r="X132" s="555"/>
      <c r="Y132" s="538"/>
      <c r="Z132" s="538"/>
      <c r="AA132" s="538"/>
      <c r="AB132" s="538"/>
      <c r="AC132" s="538"/>
      <c r="AD132" s="538"/>
      <c r="AE132" s="555"/>
      <c r="AF132" s="538"/>
      <c r="AG132" s="538"/>
      <c r="AH132" s="556"/>
      <c r="AI132" s="556"/>
    </row>
    <row r="133" spans="1:35" ht="21.95" customHeight="1">
      <c r="A133" s="576"/>
      <c r="B133" s="806" t="s">
        <v>589</v>
      </c>
      <c r="C133" s="814"/>
      <c r="D133" s="807" t="s">
        <v>2</v>
      </c>
      <c r="E133" s="808"/>
      <c r="F133" s="809"/>
      <c r="G133" s="810"/>
      <c r="H133" s="807" t="s">
        <v>3</v>
      </c>
      <c r="I133" s="808"/>
      <c r="J133" s="809"/>
      <c r="K133" s="810"/>
      <c r="L133" s="807" t="s">
        <v>4</v>
      </c>
      <c r="M133" s="808"/>
      <c r="N133" s="809"/>
      <c r="O133" s="810"/>
      <c r="P133" s="807" t="s">
        <v>5</v>
      </c>
      <c r="Q133" s="808"/>
      <c r="R133" s="809"/>
      <c r="S133" s="810"/>
      <c r="T133" s="807" t="s">
        <v>6</v>
      </c>
      <c r="U133" s="808"/>
      <c r="V133" s="809"/>
      <c r="W133" s="810"/>
      <c r="X133" s="807" t="s">
        <v>7</v>
      </c>
      <c r="Y133" s="808"/>
      <c r="Z133" s="809"/>
      <c r="AA133" s="810"/>
      <c r="AB133" s="807" t="s">
        <v>8</v>
      </c>
      <c r="AC133" s="808"/>
      <c r="AD133" s="808"/>
      <c r="AE133" s="811" t="s">
        <v>10</v>
      </c>
      <c r="AF133" s="808"/>
      <c r="AG133" s="808"/>
      <c r="AH133" s="808"/>
      <c r="AI133" s="812"/>
    </row>
    <row r="134" spans="1:35" ht="21.95" customHeight="1">
      <c r="A134" s="576"/>
      <c r="B134" s="832"/>
      <c r="C134" s="815"/>
      <c r="D134" s="831"/>
      <c r="E134" s="816"/>
      <c r="F134" s="813"/>
      <c r="G134" s="815"/>
      <c r="H134" s="831"/>
      <c r="I134" s="816"/>
      <c r="J134" s="813"/>
      <c r="K134" s="815"/>
      <c r="L134" s="831"/>
      <c r="M134" s="816"/>
      <c r="N134" s="813"/>
      <c r="O134" s="815"/>
      <c r="P134" s="831"/>
      <c r="Q134" s="816"/>
      <c r="R134" s="813"/>
      <c r="S134" s="815"/>
      <c r="T134" s="831"/>
      <c r="U134" s="816"/>
      <c r="V134" s="813"/>
      <c r="W134" s="815"/>
      <c r="X134" s="816"/>
      <c r="Y134" s="816"/>
      <c r="Z134" s="813"/>
      <c r="AA134" s="815"/>
      <c r="AB134" s="816"/>
      <c r="AC134" s="816"/>
      <c r="AD134" s="816"/>
      <c r="AE134" s="815"/>
      <c r="AF134" s="816"/>
      <c r="AG134" s="816"/>
      <c r="AH134" s="818"/>
      <c r="AI134" s="819"/>
    </row>
    <row r="135" spans="1:35" ht="21.95" customHeight="1">
      <c r="A135" s="576"/>
      <c r="B135" s="833"/>
      <c r="C135" s="815"/>
      <c r="D135" s="831"/>
      <c r="E135" s="816"/>
      <c r="F135" s="813"/>
      <c r="G135" s="815"/>
      <c r="H135" s="831"/>
      <c r="I135" s="816"/>
      <c r="J135" s="813"/>
      <c r="K135" s="815"/>
      <c r="L135" s="831"/>
      <c r="M135" s="816"/>
      <c r="N135" s="813"/>
      <c r="O135" s="815"/>
      <c r="P135" s="831"/>
      <c r="Q135" s="816"/>
      <c r="R135" s="813"/>
      <c r="S135" s="815"/>
      <c r="T135" s="831"/>
      <c r="U135" s="816"/>
      <c r="V135" s="813"/>
      <c r="W135" s="815"/>
      <c r="X135" s="816"/>
      <c r="Y135" s="816"/>
      <c r="Z135" s="813"/>
      <c r="AA135" s="815"/>
      <c r="AB135" s="816"/>
      <c r="AC135" s="816"/>
      <c r="AD135" s="816"/>
      <c r="AE135" s="815"/>
      <c r="AF135" s="816"/>
      <c r="AG135" s="816"/>
      <c r="AH135" s="818"/>
      <c r="AI135" s="819"/>
    </row>
    <row r="136" spans="1:35" ht="21.95" customHeight="1">
      <c r="A136" s="576"/>
      <c r="B136" s="833"/>
      <c r="C136" s="815"/>
      <c r="D136" s="831"/>
      <c r="E136" s="816"/>
      <c r="F136" s="813"/>
      <c r="G136" s="815"/>
      <c r="H136" s="831"/>
      <c r="I136" s="816"/>
      <c r="J136" s="813"/>
      <c r="K136" s="815"/>
      <c r="L136" s="831"/>
      <c r="M136" s="816"/>
      <c r="N136" s="813"/>
      <c r="O136" s="815"/>
      <c r="P136" s="831"/>
      <c r="Q136" s="816"/>
      <c r="R136" s="813"/>
      <c r="S136" s="815"/>
      <c r="T136" s="831"/>
      <c r="U136" s="816"/>
      <c r="V136" s="813"/>
      <c r="W136" s="815"/>
      <c r="X136" s="816"/>
      <c r="Y136" s="816"/>
      <c r="Z136" s="813"/>
      <c r="AA136" s="815"/>
      <c r="AB136" s="816"/>
      <c r="AC136" s="816"/>
      <c r="AD136" s="816"/>
      <c r="AE136" s="815"/>
      <c r="AF136" s="816"/>
      <c r="AG136" s="816"/>
      <c r="AH136" s="818"/>
      <c r="AI136" s="819"/>
    </row>
    <row r="137" spans="1:35" ht="21.75" customHeight="1" thickBot="1">
      <c r="A137" s="576"/>
      <c r="B137" s="847"/>
      <c r="C137" s="555"/>
      <c r="D137" s="555"/>
      <c r="E137" s="555"/>
      <c r="F137" s="555"/>
      <c r="G137" s="555"/>
      <c r="H137" s="555"/>
      <c r="I137" s="555"/>
      <c r="J137" s="555"/>
      <c r="K137" s="555"/>
      <c r="L137" s="555"/>
      <c r="M137" s="555"/>
      <c r="N137" s="555"/>
      <c r="O137" s="555"/>
      <c r="P137" s="555"/>
      <c r="Q137" s="555"/>
      <c r="R137" s="555"/>
      <c r="S137" s="555"/>
      <c r="T137" s="555"/>
      <c r="U137" s="555"/>
      <c r="V137" s="555"/>
      <c r="W137" s="555"/>
      <c r="X137" s="555"/>
      <c r="Y137" s="555"/>
      <c r="Z137" s="555"/>
      <c r="AA137" s="555"/>
      <c r="AB137" s="555"/>
      <c r="AC137" s="555"/>
      <c r="AD137" s="555"/>
      <c r="AE137" s="555"/>
      <c r="AF137" s="555"/>
      <c r="AG137" s="555"/>
      <c r="AH137" s="556"/>
      <c r="AI137" s="556"/>
    </row>
    <row r="138" spans="1:35" ht="21.95" customHeight="1" thickBot="1">
      <c r="A138" s="785"/>
      <c r="B138" s="1108" t="s">
        <v>476</v>
      </c>
      <c r="C138" s="867">
        <v>1</v>
      </c>
      <c r="D138" s="1102">
        <v>2</v>
      </c>
      <c r="E138" s="1102">
        <v>3</v>
      </c>
      <c r="F138" s="867">
        <v>4</v>
      </c>
      <c r="G138" s="867">
        <v>5</v>
      </c>
      <c r="H138" s="867">
        <v>6</v>
      </c>
      <c r="I138" s="867">
        <v>7</v>
      </c>
      <c r="J138" s="867">
        <v>8</v>
      </c>
      <c r="K138" s="1102">
        <v>9</v>
      </c>
      <c r="L138" s="1102">
        <v>10</v>
      </c>
      <c r="M138" s="867">
        <v>11</v>
      </c>
      <c r="N138" s="867">
        <v>12</v>
      </c>
      <c r="O138" s="867">
        <v>13</v>
      </c>
      <c r="P138" s="867">
        <v>14</v>
      </c>
      <c r="Q138" s="867">
        <v>15</v>
      </c>
      <c r="R138" s="1102">
        <v>16</v>
      </c>
      <c r="S138" s="1102">
        <v>17</v>
      </c>
      <c r="T138" s="867">
        <v>18</v>
      </c>
      <c r="U138" s="867">
        <v>19</v>
      </c>
      <c r="V138" s="867">
        <v>20</v>
      </c>
      <c r="W138" s="867">
        <v>21</v>
      </c>
      <c r="X138" s="867">
        <v>22</v>
      </c>
      <c r="Y138" s="1102">
        <v>23</v>
      </c>
      <c r="Z138" s="1102">
        <v>24</v>
      </c>
      <c r="AA138" s="867">
        <v>25</v>
      </c>
      <c r="AB138" s="867">
        <v>26</v>
      </c>
      <c r="AC138" s="867">
        <v>27</v>
      </c>
      <c r="AD138" s="867">
        <v>28</v>
      </c>
      <c r="AE138" s="867">
        <v>29</v>
      </c>
      <c r="AF138" s="1102">
        <v>30</v>
      </c>
      <c r="AG138" s="1103">
        <v>31</v>
      </c>
      <c r="AH138" s="884" t="s">
        <v>477</v>
      </c>
      <c r="AI138" s="885" t="s">
        <v>478</v>
      </c>
    </row>
    <row r="139" spans="1:35" ht="21.95" customHeight="1">
      <c r="A139" s="576"/>
      <c r="B139" s="1109" t="s">
        <v>632</v>
      </c>
      <c r="C139" s="970" t="s">
        <v>491</v>
      </c>
      <c r="D139" s="970"/>
      <c r="E139" s="970"/>
      <c r="F139" s="768" t="s">
        <v>491</v>
      </c>
      <c r="G139" s="768" t="s">
        <v>491</v>
      </c>
      <c r="H139" s="768" t="s">
        <v>491</v>
      </c>
      <c r="I139" s="768" t="s">
        <v>491</v>
      </c>
      <c r="J139" s="768" t="s">
        <v>491</v>
      </c>
      <c r="K139" s="768"/>
      <c r="L139" s="768"/>
      <c r="M139" s="768" t="s">
        <v>491</v>
      </c>
      <c r="N139" s="768" t="s">
        <v>491</v>
      </c>
      <c r="O139" s="768" t="s">
        <v>491</v>
      </c>
      <c r="P139" s="768" t="s">
        <v>491</v>
      </c>
      <c r="Q139" s="768" t="s">
        <v>491</v>
      </c>
      <c r="R139" s="768"/>
      <c r="S139" s="768"/>
      <c r="T139" s="768" t="s">
        <v>491</v>
      </c>
      <c r="U139" s="768" t="s">
        <v>491</v>
      </c>
      <c r="V139" s="768" t="s">
        <v>491</v>
      </c>
      <c r="W139" s="768" t="s">
        <v>491</v>
      </c>
      <c r="X139" s="768" t="s">
        <v>491</v>
      </c>
      <c r="Y139" s="768"/>
      <c r="Z139" s="768"/>
      <c r="AA139" s="768" t="s">
        <v>491</v>
      </c>
      <c r="AB139" s="768" t="s">
        <v>491</v>
      </c>
      <c r="AC139" s="768" t="s">
        <v>491</v>
      </c>
      <c r="AD139" s="768" t="s">
        <v>491</v>
      </c>
      <c r="AE139" s="768" t="s">
        <v>491</v>
      </c>
      <c r="AF139" s="768"/>
      <c r="AG139" s="768"/>
      <c r="AH139" s="510">
        <v>104.5</v>
      </c>
      <c r="AI139" s="511">
        <v>37</v>
      </c>
    </row>
    <row r="140" spans="1:35" ht="21.95" customHeight="1">
      <c r="A140" s="576"/>
      <c r="B140" s="1110" t="s">
        <v>633</v>
      </c>
      <c r="C140" s="768" t="s">
        <v>491</v>
      </c>
      <c r="D140" s="768"/>
      <c r="E140" s="768"/>
      <c r="F140" s="768" t="s">
        <v>491</v>
      </c>
      <c r="G140" s="768" t="s">
        <v>491</v>
      </c>
      <c r="H140" s="768" t="s">
        <v>491</v>
      </c>
      <c r="I140" s="768" t="s">
        <v>491</v>
      </c>
      <c r="J140" s="768" t="s">
        <v>491</v>
      </c>
      <c r="K140" s="768"/>
      <c r="L140" s="768"/>
      <c r="M140" s="768" t="s">
        <v>491</v>
      </c>
      <c r="N140" s="768" t="s">
        <v>491</v>
      </c>
      <c r="O140" s="768" t="s">
        <v>491</v>
      </c>
      <c r="P140" s="768" t="s">
        <v>491</v>
      </c>
      <c r="Q140" s="768" t="s">
        <v>491</v>
      </c>
      <c r="R140" s="768"/>
      <c r="S140" s="768"/>
      <c r="T140" s="768" t="s">
        <v>491</v>
      </c>
      <c r="U140" s="768" t="s">
        <v>491</v>
      </c>
      <c r="V140" s="768" t="s">
        <v>491</v>
      </c>
      <c r="W140" s="768" t="s">
        <v>491</v>
      </c>
      <c r="X140" s="768" t="s">
        <v>491</v>
      </c>
      <c r="Y140" s="768"/>
      <c r="Z140" s="768"/>
      <c r="AA140" s="768" t="s">
        <v>491</v>
      </c>
      <c r="AB140" s="768" t="s">
        <v>491</v>
      </c>
      <c r="AC140" s="768" t="s">
        <v>491</v>
      </c>
      <c r="AD140" s="768" t="s">
        <v>491</v>
      </c>
      <c r="AE140" s="768" t="s">
        <v>491</v>
      </c>
      <c r="AF140" s="768"/>
      <c r="AG140" s="768"/>
      <c r="AH140" s="924">
        <v>74</v>
      </c>
      <c r="AI140" s="925">
        <v>37</v>
      </c>
    </row>
    <row r="141" spans="1:35" ht="21.95" customHeight="1">
      <c r="A141" s="576"/>
      <c r="B141" s="1110" t="s">
        <v>634</v>
      </c>
      <c r="C141" s="768" t="s">
        <v>491</v>
      </c>
      <c r="D141" s="768"/>
      <c r="E141" s="768"/>
      <c r="F141" s="768" t="s">
        <v>491</v>
      </c>
      <c r="G141" s="768" t="s">
        <v>491</v>
      </c>
      <c r="H141" s="768" t="s">
        <v>491</v>
      </c>
      <c r="I141" s="768" t="s">
        <v>491</v>
      </c>
      <c r="J141" s="768" t="s">
        <v>491</v>
      </c>
      <c r="K141" s="768"/>
      <c r="L141" s="768"/>
      <c r="M141" s="768" t="s">
        <v>491</v>
      </c>
      <c r="N141" s="768" t="s">
        <v>491</v>
      </c>
      <c r="O141" s="768" t="s">
        <v>491</v>
      </c>
      <c r="P141" s="768" t="s">
        <v>491</v>
      </c>
      <c r="Q141" s="768" t="s">
        <v>491</v>
      </c>
      <c r="R141" s="768"/>
      <c r="S141" s="768"/>
      <c r="T141" s="768" t="s">
        <v>491</v>
      </c>
      <c r="U141" s="768" t="s">
        <v>491</v>
      </c>
      <c r="V141" s="768" t="s">
        <v>491</v>
      </c>
      <c r="W141" s="768" t="s">
        <v>491</v>
      </c>
      <c r="X141" s="768" t="s">
        <v>491</v>
      </c>
      <c r="Y141" s="768"/>
      <c r="Z141" s="768"/>
      <c r="AA141" s="768" t="s">
        <v>491</v>
      </c>
      <c r="AB141" s="768" t="s">
        <v>491</v>
      </c>
      <c r="AC141" s="768" t="s">
        <v>491</v>
      </c>
      <c r="AD141" s="768" t="s">
        <v>491</v>
      </c>
      <c r="AE141" s="768" t="s">
        <v>491</v>
      </c>
      <c r="AF141" s="768"/>
      <c r="AG141" s="768"/>
      <c r="AH141" s="924">
        <v>74</v>
      </c>
      <c r="AI141" s="925">
        <v>37</v>
      </c>
    </row>
    <row r="142" spans="1:35" ht="21.95" customHeight="1">
      <c r="A142" s="576"/>
      <c r="B142" s="1111" t="s">
        <v>638</v>
      </c>
      <c r="C142" s="768" t="s">
        <v>491</v>
      </c>
      <c r="D142" s="768"/>
      <c r="E142" s="768"/>
      <c r="F142" s="1044">
        <v>8</v>
      </c>
      <c r="G142" s="768" t="s">
        <v>491</v>
      </c>
      <c r="H142" s="1044">
        <v>8</v>
      </c>
      <c r="I142" s="768" t="s">
        <v>491</v>
      </c>
      <c r="J142" s="1044">
        <v>6</v>
      </c>
      <c r="K142" s="1044" t="s">
        <v>513</v>
      </c>
      <c r="L142" s="1044" t="s">
        <v>513</v>
      </c>
      <c r="M142" s="768" t="s">
        <v>491</v>
      </c>
      <c r="N142" s="768" t="s">
        <v>491</v>
      </c>
      <c r="O142" s="768" t="s">
        <v>491</v>
      </c>
      <c r="P142" s="768" t="s">
        <v>491</v>
      </c>
      <c r="Q142" s="768" t="s">
        <v>491</v>
      </c>
      <c r="R142" s="768"/>
      <c r="S142" s="768"/>
      <c r="T142" s="768" t="s">
        <v>491</v>
      </c>
      <c r="U142" s="768" t="s">
        <v>491</v>
      </c>
      <c r="V142" s="768" t="s">
        <v>491</v>
      </c>
      <c r="W142" s="768" t="s">
        <v>491</v>
      </c>
      <c r="X142" s="768" t="s">
        <v>491</v>
      </c>
      <c r="Y142" s="768"/>
      <c r="Z142" s="768"/>
      <c r="AA142" s="768" t="s">
        <v>491</v>
      </c>
      <c r="AB142" s="768" t="s">
        <v>491</v>
      </c>
      <c r="AC142" s="768" t="s">
        <v>491</v>
      </c>
      <c r="AD142" s="768" t="s">
        <v>491</v>
      </c>
      <c r="AE142" s="768" t="s">
        <v>491</v>
      </c>
      <c r="AF142" s="768"/>
      <c r="AG142" s="768"/>
      <c r="AH142" s="924">
        <v>74</v>
      </c>
      <c r="AI142" s="925">
        <v>37</v>
      </c>
    </row>
    <row r="143" spans="1:35" ht="21.95" customHeight="1">
      <c r="A143" s="576"/>
      <c r="B143" s="1112" t="s">
        <v>635</v>
      </c>
      <c r="C143" s="768" t="s">
        <v>491</v>
      </c>
      <c r="D143" s="768"/>
      <c r="E143" s="768"/>
      <c r="F143" s="768" t="s">
        <v>491</v>
      </c>
      <c r="G143" s="768" t="s">
        <v>491</v>
      </c>
      <c r="H143" s="768" t="s">
        <v>491</v>
      </c>
      <c r="I143" s="768" t="s">
        <v>491</v>
      </c>
      <c r="J143" s="768" t="s">
        <v>491</v>
      </c>
      <c r="K143" s="768"/>
      <c r="L143" s="768"/>
      <c r="M143" s="768" t="s">
        <v>491</v>
      </c>
      <c r="N143" s="768" t="s">
        <v>491</v>
      </c>
      <c r="O143" s="768" t="s">
        <v>491</v>
      </c>
      <c r="P143" s="768" t="s">
        <v>491</v>
      </c>
      <c r="Q143" s="768" t="s">
        <v>491</v>
      </c>
      <c r="R143" s="768"/>
      <c r="S143" s="768"/>
      <c r="T143" s="970" t="s">
        <v>491</v>
      </c>
      <c r="U143" s="970" t="s">
        <v>491</v>
      </c>
      <c r="V143" s="970" t="s">
        <v>491</v>
      </c>
      <c r="W143" s="970" t="s">
        <v>491</v>
      </c>
      <c r="X143" s="970" t="s">
        <v>491</v>
      </c>
      <c r="Y143" s="970"/>
      <c r="Z143" s="970"/>
      <c r="AA143" s="970" t="s">
        <v>491</v>
      </c>
      <c r="AB143" s="970" t="s">
        <v>491</v>
      </c>
      <c r="AC143" s="970" t="s">
        <v>491</v>
      </c>
      <c r="AD143" s="970" t="s">
        <v>491</v>
      </c>
      <c r="AE143" s="970" t="s">
        <v>491</v>
      </c>
      <c r="AF143" s="970"/>
      <c r="AG143" s="970"/>
      <c r="AH143" s="924">
        <v>111</v>
      </c>
      <c r="AI143" s="925">
        <v>37</v>
      </c>
    </row>
    <row r="144" spans="1:35" ht="21.95" customHeight="1" thickBot="1">
      <c r="A144" s="576"/>
      <c r="B144" s="1113" t="s">
        <v>637</v>
      </c>
      <c r="C144" s="867" t="s">
        <v>491</v>
      </c>
      <c r="D144" s="867"/>
      <c r="E144" s="867"/>
      <c r="F144" s="867" t="s">
        <v>491</v>
      </c>
      <c r="G144" s="867" t="s">
        <v>491</v>
      </c>
      <c r="H144" s="867" t="s">
        <v>491</v>
      </c>
      <c r="I144" s="867" t="s">
        <v>491</v>
      </c>
      <c r="J144" s="867" t="s">
        <v>491</v>
      </c>
      <c r="K144" s="867"/>
      <c r="L144" s="867"/>
      <c r="M144" s="1073" t="s">
        <v>491</v>
      </c>
      <c r="N144" s="1073" t="s">
        <v>491</v>
      </c>
      <c r="O144" s="1073" t="s">
        <v>491</v>
      </c>
      <c r="P144" s="1073" t="s">
        <v>491</v>
      </c>
      <c r="Q144" s="1073" t="s">
        <v>491</v>
      </c>
      <c r="R144" s="1073"/>
      <c r="S144" s="1073"/>
      <c r="T144" s="1073" t="s">
        <v>491</v>
      </c>
      <c r="U144" s="1073" t="s">
        <v>491</v>
      </c>
      <c r="V144" s="1073" t="s">
        <v>491</v>
      </c>
      <c r="W144" s="1073" t="s">
        <v>491</v>
      </c>
      <c r="X144" s="1073" t="s">
        <v>491</v>
      </c>
      <c r="Y144" s="1073"/>
      <c r="Z144" s="1073"/>
      <c r="AA144" s="867" t="s">
        <v>491</v>
      </c>
      <c r="AB144" s="867" t="s">
        <v>491</v>
      </c>
      <c r="AC144" s="867" t="s">
        <v>491</v>
      </c>
      <c r="AD144" s="867" t="s">
        <v>491</v>
      </c>
      <c r="AE144" s="867" t="s">
        <v>491</v>
      </c>
      <c r="AF144" s="867"/>
      <c r="AG144" s="951"/>
      <c r="AH144" s="597">
        <v>141</v>
      </c>
      <c r="AI144" s="598">
        <v>37</v>
      </c>
    </row>
    <row r="145" spans="1:36" ht="21.95" customHeight="1">
      <c r="A145" s="576"/>
      <c r="B145" s="847"/>
      <c r="C145" s="555"/>
      <c r="D145" s="555"/>
      <c r="E145" s="555"/>
      <c r="F145" s="555"/>
      <c r="G145" s="555"/>
      <c r="H145" s="555"/>
      <c r="I145" s="555"/>
      <c r="J145" s="555"/>
      <c r="K145" s="555"/>
      <c r="L145" s="555"/>
      <c r="M145" s="555"/>
      <c r="N145" s="555"/>
      <c r="O145" s="555"/>
      <c r="P145" s="555"/>
      <c r="Q145" s="555"/>
      <c r="R145" s="555"/>
      <c r="S145" s="555"/>
      <c r="T145" s="555"/>
      <c r="U145" s="555"/>
      <c r="V145" s="555"/>
      <c r="W145" s="555"/>
      <c r="X145" s="555"/>
      <c r="Y145" s="555"/>
      <c r="Z145" s="555"/>
      <c r="AA145" s="555"/>
      <c r="AB145" s="555"/>
      <c r="AC145" s="555"/>
      <c r="AD145" s="555"/>
      <c r="AE145" s="555"/>
      <c r="AF145" s="555"/>
      <c r="AG145" s="555"/>
      <c r="AH145" s="998"/>
      <c r="AI145" s="998"/>
    </row>
    <row r="146" spans="1:36" ht="21.95" customHeight="1" thickBot="1">
      <c r="A146" s="805" t="s">
        <v>639</v>
      </c>
      <c r="B146" s="538"/>
      <c r="C146" s="555"/>
      <c r="D146" s="538"/>
      <c r="E146" s="538"/>
      <c r="F146" s="538"/>
      <c r="G146" s="538"/>
      <c r="H146" s="538"/>
      <c r="I146" s="555"/>
      <c r="J146" s="555"/>
      <c r="K146" s="538"/>
      <c r="L146" s="538"/>
      <c r="M146" s="538"/>
      <c r="N146" s="538"/>
      <c r="O146" s="538"/>
      <c r="P146" s="538"/>
      <c r="Q146" s="555"/>
      <c r="R146" s="538"/>
      <c r="S146" s="538"/>
      <c r="T146" s="538"/>
      <c r="U146" s="538"/>
      <c r="V146" s="538"/>
      <c r="W146" s="555"/>
      <c r="X146" s="555"/>
      <c r="Y146" s="538"/>
      <c r="Z146" s="538"/>
      <c r="AA146" s="538"/>
      <c r="AB146" s="538"/>
      <c r="AC146" s="538"/>
      <c r="AD146" s="538"/>
      <c r="AE146" s="555"/>
      <c r="AF146" s="538"/>
      <c r="AG146" s="538"/>
      <c r="AH146" s="556"/>
      <c r="AI146" s="556"/>
    </row>
    <row r="147" spans="1:36" ht="21.95" customHeight="1">
      <c r="A147" s="576"/>
      <c r="B147" s="806" t="s">
        <v>589</v>
      </c>
      <c r="C147" s="814"/>
      <c r="D147" s="807" t="s">
        <v>2</v>
      </c>
      <c r="E147" s="808"/>
      <c r="F147" s="809"/>
      <c r="G147" s="810"/>
      <c r="H147" s="807" t="s">
        <v>3</v>
      </c>
      <c r="I147" s="808"/>
      <c r="J147" s="809"/>
      <c r="K147" s="810"/>
      <c r="L147" s="807" t="s">
        <v>4</v>
      </c>
      <c r="M147" s="808"/>
      <c r="N147" s="809"/>
      <c r="O147" s="810"/>
      <c r="P147" s="807" t="s">
        <v>5</v>
      </c>
      <c r="Q147" s="808"/>
      <c r="R147" s="809"/>
      <c r="S147" s="810"/>
      <c r="T147" s="807" t="s">
        <v>6</v>
      </c>
      <c r="U147" s="808"/>
      <c r="V147" s="809"/>
      <c r="W147" s="810"/>
      <c r="X147" s="807" t="s">
        <v>7</v>
      </c>
      <c r="Y147" s="808"/>
      <c r="Z147" s="809"/>
      <c r="AA147" s="810"/>
      <c r="AB147" s="807" t="s">
        <v>8</v>
      </c>
      <c r="AC147" s="808"/>
      <c r="AD147" s="808"/>
      <c r="AE147" s="811" t="s">
        <v>10</v>
      </c>
      <c r="AF147" s="808"/>
      <c r="AG147" s="808"/>
      <c r="AH147" s="808"/>
      <c r="AI147" s="812"/>
    </row>
    <row r="148" spans="1:36" ht="21.95" customHeight="1">
      <c r="A148" s="576"/>
      <c r="B148" s="832"/>
      <c r="C148" s="815"/>
      <c r="D148" s="831"/>
      <c r="E148" s="816"/>
      <c r="F148" s="813"/>
      <c r="G148" s="815"/>
      <c r="H148" s="831"/>
      <c r="I148" s="816"/>
      <c r="J148" s="813"/>
      <c r="K148" s="815"/>
      <c r="L148" s="831"/>
      <c r="M148" s="816"/>
      <c r="N148" s="813"/>
      <c r="O148" s="815"/>
      <c r="P148" s="831"/>
      <c r="Q148" s="816"/>
      <c r="R148" s="813"/>
      <c r="S148" s="815"/>
      <c r="T148" s="831"/>
      <c r="U148" s="816"/>
      <c r="V148" s="813"/>
      <c r="W148" s="815"/>
      <c r="X148" s="816"/>
      <c r="Y148" s="816"/>
      <c r="Z148" s="813"/>
      <c r="AA148" s="815"/>
      <c r="AB148" s="816"/>
      <c r="AC148" s="816"/>
      <c r="AD148" s="816"/>
      <c r="AE148" s="815"/>
      <c r="AF148" s="816"/>
      <c r="AG148" s="816"/>
      <c r="AH148" s="818"/>
      <c r="AI148" s="819"/>
    </row>
    <row r="149" spans="1:36" ht="21.95" customHeight="1">
      <c r="A149" s="576"/>
      <c r="B149" s="833"/>
      <c r="C149" s="815"/>
      <c r="D149" s="831"/>
      <c r="E149" s="816"/>
      <c r="F149" s="813"/>
      <c r="G149" s="815"/>
      <c r="H149" s="831"/>
      <c r="I149" s="816"/>
      <c r="J149" s="813"/>
      <c r="K149" s="815"/>
      <c r="L149" s="831"/>
      <c r="M149" s="816"/>
      <c r="N149" s="813"/>
      <c r="O149" s="815"/>
      <c r="P149" s="831"/>
      <c r="Q149" s="816"/>
      <c r="R149" s="813"/>
      <c r="S149" s="815"/>
      <c r="T149" s="831"/>
      <c r="U149" s="816"/>
      <c r="V149" s="813"/>
      <c r="W149" s="815"/>
      <c r="X149" s="816"/>
      <c r="Y149" s="816"/>
      <c r="Z149" s="813"/>
      <c r="AA149" s="815"/>
      <c r="AB149" s="816"/>
      <c r="AC149" s="816"/>
      <c r="AD149" s="816"/>
      <c r="AE149" s="815"/>
      <c r="AF149" s="816"/>
      <c r="AG149" s="816"/>
      <c r="AH149" s="818"/>
      <c r="AI149" s="819"/>
    </row>
    <row r="150" spans="1:36" ht="21.95" customHeight="1">
      <c r="A150" s="576"/>
      <c r="B150" s="833"/>
      <c r="C150" s="815"/>
      <c r="D150" s="831"/>
      <c r="E150" s="816"/>
      <c r="F150" s="813"/>
      <c r="G150" s="815"/>
      <c r="H150" s="831"/>
      <c r="I150" s="816"/>
      <c r="J150" s="813"/>
      <c r="K150" s="815"/>
      <c r="L150" s="831"/>
      <c r="M150" s="816"/>
      <c r="N150" s="813"/>
      <c r="O150" s="815"/>
      <c r="P150" s="831"/>
      <c r="Q150" s="816"/>
      <c r="R150" s="813"/>
      <c r="S150" s="815"/>
      <c r="T150" s="831"/>
      <c r="U150" s="816"/>
      <c r="V150" s="813"/>
      <c r="W150" s="815"/>
      <c r="X150" s="816"/>
      <c r="Y150" s="816"/>
      <c r="Z150" s="813"/>
      <c r="AA150" s="815"/>
      <c r="AB150" s="816"/>
      <c r="AC150" s="816"/>
      <c r="AD150" s="816"/>
      <c r="AE150" s="815"/>
      <c r="AF150" s="816"/>
      <c r="AG150" s="816"/>
      <c r="AH150" s="818"/>
      <c r="AI150" s="819"/>
    </row>
    <row r="151" spans="1:36" ht="21.95" customHeight="1" thickBot="1">
      <c r="A151" s="576"/>
      <c r="B151" s="847"/>
      <c r="C151" s="555"/>
      <c r="D151" s="555"/>
      <c r="E151" s="555"/>
      <c r="F151" s="555"/>
      <c r="G151" s="555"/>
      <c r="H151" s="555"/>
      <c r="I151" s="555"/>
      <c r="J151" s="555"/>
      <c r="K151" s="555"/>
      <c r="L151" s="555"/>
      <c r="M151" s="555"/>
      <c r="N151" s="555"/>
      <c r="O151" s="555"/>
      <c r="P151" s="555"/>
      <c r="Q151" s="555"/>
      <c r="R151" s="555"/>
      <c r="S151" s="555"/>
      <c r="T151" s="555"/>
      <c r="U151" s="555"/>
      <c r="V151" s="555"/>
      <c r="W151" s="555"/>
      <c r="X151" s="555"/>
      <c r="Y151" s="555"/>
      <c r="Z151" s="555"/>
      <c r="AA151" s="555"/>
      <c r="AB151" s="555"/>
      <c r="AC151" s="555"/>
      <c r="AD151" s="555"/>
      <c r="AE151" s="555"/>
      <c r="AF151" s="555"/>
      <c r="AG151" s="555"/>
      <c r="AH151" s="556"/>
      <c r="AI151" s="556"/>
    </row>
    <row r="152" spans="1:36" ht="21.95" customHeight="1" thickBot="1">
      <c r="A152" s="785"/>
      <c r="B152" s="883" t="s">
        <v>476</v>
      </c>
      <c r="C152" s="863">
        <v>1</v>
      </c>
      <c r="D152" s="880">
        <v>2</v>
      </c>
      <c r="E152" s="880">
        <v>3</v>
      </c>
      <c r="F152" s="863">
        <v>4</v>
      </c>
      <c r="G152" s="863">
        <v>5</v>
      </c>
      <c r="H152" s="863">
        <v>6</v>
      </c>
      <c r="I152" s="863">
        <v>7</v>
      </c>
      <c r="J152" s="863">
        <v>8</v>
      </c>
      <c r="K152" s="880">
        <v>9</v>
      </c>
      <c r="L152" s="880">
        <v>10</v>
      </c>
      <c r="M152" s="863">
        <v>11</v>
      </c>
      <c r="N152" s="863">
        <v>12</v>
      </c>
      <c r="O152" s="863">
        <v>13</v>
      </c>
      <c r="P152" s="863">
        <v>14</v>
      </c>
      <c r="Q152" s="863">
        <v>15</v>
      </c>
      <c r="R152" s="880">
        <v>16</v>
      </c>
      <c r="S152" s="880">
        <v>17</v>
      </c>
      <c r="T152" s="863">
        <v>18</v>
      </c>
      <c r="U152" s="863">
        <v>19</v>
      </c>
      <c r="V152" s="863">
        <v>20</v>
      </c>
      <c r="W152" s="863">
        <v>21</v>
      </c>
      <c r="X152" s="863">
        <v>22</v>
      </c>
      <c r="Y152" s="880">
        <v>23</v>
      </c>
      <c r="Z152" s="880">
        <v>24</v>
      </c>
      <c r="AA152" s="863">
        <v>25</v>
      </c>
      <c r="AB152" s="863">
        <v>26</v>
      </c>
      <c r="AC152" s="863">
        <v>27</v>
      </c>
      <c r="AD152" s="863">
        <v>28</v>
      </c>
      <c r="AE152" s="863">
        <v>29</v>
      </c>
      <c r="AF152" s="880">
        <v>30</v>
      </c>
      <c r="AG152" s="949">
        <v>31</v>
      </c>
      <c r="AH152" s="884" t="s">
        <v>477</v>
      </c>
      <c r="AI152" s="885" t="s">
        <v>478</v>
      </c>
    </row>
    <row r="153" spans="1:36" ht="21.95" customHeight="1">
      <c r="A153" s="576"/>
      <c r="B153" s="890" t="s">
        <v>640</v>
      </c>
      <c r="C153" s="768" t="s">
        <v>491</v>
      </c>
      <c r="D153" s="768"/>
      <c r="E153" s="768"/>
      <c r="F153" s="768" t="s">
        <v>491</v>
      </c>
      <c r="G153" s="768" t="s">
        <v>491</v>
      </c>
      <c r="H153" s="768" t="s">
        <v>491</v>
      </c>
      <c r="I153" s="768" t="s">
        <v>491</v>
      </c>
      <c r="J153" s="768" t="s">
        <v>491</v>
      </c>
      <c r="K153" s="768"/>
      <c r="L153" s="768"/>
      <c r="M153" s="768" t="s">
        <v>491</v>
      </c>
      <c r="N153" s="768" t="s">
        <v>491</v>
      </c>
      <c r="O153" s="768" t="s">
        <v>491</v>
      </c>
      <c r="P153" s="768" t="s">
        <v>491</v>
      </c>
      <c r="Q153" s="768" t="s">
        <v>491</v>
      </c>
      <c r="R153" s="768"/>
      <c r="S153" s="768"/>
      <c r="T153" s="768" t="s">
        <v>491</v>
      </c>
      <c r="U153" s="768" t="s">
        <v>491</v>
      </c>
      <c r="V153" s="1038" t="s">
        <v>491</v>
      </c>
      <c r="W153" s="1038" t="s">
        <v>491</v>
      </c>
      <c r="X153" s="1038" t="s">
        <v>493</v>
      </c>
      <c r="Y153" s="768"/>
      <c r="Z153" s="768"/>
      <c r="AA153" s="970" t="s">
        <v>491</v>
      </c>
      <c r="AB153" s="970" t="s">
        <v>491</v>
      </c>
      <c r="AC153" s="970" t="s">
        <v>491</v>
      </c>
      <c r="AD153" s="970" t="s">
        <v>491</v>
      </c>
      <c r="AE153" s="970" t="s">
        <v>491</v>
      </c>
      <c r="AF153" s="970"/>
      <c r="AG153" s="970"/>
      <c r="AH153" s="510">
        <v>111</v>
      </c>
      <c r="AI153" s="511">
        <v>37</v>
      </c>
    </row>
    <row r="154" spans="1:36" ht="21.95" customHeight="1">
      <c r="A154" s="576"/>
      <c r="B154" s="859" t="s">
        <v>742</v>
      </c>
      <c r="C154" s="970" t="s">
        <v>491</v>
      </c>
      <c r="D154" s="970"/>
      <c r="E154" s="970"/>
      <c r="F154" s="768" t="s">
        <v>491</v>
      </c>
      <c r="G154" s="768" t="s">
        <v>491</v>
      </c>
      <c r="H154" s="768" t="s">
        <v>491</v>
      </c>
      <c r="I154" s="768" t="s">
        <v>491</v>
      </c>
      <c r="J154" s="768" t="s">
        <v>491</v>
      </c>
      <c r="K154" s="768"/>
      <c r="L154" s="768"/>
      <c r="M154" s="768" t="s">
        <v>491</v>
      </c>
      <c r="N154" s="768" t="s">
        <v>491</v>
      </c>
      <c r="O154" s="768" t="s">
        <v>491</v>
      </c>
      <c r="P154" s="768" t="s">
        <v>491</v>
      </c>
      <c r="Q154" s="768" t="s">
        <v>491</v>
      </c>
      <c r="R154" s="768"/>
      <c r="S154" s="768"/>
      <c r="T154" s="768" t="s">
        <v>491</v>
      </c>
      <c r="U154" s="768" t="s">
        <v>491</v>
      </c>
      <c r="V154" s="768" t="s">
        <v>491</v>
      </c>
      <c r="W154" s="768" t="s">
        <v>491</v>
      </c>
      <c r="X154" s="768" t="s">
        <v>491</v>
      </c>
      <c r="Y154" s="768"/>
      <c r="Z154" s="768"/>
      <c r="AA154" s="768" t="s">
        <v>491</v>
      </c>
      <c r="AB154" s="768" t="s">
        <v>491</v>
      </c>
      <c r="AC154" s="768" t="s">
        <v>491</v>
      </c>
      <c r="AD154" s="768" t="s">
        <v>491</v>
      </c>
      <c r="AE154" s="768" t="s">
        <v>491</v>
      </c>
      <c r="AF154" s="768"/>
      <c r="AG154" s="768"/>
      <c r="AH154" s="924">
        <v>185</v>
      </c>
      <c r="AI154" s="925">
        <v>37</v>
      </c>
    </row>
    <row r="155" spans="1:36" ht="21.95" customHeight="1">
      <c r="A155" s="576"/>
      <c r="B155" s="821" t="s">
        <v>641</v>
      </c>
      <c r="C155" s="768" t="s">
        <v>491</v>
      </c>
      <c r="D155" s="768"/>
      <c r="E155" s="768"/>
      <c r="F155" s="768" t="s">
        <v>491</v>
      </c>
      <c r="G155" s="768" t="s">
        <v>491</v>
      </c>
      <c r="H155" s="768" t="s">
        <v>491</v>
      </c>
      <c r="I155" s="768" t="s">
        <v>491</v>
      </c>
      <c r="J155" s="768" t="s">
        <v>491</v>
      </c>
      <c r="K155" s="768"/>
      <c r="L155" s="768"/>
      <c r="M155" s="768" t="s">
        <v>491</v>
      </c>
      <c r="N155" s="768" t="s">
        <v>491</v>
      </c>
      <c r="O155" s="768" t="s">
        <v>491</v>
      </c>
      <c r="P155" s="768" t="s">
        <v>491</v>
      </c>
      <c r="Q155" s="768" t="s">
        <v>491</v>
      </c>
      <c r="R155" s="768"/>
      <c r="S155" s="768"/>
      <c r="T155" s="768" t="s">
        <v>491</v>
      </c>
      <c r="U155" s="768" t="s">
        <v>491</v>
      </c>
      <c r="V155" s="768" t="s">
        <v>491</v>
      </c>
      <c r="W155" s="768" t="s">
        <v>491</v>
      </c>
      <c r="X155" s="768" t="s">
        <v>491</v>
      </c>
      <c r="Y155" s="768"/>
      <c r="Z155" s="768"/>
      <c r="AA155" s="768" t="s">
        <v>491</v>
      </c>
      <c r="AB155" s="768" t="s">
        <v>491</v>
      </c>
      <c r="AC155" s="768" t="s">
        <v>491</v>
      </c>
      <c r="AD155" s="768" t="s">
        <v>491</v>
      </c>
      <c r="AE155" s="1038" t="s">
        <v>491</v>
      </c>
      <c r="AF155" s="768"/>
      <c r="AG155" s="768"/>
      <c r="AH155" s="924">
        <v>75</v>
      </c>
      <c r="AI155" s="925">
        <v>37</v>
      </c>
    </row>
    <row r="156" spans="1:36" ht="21.95" customHeight="1">
      <c r="A156" s="576"/>
      <c r="B156" s="821" t="s">
        <v>642</v>
      </c>
      <c r="C156" s="970" t="s">
        <v>491</v>
      </c>
      <c r="D156" s="970"/>
      <c r="E156" s="970"/>
      <c r="F156" s="970" t="s">
        <v>491</v>
      </c>
      <c r="G156" s="970" t="s">
        <v>491</v>
      </c>
      <c r="H156" s="970" t="s">
        <v>491</v>
      </c>
      <c r="I156" s="970" t="s">
        <v>491</v>
      </c>
      <c r="J156" s="970" t="s">
        <v>491</v>
      </c>
      <c r="K156" s="970"/>
      <c r="L156" s="970"/>
      <c r="M156" s="970" t="s">
        <v>491</v>
      </c>
      <c r="N156" s="970" t="s">
        <v>491</v>
      </c>
      <c r="O156" s="970" t="s">
        <v>491</v>
      </c>
      <c r="P156" s="970" t="s">
        <v>491</v>
      </c>
      <c r="Q156" s="970" t="s">
        <v>491</v>
      </c>
      <c r="R156" s="768"/>
      <c r="S156" s="768"/>
      <c r="T156" s="768" t="s">
        <v>491</v>
      </c>
      <c r="U156" s="768" t="s">
        <v>491</v>
      </c>
      <c r="V156" s="768" t="s">
        <v>491</v>
      </c>
      <c r="W156" s="768" t="s">
        <v>491</v>
      </c>
      <c r="X156" s="768" t="s">
        <v>491</v>
      </c>
      <c r="Y156" s="768"/>
      <c r="Z156" s="768"/>
      <c r="AA156" s="768" t="s">
        <v>491</v>
      </c>
      <c r="AB156" s="768" t="s">
        <v>491</v>
      </c>
      <c r="AC156" s="768" t="s">
        <v>491</v>
      </c>
      <c r="AD156" s="768" t="s">
        <v>491</v>
      </c>
      <c r="AE156" s="768" t="s">
        <v>491</v>
      </c>
      <c r="AF156" s="768"/>
      <c r="AG156" s="768"/>
      <c r="AH156" s="924">
        <v>89</v>
      </c>
      <c r="AI156" s="925">
        <v>37</v>
      </c>
    </row>
    <row r="157" spans="1:36" ht="21.95" customHeight="1">
      <c r="A157" s="576"/>
      <c r="B157" s="821" t="s">
        <v>643</v>
      </c>
      <c r="C157" s="768" t="s">
        <v>491</v>
      </c>
      <c r="D157" s="768"/>
      <c r="E157" s="768"/>
      <c r="F157" s="768" t="s">
        <v>491</v>
      </c>
      <c r="G157" s="768" t="s">
        <v>491</v>
      </c>
      <c r="H157" s="768" t="s">
        <v>491</v>
      </c>
      <c r="I157" s="768" t="s">
        <v>491</v>
      </c>
      <c r="J157" s="768" t="s">
        <v>491</v>
      </c>
      <c r="K157" s="768"/>
      <c r="L157" s="768"/>
      <c r="M157" s="768" t="s">
        <v>491</v>
      </c>
      <c r="N157" s="768" t="s">
        <v>491</v>
      </c>
      <c r="O157" s="1038" t="s">
        <v>491</v>
      </c>
      <c r="P157" s="1038" t="s">
        <v>493</v>
      </c>
      <c r="Q157" s="987" t="s">
        <v>491</v>
      </c>
      <c r="R157" s="768"/>
      <c r="S157" s="768"/>
      <c r="T157" s="768" t="s">
        <v>491</v>
      </c>
      <c r="U157" s="768" t="s">
        <v>491</v>
      </c>
      <c r="V157" s="768" t="s">
        <v>491</v>
      </c>
      <c r="W157" s="768" t="s">
        <v>491</v>
      </c>
      <c r="X157" s="768" t="s">
        <v>491</v>
      </c>
      <c r="Y157" s="768"/>
      <c r="Z157" s="768"/>
      <c r="AA157" s="768" t="s">
        <v>491</v>
      </c>
      <c r="AB157" s="768" t="s">
        <v>491</v>
      </c>
      <c r="AC157" s="768" t="s">
        <v>491</v>
      </c>
      <c r="AD157" s="768" t="s">
        <v>491</v>
      </c>
      <c r="AE157" s="768" t="s">
        <v>491</v>
      </c>
      <c r="AF157" s="768"/>
      <c r="AG157" s="768"/>
      <c r="AH157" s="924">
        <v>74.5</v>
      </c>
      <c r="AI157" s="925">
        <v>37</v>
      </c>
    </row>
    <row r="158" spans="1:36" ht="21.95" customHeight="1" thickBot="1">
      <c r="A158" s="576"/>
      <c r="B158" s="891"/>
      <c r="C158" s="950" t="s">
        <v>491</v>
      </c>
      <c r="D158" s="867"/>
      <c r="E158" s="867"/>
      <c r="F158" s="867" t="s">
        <v>491</v>
      </c>
      <c r="G158" s="867" t="s">
        <v>491</v>
      </c>
      <c r="H158" s="867" t="s">
        <v>491</v>
      </c>
      <c r="I158" s="867" t="s">
        <v>491</v>
      </c>
      <c r="J158" s="867" t="s">
        <v>491</v>
      </c>
      <c r="K158" s="867"/>
      <c r="L158" s="867"/>
      <c r="M158" s="867" t="s">
        <v>491</v>
      </c>
      <c r="N158" s="867" t="s">
        <v>491</v>
      </c>
      <c r="O158" s="867" t="s">
        <v>491</v>
      </c>
      <c r="P158" s="867" t="s">
        <v>491</v>
      </c>
      <c r="Q158" s="867" t="s">
        <v>491</v>
      </c>
      <c r="R158" s="867"/>
      <c r="S158" s="867"/>
      <c r="T158" s="867" t="s">
        <v>491</v>
      </c>
      <c r="U158" s="867" t="s">
        <v>491</v>
      </c>
      <c r="V158" s="867" t="s">
        <v>491</v>
      </c>
      <c r="W158" s="867" t="s">
        <v>491</v>
      </c>
      <c r="X158" s="867" t="s">
        <v>491</v>
      </c>
      <c r="Y158" s="867"/>
      <c r="Z158" s="867"/>
      <c r="AA158" s="867" t="s">
        <v>491</v>
      </c>
      <c r="AB158" s="867" t="s">
        <v>491</v>
      </c>
      <c r="AC158" s="867" t="s">
        <v>491</v>
      </c>
      <c r="AD158" s="867" t="s">
        <v>491</v>
      </c>
      <c r="AE158" s="867" t="s">
        <v>491</v>
      </c>
      <c r="AF158" s="867"/>
      <c r="AG158" s="951"/>
      <c r="AH158" s="868">
        <v>185</v>
      </c>
      <c r="AI158" s="869">
        <v>37</v>
      </c>
    </row>
    <row r="159" spans="1:36" ht="21.95" customHeight="1">
      <c r="A159" s="576"/>
      <c r="B159" s="847"/>
      <c r="C159" s="555"/>
      <c r="D159" s="555"/>
      <c r="E159" s="555"/>
      <c r="F159" s="555"/>
      <c r="G159" s="555"/>
      <c r="H159" s="555"/>
      <c r="I159" s="555"/>
      <c r="J159" s="555"/>
      <c r="K159" s="555"/>
      <c r="L159" s="555"/>
      <c r="M159" s="555"/>
      <c r="N159" s="555"/>
      <c r="O159" s="555"/>
      <c r="P159" s="555"/>
      <c r="Q159" s="555"/>
      <c r="R159" s="555"/>
      <c r="S159" s="555"/>
      <c r="T159" s="555"/>
      <c r="U159" s="555"/>
      <c r="V159" s="555"/>
      <c r="W159" s="555"/>
      <c r="X159" s="555"/>
      <c r="Y159" s="555"/>
      <c r="Z159" s="555"/>
      <c r="AA159" s="555"/>
      <c r="AB159" s="555"/>
      <c r="AC159" s="555"/>
      <c r="AD159" s="555"/>
      <c r="AE159" s="555"/>
      <c r="AF159" s="555"/>
      <c r="AG159" s="555"/>
      <c r="AH159" s="556"/>
      <c r="AI159" s="556"/>
    </row>
    <row r="160" spans="1:36" ht="21.95" customHeight="1">
      <c r="A160" s="312" t="s">
        <v>644</v>
      </c>
      <c r="C160" s="555"/>
      <c r="D160" s="555"/>
      <c r="E160" s="555"/>
      <c r="F160" s="555"/>
      <c r="G160" s="555"/>
      <c r="H160" s="555"/>
      <c r="I160" s="555"/>
      <c r="J160" s="555"/>
      <c r="K160" s="555"/>
      <c r="L160" s="555"/>
      <c r="M160" s="555"/>
      <c r="N160" s="555"/>
      <c r="O160" s="555"/>
      <c r="P160" s="555"/>
      <c r="Q160" s="555"/>
      <c r="R160" s="555"/>
      <c r="S160" s="555"/>
      <c r="T160" s="555"/>
      <c r="U160" s="555"/>
      <c r="V160" s="555"/>
      <c r="W160" s="555"/>
      <c r="X160" s="555"/>
      <c r="Y160" s="555"/>
      <c r="Z160" s="555"/>
      <c r="AA160" s="555"/>
      <c r="AB160" s="555"/>
      <c r="AC160" s="555"/>
      <c r="AD160" s="555"/>
      <c r="AE160" s="555"/>
      <c r="AF160" s="555"/>
      <c r="AG160" s="555"/>
      <c r="AH160" s="556"/>
      <c r="AI160" s="556"/>
      <c r="AJ160" s="361"/>
    </row>
    <row r="161" spans="1:36" ht="21.95" customHeight="1">
      <c r="A161" s="299" t="s">
        <v>475</v>
      </c>
      <c r="B161" s="299"/>
      <c r="C161" s="153"/>
      <c r="D161" s="299" t="s">
        <v>2</v>
      </c>
      <c r="E161" s="186"/>
      <c r="F161" s="153"/>
      <c r="G161" s="299" t="s">
        <v>3</v>
      </c>
      <c r="H161" s="186"/>
      <c r="I161" s="153"/>
      <c r="J161" s="299" t="s">
        <v>4</v>
      </c>
      <c r="K161" s="186"/>
      <c r="L161" s="153"/>
      <c r="M161" s="299" t="s">
        <v>5</v>
      </c>
      <c r="N161" s="186"/>
      <c r="O161" s="153"/>
      <c r="P161" s="299" t="s">
        <v>6</v>
      </c>
      <c r="Q161" s="186"/>
      <c r="R161" s="134"/>
      <c r="S161" s="199" t="s">
        <v>7</v>
      </c>
      <c r="T161" s="186"/>
      <c r="U161" s="153"/>
      <c r="V161" s="299" t="s">
        <v>8</v>
      </c>
      <c r="W161" s="186"/>
      <c r="X161" s="585" t="s">
        <v>10</v>
      </c>
      <c r="Y161" s="186"/>
      <c r="Z161" s="186"/>
      <c r="AA161" s="561"/>
      <c r="AB161" s="483"/>
      <c r="AC161" s="483"/>
      <c r="AD161" s="483"/>
      <c r="AE161" s="483"/>
      <c r="AF161" s="483"/>
      <c r="AG161" s="484"/>
      <c r="AH161" s="361"/>
      <c r="AI161" s="361"/>
      <c r="AJ161" s="361"/>
    </row>
    <row r="162" spans="1:36" ht="21.95" customHeight="1">
      <c r="A162" s="130">
        <v>8517</v>
      </c>
      <c r="B162" s="500" t="s">
        <v>645</v>
      </c>
      <c r="C162" s="584" t="s">
        <v>124</v>
      </c>
      <c r="D162" s="581"/>
      <c r="E162" s="586"/>
      <c r="F162" s="584" t="s">
        <v>124</v>
      </c>
      <c r="G162" s="587"/>
      <c r="H162" s="586"/>
      <c r="I162" s="121" t="s">
        <v>124</v>
      </c>
      <c r="J162" s="565"/>
      <c r="K162" s="588"/>
      <c r="L162" s="121" t="s">
        <v>124</v>
      </c>
      <c r="M162" s="565"/>
      <c r="N162" s="588"/>
      <c r="O162" s="121" t="s">
        <v>125</v>
      </c>
      <c r="P162" s="565"/>
      <c r="Q162" s="477"/>
      <c r="R162" s="589" t="s">
        <v>28</v>
      </c>
      <c r="S162" s="565"/>
      <c r="T162" s="588"/>
      <c r="U162" s="565" t="s">
        <v>28</v>
      </c>
      <c r="V162" s="565"/>
      <c r="W162" s="477"/>
      <c r="X162" s="145" t="s">
        <v>28</v>
      </c>
      <c r="Y162" s="361"/>
      <c r="Z162" s="361"/>
      <c r="AA162" s="361"/>
      <c r="AB162" s="361"/>
      <c r="AC162" s="361"/>
      <c r="AD162" s="361"/>
      <c r="AE162" s="361"/>
      <c r="AF162" s="361"/>
      <c r="AG162" s="590"/>
      <c r="AH162" s="361"/>
      <c r="AI162" s="361"/>
      <c r="AJ162" s="361"/>
    </row>
    <row r="163" spans="1:36" ht="21.95" customHeight="1">
      <c r="A163" s="591">
        <v>8502</v>
      </c>
      <c r="B163" s="592" t="s">
        <v>646</v>
      </c>
      <c r="C163" s="121" t="s">
        <v>11</v>
      </c>
      <c r="D163" s="565"/>
      <c r="E163" s="477"/>
      <c r="F163" s="121" t="s">
        <v>11</v>
      </c>
      <c r="G163" s="565"/>
      <c r="H163" s="588"/>
      <c r="I163" s="121" t="s">
        <v>11</v>
      </c>
      <c r="J163" s="565"/>
      <c r="K163" s="588"/>
      <c r="L163" s="121" t="s">
        <v>11</v>
      </c>
      <c r="M163" s="565"/>
      <c r="N163" s="588"/>
      <c r="O163" s="121" t="s">
        <v>12</v>
      </c>
      <c r="P163" s="565"/>
      <c r="Q163" s="477"/>
      <c r="R163" s="593"/>
      <c r="S163" s="594"/>
      <c r="T163" s="588"/>
      <c r="U163" s="565"/>
      <c r="V163" s="565"/>
      <c r="W163" s="477"/>
      <c r="X163" s="476"/>
      <c r="Y163" s="483"/>
      <c r="Z163" s="483"/>
      <c r="AA163" s="483"/>
      <c r="AB163" s="483"/>
      <c r="AC163" s="483"/>
      <c r="AD163" s="483"/>
      <c r="AE163" s="483"/>
      <c r="AF163" s="483"/>
      <c r="AG163" s="484"/>
      <c r="AH163" s="361"/>
      <c r="AI163" s="361"/>
      <c r="AJ163" s="361"/>
    </row>
    <row r="164" spans="1:36" ht="21.95" customHeight="1" thickBot="1">
      <c r="A164" s="274"/>
      <c r="B164" s="516"/>
      <c r="C164" s="354"/>
      <c r="D164" s="354"/>
      <c r="E164" s="73"/>
      <c r="F164" s="354"/>
      <c r="G164" s="354"/>
      <c r="H164" s="73"/>
      <c r="I164" s="354"/>
      <c r="J164" s="354"/>
      <c r="K164" s="73"/>
      <c r="L164" s="354"/>
      <c r="M164" s="354"/>
      <c r="N164" s="73"/>
      <c r="O164" s="354"/>
      <c r="P164" s="354"/>
      <c r="Q164" s="73"/>
      <c r="R164" s="168"/>
      <c r="S164" s="354"/>
      <c r="T164" s="73"/>
      <c r="U164" s="354"/>
      <c r="V164" s="354"/>
      <c r="W164" s="73"/>
      <c r="X164" s="73"/>
      <c r="Y164" s="361"/>
      <c r="Z164" s="361"/>
      <c r="AA164" s="361"/>
      <c r="AB164" s="361"/>
      <c r="AC164" s="361"/>
      <c r="AD164" s="361"/>
      <c r="AE164" s="361"/>
      <c r="AF164" s="361"/>
      <c r="AG164" s="361"/>
      <c r="AH164" s="361"/>
      <c r="AI164" s="361"/>
    </row>
    <row r="165" spans="1:36" ht="21.95" customHeight="1" thickBot="1">
      <c r="A165" s="1107"/>
      <c r="B165" s="1101" t="s">
        <v>476</v>
      </c>
      <c r="C165" s="867">
        <v>1</v>
      </c>
      <c r="D165" s="1102">
        <v>2</v>
      </c>
      <c r="E165" s="1102">
        <v>3</v>
      </c>
      <c r="F165" s="867">
        <v>4</v>
      </c>
      <c r="G165" s="867">
        <v>5</v>
      </c>
      <c r="H165" s="867">
        <v>6</v>
      </c>
      <c r="I165" s="867">
        <v>7</v>
      </c>
      <c r="J165" s="867">
        <v>8</v>
      </c>
      <c r="K165" s="1102">
        <v>9</v>
      </c>
      <c r="L165" s="1102">
        <v>10</v>
      </c>
      <c r="M165" s="867">
        <v>11</v>
      </c>
      <c r="N165" s="867">
        <v>12</v>
      </c>
      <c r="O165" s="867">
        <v>13</v>
      </c>
      <c r="P165" s="867">
        <v>14</v>
      </c>
      <c r="Q165" s="867">
        <v>15</v>
      </c>
      <c r="R165" s="1102">
        <v>16</v>
      </c>
      <c r="S165" s="1102">
        <v>17</v>
      </c>
      <c r="T165" s="867">
        <v>18</v>
      </c>
      <c r="U165" s="867">
        <v>19</v>
      </c>
      <c r="V165" s="867">
        <v>20</v>
      </c>
      <c r="W165" s="867">
        <v>21</v>
      </c>
      <c r="X165" s="867">
        <v>22</v>
      </c>
      <c r="Y165" s="1102">
        <v>23</v>
      </c>
      <c r="Z165" s="1102">
        <v>24</v>
      </c>
      <c r="AA165" s="867">
        <v>25</v>
      </c>
      <c r="AB165" s="867">
        <v>26</v>
      </c>
      <c r="AC165" s="867">
        <v>27</v>
      </c>
      <c r="AD165" s="867">
        <v>28</v>
      </c>
      <c r="AE165" s="867">
        <v>29</v>
      </c>
      <c r="AF165" s="1102">
        <v>30</v>
      </c>
      <c r="AG165" s="1103">
        <v>31</v>
      </c>
      <c r="AH165" s="864" t="s">
        <v>477</v>
      </c>
      <c r="AI165" s="865" t="s">
        <v>478</v>
      </c>
    </row>
    <row r="166" spans="1:36" s="1091" customFormat="1" ht="21.95" customHeight="1">
      <c r="A166" s="1090">
        <v>1</v>
      </c>
      <c r="B166" s="542" t="s">
        <v>516</v>
      </c>
      <c r="C166" s="768" t="s">
        <v>585</v>
      </c>
      <c r="D166" s="768"/>
      <c r="E166" s="768"/>
      <c r="F166" s="1038">
        <v>8</v>
      </c>
      <c r="G166" s="1038">
        <v>8</v>
      </c>
      <c r="H166" s="1038">
        <v>8</v>
      </c>
      <c r="I166" s="1038">
        <v>8</v>
      </c>
      <c r="J166" s="1038">
        <v>8</v>
      </c>
      <c r="K166" s="1038" t="s">
        <v>513</v>
      </c>
      <c r="L166" s="1038" t="s">
        <v>649</v>
      </c>
      <c r="M166" s="768" t="s">
        <v>604</v>
      </c>
      <c r="N166" s="768" t="s">
        <v>481</v>
      </c>
      <c r="O166" s="768" t="s">
        <v>481</v>
      </c>
      <c r="P166" s="768" t="s">
        <v>481</v>
      </c>
      <c r="Q166" s="768" t="s">
        <v>604</v>
      </c>
      <c r="R166" s="768"/>
      <c r="S166" s="768"/>
      <c r="T166" s="768">
        <v>4</v>
      </c>
      <c r="U166" s="768" t="s">
        <v>491</v>
      </c>
      <c r="V166" s="768" t="s">
        <v>481</v>
      </c>
      <c r="W166" s="768" t="s">
        <v>481</v>
      </c>
      <c r="X166" s="768" t="s">
        <v>481</v>
      </c>
      <c r="Y166" s="768"/>
      <c r="Z166" s="768"/>
      <c r="AA166" s="768" t="s">
        <v>491</v>
      </c>
      <c r="AB166" s="768" t="s">
        <v>491</v>
      </c>
      <c r="AC166" s="768" t="s">
        <v>491</v>
      </c>
      <c r="AD166" s="768" t="s">
        <v>491</v>
      </c>
      <c r="AE166" s="768" t="s">
        <v>491</v>
      </c>
      <c r="AF166" s="768"/>
      <c r="AG166" s="771"/>
      <c r="AH166" s="892">
        <v>161.75</v>
      </c>
      <c r="AI166" s="893">
        <v>37</v>
      </c>
    </row>
    <row r="167" spans="1:36" s="1091" customFormat="1" ht="21.95" customHeight="1">
      <c r="A167" s="1090">
        <v>2</v>
      </c>
      <c r="B167" s="1092" t="s">
        <v>648</v>
      </c>
      <c r="C167" s="768" t="s">
        <v>554</v>
      </c>
      <c r="D167" s="768"/>
      <c r="E167" s="768"/>
      <c r="F167" s="768" t="s">
        <v>583</v>
      </c>
      <c r="G167" s="768" t="s">
        <v>583</v>
      </c>
      <c r="H167" s="768" t="s">
        <v>583</v>
      </c>
      <c r="I167" s="768" t="s">
        <v>583</v>
      </c>
      <c r="J167" s="768" t="s">
        <v>583</v>
      </c>
      <c r="K167" s="768" t="s">
        <v>583</v>
      </c>
      <c r="L167" s="768"/>
      <c r="M167" s="768" t="s">
        <v>583</v>
      </c>
      <c r="N167" s="768" t="s">
        <v>583</v>
      </c>
      <c r="O167" s="768" t="s">
        <v>583</v>
      </c>
      <c r="P167" s="768" t="s">
        <v>583</v>
      </c>
      <c r="Q167" s="768" t="s">
        <v>583</v>
      </c>
      <c r="R167" s="768" t="s">
        <v>583</v>
      </c>
      <c r="S167" s="764"/>
      <c r="T167" s="764" t="s">
        <v>584</v>
      </c>
      <c r="U167" s="764" t="s">
        <v>584</v>
      </c>
      <c r="V167" s="764" t="s">
        <v>584</v>
      </c>
      <c r="W167" s="764" t="s">
        <v>584</v>
      </c>
      <c r="X167" s="764" t="s">
        <v>481</v>
      </c>
      <c r="Y167" s="764"/>
      <c r="Z167" s="764"/>
      <c r="AA167" s="764" t="s">
        <v>584</v>
      </c>
      <c r="AB167" s="764" t="s">
        <v>584</v>
      </c>
      <c r="AC167" s="764" t="s">
        <v>584</v>
      </c>
      <c r="AD167" s="764" t="s">
        <v>584</v>
      </c>
      <c r="AE167" s="764" t="s">
        <v>481</v>
      </c>
      <c r="AF167" s="768"/>
      <c r="AG167" s="987"/>
      <c r="AH167" s="822">
        <v>74</v>
      </c>
      <c r="AI167" s="823">
        <v>37</v>
      </c>
    </row>
    <row r="168" spans="1:36" s="1091" customFormat="1" ht="21.95" customHeight="1">
      <c r="A168" s="1090">
        <v>3</v>
      </c>
      <c r="B168" s="836" t="s">
        <v>651</v>
      </c>
      <c r="C168" s="970" t="s">
        <v>491</v>
      </c>
      <c r="D168" s="970"/>
      <c r="E168" s="970"/>
      <c r="F168" s="970" t="s">
        <v>491</v>
      </c>
      <c r="G168" s="970" t="s">
        <v>491</v>
      </c>
      <c r="H168" s="970" t="s">
        <v>491</v>
      </c>
      <c r="I168" s="970" t="s">
        <v>491</v>
      </c>
      <c r="J168" s="970" t="s">
        <v>491</v>
      </c>
      <c r="K168" s="970"/>
      <c r="L168" s="970"/>
      <c r="M168" s="768" t="s">
        <v>540</v>
      </c>
      <c r="N168" s="768" t="s">
        <v>540</v>
      </c>
      <c r="O168" s="768" t="s">
        <v>540</v>
      </c>
      <c r="P168" s="768" t="s">
        <v>540</v>
      </c>
      <c r="Q168" s="768" t="s">
        <v>540</v>
      </c>
      <c r="R168" s="768"/>
      <c r="S168" s="768"/>
      <c r="T168" s="768" t="s">
        <v>540</v>
      </c>
      <c r="U168" s="768" t="s">
        <v>540</v>
      </c>
      <c r="V168" s="768" t="s">
        <v>540</v>
      </c>
      <c r="W168" s="768" t="s">
        <v>540</v>
      </c>
      <c r="X168" s="768" t="s">
        <v>540</v>
      </c>
      <c r="Y168" s="768"/>
      <c r="Z168" s="768"/>
      <c r="AA168" s="768" t="s">
        <v>540</v>
      </c>
      <c r="AB168" s="768" t="s">
        <v>540</v>
      </c>
      <c r="AC168" s="768" t="s">
        <v>540</v>
      </c>
      <c r="AD168" s="768" t="s">
        <v>540</v>
      </c>
      <c r="AE168" s="768" t="s">
        <v>540</v>
      </c>
      <c r="AF168" s="768"/>
      <c r="AG168" s="769"/>
      <c r="AH168" s="822">
        <v>74.5</v>
      </c>
      <c r="AI168" s="823">
        <v>37</v>
      </c>
    </row>
    <row r="169" spans="1:36" s="1091" customFormat="1" ht="21.95" customHeight="1">
      <c r="A169" s="1090">
        <v>4</v>
      </c>
      <c r="B169" s="542" t="s">
        <v>654</v>
      </c>
      <c r="C169" s="970" t="s">
        <v>491</v>
      </c>
      <c r="D169" s="970"/>
      <c r="E169" s="970"/>
      <c r="F169" s="970" t="s">
        <v>491</v>
      </c>
      <c r="G169" s="970" t="s">
        <v>491</v>
      </c>
      <c r="H169" s="970" t="s">
        <v>491</v>
      </c>
      <c r="I169" s="970" t="s">
        <v>491</v>
      </c>
      <c r="J169" s="970" t="s">
        <v>491</v>
      </c>
      <c r="K169" s="970"/>
      <c r="L169" s="970"/>
      <c r="M169" s="970" t="s">
        <v>491</v>
      </c>
      <c r="N169" s="970" t="s">
        <v>491</v>
      </c>
      <c r="O169" s="970" t="s">
        <v>491</v>
      </c>
      <c r="P169" s="970" t="s">
        <v>491</v>
      </c>
      <c r="Q169" s="970" t="s">
        <v>491</v>
      </c>
      <c r="R169" s="970"/>
      <c r="S169" s="970"/>
      <c r="T169" s="1038" t="s">
        <v>553</v>
      </c>
      <c r="U169" s="1038" t="s">
        <v>745</v>
      </c>
      <c r="V169" s="987" t="s">
        <v>553</v>
      </c>
      <c r="W169" s="987" t="s">
        <v>554</v>
      </c>
      <c r="X169" s="987" t="s">
        <v>554</v>
      </c>
      <c r="Y169" s="768" t="s">
        <v>555</v>
      </c>
      <c r="Z169" s="768" t="s">
        <v>555</v>
      </c>
      <c r="AA169" s="768" t="s">
        <v>481</v>
      </c>
      <c r="AB169" s="768" t="s">
        <v>481</v>
      </c>
      <c r="AC169" s="768" t="s">
        <v>481</v>
      </c>
      <c r="AD169" s="768" t="s">
        <v>481</v>
      </c>
      <c r="AE169" s="1131" t="s">
        <v>481</v>
      </c>
      <c r="AF169" s="1131"/>
      <c r="AG169" s="769"/>
      <c r="AH169" s="822">
        <v>74</v>
      </c>
      <c r="AI169" s="823">
        <v>37</v>
      </c>
    </row>
    <row r="170" spans="1:36" s="1091" customFormat="1" ht="21.95" customHeight="1">
      <c r="A170" s="1090">
        <v>5</v>
      </c>
      <c r="B170" s="1092" t="s">
        <v>655</v>
      </c>
      <c r="C170" s="768" t="s">
        <v>481</v>
      </c>
      <c r="D170" s="768" t="s">
        <v>555</v>
      </c>
      <c r="E170" s="768" t="s">
        <v>555</v>
      </c>
      <c r="F170" s="768" t="s">
        <v>553</v>
      </c>
      <c r="G170" s="1044" t="s">
        <v>553</v>
      </c>
      <c r="H170" s="768" t="s">
        <v>553</v>
      </c>
      <c r="I170" s="1044" t="s">
        <v>554</v>
      </c>
      <c r="J170" s="768" t="s">
        <v>554</v>
      </c>
      <c r="K170" s="1044" t="s">
        <v>515</v>
      </c>
      <c r="L170" s="768"/>
      <c r="M170" s="768" t="s">
        <v>607</v>
      </c>
      <c r="N170" s="768" t="s">
        <v>611</v>
      </c>
      <c r="O170" s="768" t="s">
        <v>611</v>
      </c>
      <c r="P170" s="768" t="s">
        <v>611</v>
      </c>
      <c r="Q170" s="768" t="s">
        <v>611</v>
      </c>
      <c r="R170" s="768"/>
      <c r="S170" s="768"/>
      <c r="T170" s="768" t="s">
        <v>606</v>
      </c>
      <c r="U170" s="768" t="s">
        <v>606</v>
      </c>
      <c r="V170" s="768" t="s">
        <v>606</v>
      </c>
      <c r="W170" s="768" t="s">
        <v>606</v>
      </c>
      <c r="X170" s="768" t="s">
        <v>606</v>
      </c>
      <c r="Y170" s="768"/>
      <c r="Z170" s="768"/>
      <c r="AA170" s="768" t="s">
        <v>606</v>
      </c>
      <c r="AB170" s="768" t="s">
        <v>606</v>
      </c>
      <c r="AC170" s="1038" t="s">
        <v>606</v>
      </c>
      <c r="AD170" s="1038" t="s">
        <v>606</v>
      </c>
      <c r="AE170" s="1038" t="s">
        <v>760</v>
      </c>
      <c r="AF170" s="768"/>
      <c r="AG170" s="769"/>
      <c r="AH170" s="824">
        <v>185</v>
      </c>
      <c r="AI170" s="825">
        <v>37</v>
      </c>
    </row>
    <row r="171" spans="1:36" s="1091" customFormat="1" ht="21.95" customHeight="1">
      <c r="A171" s="1090">
        <v>6</v>
      </c>
      <c r="B171" s="1093" t="s">
        <v>656</v>
      </c>
      <c r="C171" s="1007">
        <v>8</v>
      </c>
      <c r="D171" s="1007" t="s">
        <v>513</v>
      </c>
      <c r="E171" s="1007" t="s">
        <v>513</v>
      </c>
      <c r="F171" s="1062" t="s">
        <v>554</v>
      </c>
      <c r="G171" s="1062" t="s">
        <v>554</v>
      </c>
      <c r="H171" s="768" t="s">
        <v>554</v>
      </c>
      <c r="I171" s="768" t="s">
        <v>553</v>
      </c>
      <c r="J171" s="768" t="s">
        <v>553</v>
      </c>
      <c r="K171" s="768" t="s">
        <v>481</v>
      </c>
      <c r="L171" s="768" t="s">
        <v>481</v>
      </c>
      <c r="M171" s="768">
        <v>8</v>
      </c>
      <c r="N171" s="768">
        <v>8</v>
      </c>
      <c r="O171" s="768">
        <v>8</v>
      </c>
      <c r="P171" s="768">
        <v>8</v>
      </c>
      <c r="Q171" s="768">
        <v>8</v>
      </c>
      <c r="R171" s="768"/>
      <c r="S171" s="768"/>
      <c r="T171" s="768">
        <v>1</v>
      </c>
      <c r="U171" s="768">
        <v>4</v>
      </c>
      <c r="V171" s="768">
        <v>1</v>
      </c>
      <c r="W171" s="768">
        <v>1</v>
      </c>
      <c r="X171" s="768" t="s">
        <v>481</v>
      </c>
      <c r="Y171" s="768" t="s">
        <v>515</v>
      </c>
      <c r="Z171" s="768" t="s">
        <v>515</v>
      </c>
      <c r="AA171" s="768">
        <v>7</v>
      </c>
      <c r="AB171" s="768">
        <v>7</v>
      </c>
      <c r="AC171" s="768">
        <v>7</v>
      </c>
      <c r="AD171" s="768">
        <v>7</v>
      </c>
      <c r="AE171" s="768">
        <v>7</v>
      </c>
      <c r="AF171" s="768"/>
      <c r="AG171" s="769"/>
      <c r="AH171" s="826">
        <v>30.25</v>
      </c>
      <c r="AI171" s="827">
        <v>37</v>
      </c>
    </row>
    <row r="172" spans="1:36" s="1091" customFormat="1" ht="21.95" customHeight="1">
      <c r="A172" s="1090">
        <v>7</v>
      </c>
      <c r="B172" s="542" t="s">
        <v>657</v>
      </c>
      <c r="C172" s="970"/>
      <c r="D172" s="970"/>
      <c r="E172" s="970"/>
      <c r="F172" s="970"/>
      <c r="G172" s="970"/>
      <c r="H172" s="970"/>
      <c r="I172" s="970"/>
      <c r="J172" s="970"/>
      <c r="K172" s="970"/>
      <c r="L172" s="970"/>
      <c r="M172" s="970"/>
      <c r="N172" s="970"/>
      <c r="O172" s="970"/>
      <c r="P172" s="970"/>
      <c r="Q172" s="970"/>
      <c r="R172" s="970"/>
      <c r="S172" s="970"/>
      <c r="T172" s="768" t="s">
        <v>596</v>
      </c>
      <c r="U172" s="768" t="s">
        <v>596</v>
      </c>
      <c r="V172" s="768" t="s">
        <v>596</v>
      </c>
      <c r="W172" s="768" t="s">
        <v>596</v>
      </c>
      <c r="X172" s="768" t="s">
        <v>596</v>
      </c>
      <c r="Y172" s="768"/>
      <c r="Z172" s="768"/>
      <c r="AA172" s="768" t="s">
        <v>553</v>
      </c>
      <c r="AB172" s="768" t="s">
        <v>553</v>
      </c>
      <c r="AC172" s="768" t="s">
        <v>553</v>
      </c>
      <c r="AD172" s="768" t="s">
        <v>554</v>
      </c>
      <c r="AE172" s="1044" t="s">
        <v>554</v>
      </c>
      <c r="AF172" s="768" t="s">
        <v>555</v>
      </c>
      <c r="AG172" s="769" t="s">
        <v>555</v>
      </c>
      <c r="AH172" s="826">
        <v>74</v>
      </c>
      <c r="AI172" s="827">
        <v>37</v>
      </c>
    </row>
    <row r="173" spans="1:36" s="1091" customFormat="1" ht="21.95" customHeight="1">
      <c r="A173" s="1090">
        <v>8</v>
      </c>
      <c r="B173" s="1092"/>
      <c r="C173" s="768"/>
      <c r="D173" s="768"/>
      <c r="E173" s="768"/>
      <c r="F173" s="768"/>
      <c r="G173" s="768"/>
      <c r="H173" s="768"/>
      <c r="I173" s="768"/>
      <c r="J173" s="768"/>
      <c r="K173" s="768"/>
      <c r="L173" s="768"/>
      <c r="M173" s="768"/>
      <c r="N173" s="768"/>
      <c r="O173" s="768"/>
      <c r="P173" s="768"/>
      <c r="Q173" s="768"/>
      <c r="R173" s="768"/>
      <c r="S173" s="768"/>
      <c r="T173" s="768"/>
      <c r="U173" s="768"/>
      <c r="V173" s="768"/>
      <c r="W173" s="768"/>
      <c r="X173" s="768"/>
      <c r="Y173" s="768"/>
      <c r="Z173" s="768"/>
      <c r="AA173" s="768"/>
      <c r="AB173" s="768"/>
      <c r="AC173" s="768"/>
      <c r="AD173" s="768"/>
      <c r="AE173" s="768"/>
      <c r="AF173" s="768"/>
      <c r="AG173" s="769"/>
      <c r="AH173" s="826">
        <v>185</v>
      </c>
      <c r="AI173" s="827">
        <v>37</v>
      </c>
    </row>
    <row r="174" spans="1:36" s="1091" customFormat="1" ht="21.95" customHeight="1">
      <c r="A174" s="1090">
        <v>9</v>
      </c>
      <c r="B174" s="1092"/>
      <c r="C174" s="768"/>
      <c r="D174" s="768"/>
      <c r="E174" s="768"/>
      <c r="F174" s="768"/>
      <c r="G174" s="768"/>
      <c r="H174" s="768"/>
      <c r="I174" s="768"/>
      <c r="J174" s="768"/>
      <c r="K174" s="768"/>
      <c r="L174" s="768"/>
      <c r="M174" s="768"/>
      <c r="N174" s="768"/>
      <c r="O174" s="768"/>
      <c r="P174" s="768"/>
      <c r="Q174" s="768"/>
      <c r="R174" s="768"/>
      <c r="S174" s="768"/>
      <c r="T174" s="768"/>
      <c r="U174" s="768"/>
      <c r="V174" s="768"/>
      <c r="W174" s="768"/>
      <c r="X174" s="768"/>
      <c r="Y174" s="768"/>
      <c r="Z174" s="768"/>
      <c r="AA174" s="768"/>
      <c r="AB174" s="768"/>
      <c r="AC174" s="768"/>
      <c r="AD174" s="768"/>
      <c r="AE174" s="768"/>
      <c r="AF174" s="768"/>
      <c r="AG174" s="769"/>
      <c r="AH174" s="826">
        <v>185</v>
      </c>
      <c r="AI174" s="827">
        <v>37</v>
      </c>
    </row>
    <row r="175" spans="1:36" s="1091" customFormat="1" ht="21.95" customHeight="1">
      <c r="A175" s="1090">
        <v>10</v>
      </c>
      <c r="B175" s="1092"/>
      <c r="C175" s="768"/>
      <c r="D175" s="768"/>
      <c r="E175" s="768"/>
      <c r="F175" s="768"/>
      <c r="G175" s="768"/>
      <c r="H175" s="768"/>
      <c r="I175" s="768"/>
      <c r="J175" s="768"/>
      <c r="K175" s="768"/>
      <c r="L175" s="768"/>
      <c r="M175" s="768"/>
      <c r="N175" s="768"/>
      <c r="O175" s="768"/>
      <c r="P175" s="768"/>
      <c r="Q175" s="768"/>
      <c r="R175" s="768"/>
      <c r="S175" s="768"/>
      <c r="T175" s="768"/>
      <c r="U175" s="768"/>
      <c r="V175" s="768"/>
      <c r="W175" s="768"/>
      <c r="X175" s="768"/>
      <c r="Y175" s="768"/>
      <c r="Z175" s="768"/>
      <c r="AA175" s="768"/>
      <c r="AB175" s="768"/>
      <c r="AC175" s="768"/>
      <c r="AD175" s="768"/>
      <c r="AE175" s="768"/>
      <c r="AF175" s="768"/>
      <c r="AG175" s="769"/>
      <c r="AH175" s="826">
        <v>185</v>
      </c>
      <c r="AI175" s="827">
        <v>37</v>
      </c>
    </row>
    <row r="176" spans="1:36" s="1091" customFormat="1" ht="21.95" customHeight="1" thickBot="1">
      <c r="A176" s="1090">
        <v>11</v>
      </c>
      <c r="B176" s="1096"/>
      <c r="C176" s="867"/>
      <c r="D176" s="867"/>
      <c r="E176" s="867"/>
      <c r="F176" s="867"/>
      <c r="G176" s="867"/>
      <c r="H176" s="867"/>
      <c r="I176" s="867"/>
      <c r="J176" s="867"/>
      <c r="K176" s="867"/>
      <c r="L176" s="867"/>
      <c r="M176" s="867"/>
      <c r="N176" s="867"/>
      <c r="O176" s="867"/>
      <c r="P176" s="867"/>
      <c r="Q176" s="867"/>
      <c r="R176" s="867"/>
      <c r="S176" s="867"/>
      <c r="T176" s="867"/>
      <c r="U176" s="867"/>
      <c r="V176" s="867"/>
      <c r="W176" s="867"/>
      <c r="X176" s="867"/>
      <c r="Y176" s="867"/>
      <c r="Z176" s="867"/>
      <c r="AA176" s="867"/>
      <c r="AB176" s="867"/>
      <c r="AC176" s="867"/>
      <c r="AD176" s="867"/>
      <c r="AE176" s="867"/>
      <c r="AF176" s="867"/>
      <c r="AG176" s="1097"/>
      <c r="AH176" s="826">
        <v>185</v>
      </c>
      <c r="AI176" s="827">
        <v>37</v>
      </c>
    </row>
    <row r="177" spans="1:35" s="1091" customFormat="1" ht="21.95" customHeight="1" thickBot="1">
      <c r="A177" s="1098">
        <v>12</v>
      </c>
      <c r="AH177" s="828">
        <v>185</v>
      </c>
      <c r="AI177" s="829">
        <v>37</v>
      </c>
    </row>
    <row r="178" spans="1:35" s="1091" customFormat="1" ht="21" customHeight="1">
      <c r="A178" s="1099" t="s">
        <v>659</v>
      </c>
      <c r="AH178"/>
      <c r="AI178"/>
    </row>
    <row r="179" spans="1:35" s="1091" customFormat="1" ht="21" customHeight="1" thickBot="1">
      <c r="A179" s="1100"/>
      <c r="B179" s="1101" t="s">
        <v>476</v>
      </c>
      <c r="C179" s="867">
        <v>1</v>
      </c>
      <c r="D179" s="1102">
        <v>2</v>
      </c>
      <c r="E179" s="1102">
        <v>3</v>
      </c>
      <c r="F179" s="867">
        <v>4</v>
      </c>
      <c r="G179" s="867">
        <v>5</v>
      </c>
      <c r="H179" s="867">
        <v>6</v>
      </c>
      <c r="I179" s="867">
        <v>7</v>
      </c>
      <c r="J179" s="867">
        <v>8</v>
      </c>
      <c r="K179" s="1102">
        <v>9</v>
      </c>
      <c r="L179" s="1102">
        <v>10</v>
      </c>
      <c r="M179" s="867">
        <v>11</v>
      </c>
      <c r="N179" s="867">
        <v>12</v>
      </c>
      <c r="O179" s="867">
        <v>13</v>
      </c>
      <c r="P179" s="867">
        <v>14</v>
      </c>
      <c r="Q179" s="867">
        <v>15</v>
      </c>
      <c r="R179" s="1102">
        <v>16</v>
      </c>
      <c r="S179" s="1102">
        <v>17</v>
      </c>
      <c r="T179" s="867">
        <v>18</v>
      </c>
      <c r="U179" s="867">
        <v>19</v>
      </c>
      <c r="V179" s="867">
        <v>20</v>
      </c>
      <c r="W179" s="867">
        <v>21</v>
      </c>
      <c r="X179" s="867">
        <v>22</v>
      </c>
      <c r="Y179" s="1102">
        <v>23</v>
      </c>
      <c r="Z179" s="1102">
        <v>24</v>
      </c>
      <c r="AA179" s="867">
        <v>25</v>
      </c>
      <c r="AB179" s="867">
        <v>26</v>
      </c>
      <c r="AC179" s="867">
        <v>27</v>
      </c>
      <c r="AD179" s="867">
        <v>28</v>
      </c>
      <c r="AE179" s="867">
        <v>29</v>
      </c>
      <c r="AF179" s="1102">
        <v>30</v>
      </c>
      <c r="AG179" s="1103">
        <v>31</v>
      </c>
      <c r="AH179" s="600"/>
      <c r="AI179"/>
    </row>
    <row r="180" spans="1:35" s="1091" customFormat="1" ht="21" customHeight="1">
      <c r="A180" s="1104">
        <v>1</v>
      </c>
      <c r="B180" s="836" t="s">
        <v>660</v>
      </c>
      <c r="C180" s="764" t="s">
        <v>604</v>
      </c>
      <c r="D180" s="764"/>
      <c r="E180" s="764"/>
      <c r="F180" s="764">
        <v>6</v>
      </c>
      <c r="G180" s="764">
        <v>6</v>
      </c>
      <c r="H180" s="764">
        <v>6</v>
      </c>
      <c r="I180" s="1000">
        <v>6</v>
      </c>
      <c r="J180" s="1000" t="s">
        <v>761</v>
      </c>
      <c r="K180" s="764" t="s">
        <v>512</v>
      </c>
      <c r="L180" s="764" t="s">
        <v>513</v>
      </c>
      <c r="M180" s="764" t="s">
        <v>481</v>
      </c>
      <c r="N180" s="1024" t="s">
        <v>481</v>
      </c>
      <c r="O180" s="764" t="s">
        <v>481</v>
      </c>
      <c r="P180" s="764" t="s">
        <v>481</v>
      </c>
      <c r="Q180" s="764" t="s">
        <v>481</v>
      </c>
      <c r="R180" s="764"/>
      <c r="S180" s="764"/>
      <c r="T180" s="985" t="s">
        <v>611</v>
      </c>
      <c r="U180" s="985" t="s">
        <v>611</v>
      </c>
      <c r="V180" s="985" t="s">
        <v>611</v>
      </c>
      <c r="W180" s="985" t="s">
        <v>611</v>
      </c>
      <c r="X180" s="985" t="s">
        <v>611</v>
      </c>
      <c r="Y180" s="764"/>
      <c r="Z180" s="764"/>
      <c r="AA180" s="764">
        <v>6</v>
      </c>
      <c r="AB180" s="764">
        <v>6</v>
      </c>
      <c r="AC180" s="764">
        <v>6</v>
      </c>
      <c r="AD180" s="764">
        <v>6</v>
      </c>
      <c r="AE180" s="764">
        <v>6</v>
      </c>
      <c r="AF180" s="764" t="s">
        <v>512</v>
      </c>
      <c r="AG180" s="764" t="s">
        <v>513</v>
      </c>
      <c r="AH180" s="600"/>
      <c r="AI180"/>
    </row>
    <row r="181" spans="1:35" s="1091" customFormat="1" ht="21" customHeight="1">
      <c r="A181" s="1105">
        <v>2</v>
      </c>
      <c r="B181" s="836" t="s">
        <v>661</v>
      </c>
      <c r="C181" s="764">
        <v>8</v>
      </c>
      <c r="D181" s="768" t="s">
        <v>513</v>
      </c>
      <c r="E181" s="768" t="s">
        <v>513</v>
      </c>
      <c r="F181" s="768" t="s">
        <v>481</v>
      </c>
      <c r="G181" s="768" t="s">
        <v>481</v>
      </c>
      <c r="H181" s="768" t="s">
        <v>481</v>
      </c>
      <c r="I181" s="768" t="s">
        <v>481</v>
      </c>
      <c r="J181" s="768">
        <v>8</v>
      </c>
      <c r="K181" s="768" t="s">
        <v>28</v>
      </c>
      <c r="L181" s="768" t="s">
        <v>28</v>
      </c>
      <c r="M181" s="768" t="s">
        <v>554</v>
      </c>
      <c r="N181" s="768" t="s">
        <v>554</v>
      </c>
      <c r="O181" s="768" t="s">
        <v>554</v>
      </c>
      <c r="P181" s="768" t="s">
        <v>553</v>
      </c>
      <c r="Q181" s="768" t="s">
        <v>553</v>
      </c>
      <c r="R181" s="768"/>
      <c r="S181" s="768"/>
      <c r="T181" s="768">
        <v>6</v>
      </c>
      <c r="U181" s="768">
        <v>6</v>
      </c>
      <c r="V181" s="768">
        <v>6</v>
      </c>
      <c r="W181" s="768">
        <v>6</v>
      </c>
      <c r="X181" s="768">
        <v>6</v>
      </c>
      <c r="Y181" s="768" t="s">
        <v>512</v>
      </c>
      <c r="Z181" s="768" t="s">
        <v>513</v>
      </c>
      <c r="AA181" s="768" t="s">
        <v>481</v>
      </c>
      <c r="AB181" s="768" t="s">
        <v>481</v>
      </c>
      <c r="AC181" s="768" t="s">
        <v>481</v>
      </c>
      <c r="AD181" s="768" t="s">
        <v>481</v>
      </c>
      <c r="AE181" s="768" t="s">
        <v>481</v>
      </c>
      <c r="AF181" s="768"/>
      <c r="AG181" s="987"/>
      <c r="AH181" s="600"/>
      <c r="AI181"/>
    </row>
    <row r="182" spans="1:35" s="1091" customFormat="1" ht="21" customHeight="1">
      <c r="A182" s="1105">
        <v>3</v>
      </c>
      <c r="B182" s="566" t="s">
        <v>747</v>
      </c>
      <c r="C182" s="768"/>
      <c r="D182" s="768"/>
      <c r="E182" s="768"/>
      <c r="F182" s="768"/>
      <c r="G182" s="768"/>
      <c r="H182" s="768"/>
      <c r="I182" s="768"/>
      <c r="J182" s="768"/>
      <c r="K182" s="768"/>
      <c r="L182" s="768"/>
      <c r="M182" s="768"/>
      <c r="N182" s="768"/>
      <c r="O182" s="768"/>
      <c r="P182" s="768"/>
      <c r="Q182" s="768"/>
      <c r="R182" s="768"/>
      <c r="S182" s="768"/>
      <c r="T182" s="768"/>
      <c r="U182" s="768"/>
      <c r="V182" s="768"/>
      <c r="W182" s="768"/>
      <c r="X182" s="768"/>
      <c r="Y182" s="768"/>
      <c r="Z182" s="768"/>
      <c r="AA182" s="768"/>
      <c r="AB182" s="768"/>
      <c r="AC182" s="768"/>
      <c r="AD182" s="768"/>
      <c r="AE182" s="768"/>
      <c r="AF182" s="768"/>
      <c r="AG182" s="987"/>
      <c r="AH182" s="600"/>
      <c r="AI182"/>
    </row>
    <row r="183" spans="1:35" s="1091" customFormat="1" ht="21" customHeight="1">
      <c r="A183" s="1105">
        <v>4</v>
      </c>
      <c r="B183" s="601" t="s">
        <v>662</v>
      </c>
      <c r="C183" s="768"/>
      <c r="D183" s="768"/>
      <c r="E183" s="768"/>
      <c r="F183" s="768"/>
      <c r="G183" s="768"/>
      <c r="H183" s="768"/>
      <c r="I183" s="768"/>
      <c r="J183" s="768"/>
      <c r="K183" s="768"/>
      <c r="L183" s="768"/>
      <c r="M183" s="768"/>
      <c r="N183" s="768"/>
      <c r="O183" s="768"/>
      <c r="P183" s="768"/>
      <c r="Q183" s="768"/>
      <c r="R183" s="768"/>
      <c r="S183" s="768"/>
      <c r="T183" s="768"/>
      <c r="U183" s="768"/>
      <c r="V183" s="768"/>
      <c r="W183" s="768"/>
      <c r="X183" s="768"/>
      <c r="Y183" s="768"/>
      <c r="Z183" s="768"/>
      <c r="AA183" s="768"/>
      <c r="AB183" s="768"/>
      <c r="AC183" s="768"/>
      <c r="AD183" s="768"/>
      <c r="AE183" s="768"/>
      <c r="AF183" s="768"/>
      <c r="AG183" s="987"/>
      <c r="AH183" s="600"/>
      <c r="AI183"/>
    </row>
    <row r="184" spans="1:35" s="1091" customFormat="1" ht="21" customHeight="1" thickBot="1">
      <c r="A184" s="1100">
        <v>5</v>
      </c>
      <c r="B184" s="874"/>
      <c r="C184" s="867"/>
      <c r="D184" s="867"/>
      <c r="E184" s="867"/>
      <c r="F184" s="867"/>
      <c r="G184" s="867"/>
      <c r="H184" s="867"/>
      <c r="I184" s="867"/>
      <c r="J184" s="867"/>
      <c r="K184" s="867"/>
      <c r="L184" s="867"/>
      <c r="M184" s="867"/>
      <c r="N184" s="867"/>
      <c r="O184" s="867"/>
      <c r="P184" s="867"/>
      <c r="Q184" s="867"/>
      <c r="R184" s="867"/>
      <c r="S184" s="867"/>
      <c r="T184" s="867"/>
      <c r="U184" s="867"/>
      <c r="V184" s="867"/>
      <c r="W184" s="867"/>
      <c r="X184" s="867"/>
      <c r="Y184" s="867"/>
      <c r="Z184" s="867"/>
      <c r="AA184" s="867"/>
      <c r="AB184" s="867"/>
      <c r="AC184" s="867"/>
      <c r="AD184" s="867"/>
      <c r="AE184" s="867"/>
      <c r="AF184" s="867"/>
      <c r="AG184" s="1106"/>
      <c r="AH184" s="600"/>
      <c r="AI184"/>
    </row>
    <row r="185" spans="1:35" ht="21" customHeight="1">
      <c r="A185" s="785"/>
      <c r="B185" s="354"/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  <c r="M185" s="139"/>
      <c r="N185" s="786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600"/>
    </row>
    <row r="186" spans="1:35" ht="21.95" customHeight="1" thickBot="1">
      <c r="A186" s="1" t="s">
        <v>663</v>
      </c>
      <c r="B186" s="274"/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</row>
    <row r="187" spans="1:35" ht="21.95" customHeight="1">
      <c r="A187" s="1"/>
      <c r="B187" s="796" t="s">
        <v>664</v>
      </c>
      <c r="C187" s="51" t="s">
        <v>2</v>
      </c>
      <c r="D187" s="51"/>
      <c r="E187" s="51"/>
      <c r="F187" s="51"/>
      <c r="G187" s="798" t="s">
        <v>3</v>
      </c>
      <c r="H187" s="51"/>
      <c r="I187" s="51"/>
      <c r="J187" s="51"/>
      <c r="K187" s="798" t="s">
        <v>4</v>
      </c>
      <c r="L187" s="51"/>
      <c r="M187" s="51"/>
      <c r="N187" s="51"/>
      <c r="O187" s="798" t="s">
        <v>5</v>
      </c>
      <c r="P187" s="51"/>
      <c r="Q187" s="51"/>
      <c r="R187" s="51"/>
      <c r="S187" s="798" t="s">
        <v>6</v>
      </c>
      <c r="T187" s="51"/>
      <c r="U187" s="51"/>
      <c r="V187" s="51"/>
      <c r="W187" s="51"/>
      <c r="X187" s="802" t="s">
        <v>7</v>
      </c>
      <c r="Y187" s="51"/>
      <c r="Z187" s="548"/>
      <c r="AA187" s="7"/>
      <c r="AB187" s="522" t="s">
        <v>8</v>
      </c>
      <c r="AC187" s="51"/>
      <c r="AD187" s="51"/>
      <c r="AE187" s="425" t="s">
        <v>10</v>
      </c>
      <c r="AF187" s="51"/>
      <c r="AG187" s="51"/>
      <c r="AH187" s="51"/>
      <c r="AI187" s="523"/>
    </row>
    <row r="188" spans="1:35" ht="21.95" customHeight="1">
      <c r="A188" s="1"/>
      <c r="B188" s="796">
        <v>3701</v>
      </c>
      <c r="C188" s="55" t="s">
        <v>665</v>
      </c>
      <c r="D188" s="55"/>
      <c r="E188" s="55"/>
      <c r="F188" s="55"/>
      <c r="G188" s="799" t="s">
        <v>124</v>
      </c>
      <c r="H188" s="55"/>
      <c r="I188" s="55"/>
      <c r="J188" s="55"/>
      <c r="K188" s="799" t="s">
        <v>124</v>
      </c>
      <c r="L188" s="55"/>
      <c r="M188" s="55"/>
      <c r="N188" s="55"/>
      <c r="O188" s="799" t="s">
        <v>124</v>
      </c>
      <c r="P188" s="55"/>
      <c r="Q188" s="55"/>
      <c r="R188" s="55"/>
      <c r="S188" s="799" t="s">
        <v>125</v>
      </c>
      <c r="T188" s="55"/>
      <c r="U188" s="55"/>
      <c r="V188" s="55"/>
      <c r="W188" s="55"/>
      <c r="X188" s="803"/>
      <c r="Y188" s="55"/>
      <c r="Z188" s="602"/>
      <c r="AA188" s="14"/>
      <c r="AB188" s="603"/>
      <c r="AC188" s="55"/>
      <c r="AD188" s="55"/>
      <c r="AE188" s="604"/>
      <c r="AF188" s="55"/>
      <c r="AG188" s="55"/>
      <c r="AH188" s="55"/>
      <c r="AI188" s="605"/>
    </row>
    <row r="189" spans="1:35" ht="21.95" customHeight="1">
      <c r="B189" s="796">
        <v>3700</v>
      </c>
      <c r="C189" s="157" t="s">
        <v>535</v>
      </c>
      <c r="D189" s="157"/>
      <c r="E189" s="157"/>
      <c r="F189" s="157"/>
      <c r="G189" s="712" t="s">
        <v>535</v>
      </c>
      <c r="H189" s="157"/>
      <c r="I189" s="157"/>
      <c r="J189" s="157"/>
      <c r="K189" s="712" t="s">
        <v>535</v>
      </c>
      <c r="L189" s="157"/>
      <c r="M189" s="157"/>
      <c r="N189" s="157"/>
      <c r="O189" s="712" t="s">
        <v>535</v>
      </c>
      <c r="P189" s="157"/>
      <c r="Q189" s="157"/>
      <c r="R189" s="157"/>
      <c r="S189" s="712" t="s">
        <v>116</v>
      </c>
      <c r="T189" s="157"/>
      <c r="U189" s="157"/>
      <c r="V189" s="157"/>
      <c r="W189" s="157"/>
      <c r="X189" s="712"/>
      <c r="Y189" s="157"/>
      <c r="Z189" s="564"/>
      <c r="AA189" s="563"/>
      <c r="AB189" s="157"/>
      <c r="AC189" s="157"/>
      <c r="AD189" s="565"/>
      <c r="AE189" s="607"/>
      <c r="AF189" s="157"/>
      <c r="AG189" s="157" t="s">
        <v>28</v>
      </c>
      <c r="AH189" s="565"/>
      <c r="AI189" s="490"/>
    </row>
    <row r="190" spans="1:35" ht="21.95" customHeight="1">
      <c r="A190" s="1"/>
      <c r="B190" s="796">
        <v>8514</v>
      </c>
      <c r="C190" s="157" t="s">
        <v>124</v>
      </c>
      <c r="D190" s="157"/>
      <c r="E190" s="157"/>
      <c r="F190" s="157"/>
      <c r="G190" s="712" t="s">
        <v>124</v>
      </c>
      <c r="H190" s="157"/>
      <c r="I190" s="157"/>
      <c r="J190" s="157"/>
      <c r="K190" s="712" t="s">
        <v>124</v>
      </c>
      <c r="L190" s="157"/>
      <c r="M190" s="157"/>
      <c r="N190" s="157"/>
      <c r="O190" s="712" t="s">
        <v>124</v>
      </c>
      <c r="P190" s="157"/>
      <c r="Q190" s="157"/>
      <c r="R190" s="157"/>
      <c r="S190" s="712" t="s">
        <v>666</v>
      </c>
      <c r="T190" s="157"/>
      <c r="U190" s="157"/>
      <c r="V190" s="157"/>
      <c r="W190" s="157"/>
      <c r="X190" s="712"/>
      <c r="Y190" s="157"/>
      <c r="Z190" s="564"/>
      <c r="AA190" s="121"/>
      <c r="AB190" s="157"/>
      <c r="AC190" s="157"/>
      <c r="AD190" s="565"/>
      <c r="AE190" s="121"/>
      <c r="AF190" s="157"/>
      <c r="AG190" s="157"/>
      <c r="AH190" s="565"/>
      <c r="AI190" s="490"/>
    </row>
    <row r="191" spans="1:35" ht="21.95" customHeight="1">
      <c r="A191" s="1"/>
      <c r="B191" s="796">
        <v>8500</v>
      </c>
      <c r="C191" s="55" t="s">
        <v>11</v>
      </c>
      <c r="D191" s="55"/>
      <c r="E191" s="55"/>
      <c r="F191" s="55"/>
      <c r="G191" s="799" t="s">
        <v>11</v>
      </c>
      <c r="H191" s="55"/>
      <c r="I191" s="55"/>
      <c r="J191" s="55"/>
      <c r="K191" s="799" t="s">
        <v>11</v>
      </c>
      <c r="L191" s="55"/>
      <c r="M191" s="55"/>
      <c r="N191" s="55"/>
      <c r="O191" s="799" t="s">
        <v>11</v>
      </c>
      <c r="P191" s="55"/>
      <c r="Q191" s="55"/>
      <c r="R191" s="55"/>
      <c r="S191" s="799" t="s">
        <v>12</v>
      </c>
      <c r="T191" s="55"/>
      <c r="U191" s="55"/>
      <c r="V191" s="55"/>
      <c r="W191" s="55"/>
      <c r="X191" s="799"/>
      <c r="Y191" s="55"/>
      <c r="Z191" s="609"/>
      <c r="AA191" s="608"/>
      <c r="AB191" s="55"/>
      <c r="AC191" s="55"/>
      <c r="AD191" s="609"/>
      <c r="AE191" s="608"/>
      <c r="AF191" s="55"/>
      <c r="AG191" s="55"/>
      <c r="AH191" s="594"/>
      <c r="AI191" s="605"/>
    </row>
    <row r="192" spans="1:35" ht="21.95" customHeight="1">
      <c r="A192" s="1"/>
      <c r="B192" s="796">
        <v>8514</v>
      </c>
      <c r="C192" s="610" t="s">
        <v>124</v>
      </c>
      <c r="D192" s="610"/>
      <c r="E192" s="610"/>
      <c r="F192" s="610"/>
      <c r="G192" s="800" t="s">
        <v>124</v>
      </c>
      <c r="H192" s="610"/>
      <c r="I192" s="610"/>
      <c r="J192" s="610"/>
      <c r="K192" s="800" t="s">
        <v>124</v>
      </c>
      <c r="L192" s="610"/>
      <c r="M192" s="610"/>
      <c r="N192" s="610"/>
      <c r="O192" s="800" t="s">
        <v>124</v>
      </c>
      <c r="P192" s="610"/>
      <c r="Q192" s="610"/>
      <c r="R192" s="610"/>
      <c r="S192" s="800" t="s">
        <v>666</v>
      </c>
      <c r="T192" s="610"/>
      <c r="U192" s="610"/>
      <c r="V192" s="610"/>
      <c r="W192" s="610"/>
      <c r="X192" s="803"/>
      <c r="Y192" s="55"/>
      <c r="Z192" s="602"/>
      <c r="AA192" s="14"/>
      <c r="AB192" s="603"/>
      <c r="AC192" s="55"/>
      <c r="AD192" s="55"/>
      <c r="AE192" s="604"/>
      <c r="AF192" s="55"/>
      <c r="AG192" s="55"/>
      <c r="AH192" s="55"/>
      <c r="AI192" s="605"/>
    </row>
    <row r="193" spans="1:35" ht="21.95" customHeight="1" thickBot="1">
      <c r="A193" s="1"/>
      <c r="B193" s="797" t="s">
        <v>667</v>
      </c>
      <c r="C193" s="53" t="s">
        <v>668</v>
      </c>
      <c r="D193" s="53"/>
      <c r="E193" s="53"/>
      <c r="F193" s="53"/>
      <c r="G193" s="801" t="s">
        <v>668</v>
      </c>
      <c r="H193" s="53"/>
      <c r="I193" s="53"/>
      <c r="J193" s="53"/>
      <c r="K193" s="53" t="s">
        <v>668</v>
      </c>
      <c r="L193" s="53"/>
      <c r="M193" s="53"/>
      <c r="N193" s="53"/>
      <c r="O193" s="801" t="s">
        <v>668</v>
      </c>
      <c r="P193" s="53"/>
      <c r="Q193" s="53"/>
      <c r="R193" s="53"/>
      <c r="S193" s="801" t="s">
        <v>669</v>
      </c>
      <c r="T193" s="53"/>
      <c r="U193" s="53"/>
      <c r="V193" s="53"/>
      <c r="W193" s="53"/>
      <c r="X193" s="801"/>
      <c r="Y193" s="53"/>
      <c r="Z193" s="571"/>
      <c r="AA193" s="570"/>
      <c r="AB193" s="53"/>
      <c r="AC193" s="53"/>
      <c r="AD193" s="573"/>
      <c r="AE193" s="612"/>
      <c r="AF193" s="53"/>
      <c r="AG193" s="53" t="s">
        <v>28</v>
      </c>
      <c r="AH193" s="573"/>
      <c r="AI193" s="536"/>
    </row>
    <row r="194" spans="1:35" ht="21.95" customHeight="1">
      <c r="A194" s="1"/>
      <c r="B194" s="72"/>
      <c r="C194" s="312"/>
      <c r="F194" s="354"/>
      <c r="G194" s="312"/>
      <c r="J194" s="354"/>
      <c r="K194" s="312"/>
      <c r="N194" s="354"/>
      <c r="O194" s="312"/>
      <c r="R194" s="354"/>
      <c r="S194" s="312"/>
      <c r="V194" s="354"/>
      <c r="W194" s="354"/>
      <c r="Z194" s="354"/>
      <c r="AA194" s="354"/>
      <c r="AD194" s="354"/>
      <c r="AE194" s="354"/>
      <c r="AH194" s="354"/>
    </row>
    <row r="195" spans="1:35" ht="21.95" customHeight="1" thickBot="1">
      <c r="A195" s="1" t="s">
        <v>670</v>
      </c>
      <c r="B195" s="72"/>
      <c r="C195" s="312"/>
      <c r="F195" s="354"/>
      <c r="G195" s="312"/>
      <c r="J195" s="354"/>
      <c r="K195" s="312"/>
      <c r="N195" s="354"/>
      <c r="O195" s="312"/>
      <c r="R195" s="354"/>
      <c r="S195" s="312"/>
      <c r="V195" s="354"/>
      <c r="W195" s="354"/>
      <c r="Z195" s="354"/>
      <c r="AA195" s="354"/>
      <c r="AD195" s="354"/>
      <c r="AE195" s="354"/>
      <c r="AH195" s="354"/>
    </row>
    <row r="196" spans="1:35" ht="21.95" customHeight="1" thickBot="1">
      <c r="A196" s="861"/>
      <c r="B196" s="862" t="s">
        <v>476</v>
      </c>
      <c r="C196" s="863">
        <v>1</v>
      </c>
      <c r="D196" s="880">
        <v>2</v>
      </c>
      <c r="E196" s="880">
        <v>3</v>
      </c>
      <c r="F196" s="863">
        <v>4</v>
      </c>
      <c r="G196" s="863">
        <v>5</v>
      </c>
      <c r="H196" s="863">
        <v>6</v>
      </c>
      <c r="I196" s="863">
        <v>7</v>
      </c>
      <c r="J196" s="863">
        <v>8</v>
      </c>
      <c r="K196" s="880">
        <v>9</v>
      </c>
      <c r="L196" s="880">
        <v>10</v>
      </c>
      <c r="M196" s="863">
        <v>11</v>
      </c>
      <c r="N196" s="863">
        <v>12</v>
      </c>
      <c r="O196" s="863">
        <v>13</v>
      </c>
      <c r="P196" s="863">
        <v>14</v>
      </c>
      <c r="Q196" s="863">
        <v>15</v>
      </c>
      <c r="R196" s="880">
        <v>16</v>
      </c>
      <c r="S196" s="880">
        <v>17</v>
      </c>
      <c r="T196" s="863">
        <v>18</v>
      </c>
      <c r="U196" s="863">
        <v>19</v>
      </c>
      <c r="V196" s="863">
        <v>20</v>
      </c>
      <c r="W196" s="863">
        <v>21</v>
      </c>
      <c r="X196" s="863">
        <v>22</v>
      </c>
      <c r="Y196" s="880">
        <v>23</v>
      </c>
      <c r="Z196" s="880">
        <v>24</v>
      </c>
      <c r="AA196" s="863">
        <v>25</v>
      </c>
      <c r="AB196" s="863">
        <v>26</v>
      </c>
      <c r="AC196" s="863">
        <v>27</v>
      </c>
      <c r="AD196" s="863">
        <v>28</v>
      </c>
      <c r="AE196" s="863">
        <v>29</v>
      </c>
      <c r="AF196" s="880">
        <v>30</v>
      </c>
      <c r="AG196" s="949">
        <v>31</v>
      </c>
      <c r="AH196" s="864" t="s">
        <v>477</v>
      </c>
      <c r="AI196" s="865" t="s">
        <v>478</v>
      </c>
    </row>
    <row r="197" spans="1:35" ht="21.95" customHeight="1">
      <c r="A197" s="897"/>
      <c r="B197" s="900" t="s">
        <v>671</v>
      </c>
      <c r="C197" s="768" t="s">
        <v>491</v>
      </c>
      <c r="D197" s="768"/>
      <c r="E197" s="768"/>
      <c r="F197" s="768" t="s">
        <v>491</v>
      </c>
      <c r="G197" s="768" t="s">
        <v>491</v>
      </c>
      <c r="H197" s="768" t="s">
        <v>491</v>
      </c>
      <c r="I197" s="768" t="s">
        <v>491</v>
      </c>
      <c r="J197" s="768" t="s">
        <v>491</v>
      </c>
      <c r="K197" s="768"/>
      <c r="L197" s="768"/>
      <c r="M197" s="768" t="s">
        <v>491</v>
      </c>
      <c r="N197" s="768" t="s">
        <v>491</v>
      </c>
      <c r="O197" s="768" t="s">
        <v>491</v>
      </c>
      <c r="P197" s="768" t="s">
        <v>491</v>
      </c>
      <c r="Q197" s="768" t="s">
        <v>491</v>
      </c>
      <c r="R197" s="768"/>
      <c r="S197" s="768"/>
      <c r="T197" s="768" t="s">
        <v>491</v>
      </c>
      <c r="U197" s="768" t="s">
        <v>491</v>
      </c>
      <c r="V197" s="768" t="s">
        <v>491</v>
      </c>
      <c r="W197" s="768" t="s">
        <v>491</v>
      </c>
      <c r="X197" s="768" t="s">
        <v>491</v>
      </c>
      <c r="Y197" s="768"/>
      <c r="Z197" s="768"/>
      <c r="AA197" s="768" t="s">
        <v>491</v>
      </c>
      <c r="AB197" s="768" t="s">
        <v>491</v>
      </c>
      <c r="AC197" s="768" t="s">
        <v>491</v>
      </c>
      <c r="AD197" s="768" t="s">
        <v>491</v>
      </c>
      <c r="AE197" s="768" t="s">
        <v>491</v>
      </c>
      <c r="AF197" s="768"/>
      <c r="AG197" s="771"/>
      <c r="AH197" s="901">
        <v>74</v>
      </c>
      <c r="AI197" s="902">
        <v>37</v>
      </c>
    </row>
    <row r="198" spans="1:35" ht="21.95" customHeight="1">
      <c r="A198" s="614">
        <v>8500</v>
      </c>
      <c r="B198" s="790" t="s">
        <v>156</v>
      </c>
      <c r="C198" s="977" t="s">
        <v>491</v>
      </c>
      <c r="D198" s="768"/>
      <c r="E198" s="768"/>
      <c r="F198" s="768" t="s">
        <v>491</v>
      </c>
      <c r="G198" s="768" t="s">
        <v>491</v>
      </c>
      <c r="H198" s="768" t="s">
        <v>491</v>
      </c>
      <c r="I198" s="768" t="s">
        <v>491</v>
      </c>
      <c r="J198" s="768" t="s">
        <v>491</v>
      </c>
      <c r="K198" s="768"/>
      <c r="L198" s="768"/>
      <c r="M198" s="768" t="s">
        <v>491</v>
      </c>
      <c r="N198" s="768" t="s">
        <v>491</v>
      </c>
      <c r="O198" s="768" t="s">
        <v>491</v>
      </c>
      <c r="P198" s="768" t="s">
        <v>491</v>
      </c>
      <c r="Q198" s="768" t="s">
        <v>491</v>
      </c>
      <c r="R198" s="768"/>
      <c r="S198" s="768"/>
      <c r="T198" s="768" t="s">
        <v>491</v>
      </c>
      <c r="U198" s="768" t="s">
        <v>491</v>
      </c>
      <c r="V198" s="768" t="s">
        <v>491</v>
      </c>
      <c r="W198" s="768" t="s">
        <v>491</v>
      </c>
      <c r="X198" s="768" t="s">
        <v>491</v>
      </c>
      <c r="Y198" s="768"/>
      <c r="Z198" s="768"/>
      <c r="AA198" s="768" t="s">
        <v>491</v>
      </c>
      <c r="AB198" s="768" t="s">
        <v>491</v>
      </c>
      <c r="AC198" s="768" t="s">
        <v>491</v>
      </c>
      <c r="AD198" s="768" t="s">
        <v>491</v>
      </c>
      <c r="AE198" s="977" t="s">
        <v>491</v>
      </c>
      <c r="AF198" s="768"/>
      <c r="AG198" s="769"/>
      <c r="AH198" s="597">
        <v>37</v>
      </c>
      <c r="AI198" s="598">
        <v>37</v>
      </c>
    </row>
    <row r="199" spans="1:35" ht="21" customHeight="1">
      <c r="A199" s="442"/>
      <c r="B199" s="789" t="s">
        <v>672</v>
      </c>
      <c r="C199" s="970" t="s">
        <v>491</v>
      </c>
      <c r="D199" s="970"/>
      <c r="E199" s="970"/>
      <c r="F199" s="970" t="s">
        <v>491</v>
      </c>
      <c r="G199" s="970" t="s">
        <v>491</v>
      </c>
      <c r="H199" s="970" t="s">
        <v>491</v>
      </c>
      <c r="I199" s="970" t="s">
        <v>491</v>
      </c>
      <c r="J199" s="970" t="s">
        <v>491</v>
      </c>
      <c r="K199" s="970"/>
      <c r="L199" s="970"/>
      <c r="M199" s="970" t="s">
        <v>491</v>
      </c>
      <c r="N199" s="970" t="s">
        <v>491</v>
      </c>
      <c r="O199" s="970" t="s">
        <v>491</v>
      </c>
      <c r="P199" s="970" t="s">
        <v>491</v>
      </c>
      <c r="Q199" s="970" t="s">
        <v>491</v>
      </c>
      <c r="R199" s="970"/>
      <c r="S199" s="970"/>
      <c r="T199" s="768" t="s">
        <v>491</v>
      </c>
      <c r="U199" s="768" t="s">
        <v>491</v>
      </c>
      <c r="V199" s="768" t="s">
        <v>491</v>
      </c>
      <c r="W199" s="768" t="s">
        <v>491</v>
      </c>
      <c r="X199" s="768" t="s">
        <v>491</v>
      </c>
      <c r="Y199" s="768"/>
      <c r="Z199" s="768"/>
      <c r="AA199" s="768" t="s">
        <v>491</v>
      </c>
      <c r="AB199" s="768" t="s">
        <v>491</v>
      </c>
      <c r="AC199" s="768" t="s">
        <v>491</v>
      </c>
      <c r="AD199" s="768" t="s">
        <v>491</v>
      </c>
      <c r="AE199" s="768" t="s">
        <v>491</v>
      </c>
      <c r="AF199" s="768"/>
      <c r="AG199" s="769"/>
      <c r="AH199" s="597">
        <v>67</v>
      </c>
      <c r="AI199" s="598">
        <v>37</v>
      </c>
    </row>
    <row r="200" spans="1:35" ht="21" customHeight="1">
      <c r="A200" s="442">
        <v>8521</v>
      </c>
      <c r="B200" s="789" t="s">
        <v>673</v>
      </c>
      <c r="C200" s="768" t="s">
        <v>491</v>
      </c>
      <c r="D200" s="768"/>
      <c r="E200" s="768"/>
      <c r="F200" s="768" t="s">
        <v>491</v>
      </c>
      <c r="G200" s="768" t="s">
        <v>491</v>
      </c>
      <c r="H200" s="768" t="s">
        <v>491</v>
      </c>
      <c r="I200" s="768" t="s">
        <v>491</v>
      </c>
      <c r="J200" s="768" t="s">
        <v>491</v>
      </c>
      <c r="K200" s="768"/>
      <c r="L200" s="768"/>
      <c r="M200" s="768" t="s">
        <v>491</v>
      </c>
      <c r="N200" s="768" t="s">
        <v>491</v>
      </c>
      <c r="O200" s="768" t="s">
        <v>491</v>
      </c>
      <c r="P200" s="768" t="s">
        <v>491</v>
      </c>
      <c r="Q200" s="768" t="s">
        <v>491</v>
      </c>
      <c r="R200" s="768"/>
      <c r="S200" s="768"/>
      <c r="T200" s="768" t="s">
        <v>491</v>
      </c>
      <c r="U200" s="768" t="s">
        <v>491</v>
      </c>
      <c r="V200" s="768" t="s">
        <v>491</v>
      </c>
      <c r="W200" s="768" t="s">
        <v>491</v>
      </c>
      <c r="X200" s="768" t="s">
        <v>491</v>
      </c>
      <c r="Y200" s="768"/>
      <c r="Z200" s="768"/>
      <c r="AA200" s="768" t="s">
        <v>491</v>
      </c>
      <c r="AB200" s="768" t="s">
        <v>491</v>
      </c>
      <c r="AC200" s="768" t="s">
        <v>491</v>
      </c>
      <c r="AD200" s="1007" t="s">
        <v>491</v>
      </c>
      <c r="AE200" s="768" t="s">
        <v>491</v>
      </c>
      <c r="AF200" s="768"/>
      <c r="AG200" s="769"/>
      <c r="AH200" s="597">
        <v>111</v>
      </c>
      <c r="AI200" s="598">
        <v>37</v>
      </c>
    </row>
    <row r="201" spans="1:35" ht="21" customHeight="1">
      <c r="A201" s="442"/>
      <c r="B201" s="791" t="s">
        <v>674</v>
      </c>
      <c r="C201" s="970" t="s">
        <v>491</v>
      </c>
      <c r="D201" s="970"/>
      <c r="E201" s="970"/>
      <c r="F201" s="970" t="s">
        <v>491</v>
      </c>
      <c r="G201" s="970" t="s">
        <v>491</v>
      </c>
      <c r="H201" s="970" t="s">
        <v>491</v>
      </c>
      <c r="I201" s="970" t="s">
        <v>491</v>
      </c>
      <c r="J201" s="970" t="s">
        <v>491</v>
      </c>
      <c r="K201" s="970"/>
      <c r="L201" s="970"/>
      <c r="M201" s="970" t="s">
        <v>491</v>
      </c>
      <c r="N201" s="970" t="s">
        <v>491</v>
      </c>
      <c r="O201" s="970" t="s">
        <v>491</v>
      </c>
      <c r="P201" s="970" t="s">
        <v>491</v>
      </c>
      <c r="Q201" s="970" t="s">
        <v>491</v>
      </c>
      <c r="R201" s="970"/>
      <c r="S201" s="970"/>
      <c r="T201" s="768" t="s">
        <v>491</v>
      </c>
      <c r="U201" s="768" t="s">
        <v>491</v>
      </c>
      <c r="V201" s="768" t="s">
        <v>491</v>
      </c>
      <c r="W201" s="768" t="s">
        <v>491</v>
      </c>
      <c r="X201" s="768" t="s">
        <v>491</v>
      </c>
      <c r="Y201" s="768"/>
      <c r="Z201" s="768"/>
      <c r="AA201" s="768" t="s">
        <v>491</v>
      </c>
      <c r="AB201" s="768" t="s">
        <v>491</v>
      </c>
      <c r="AC201" s="768" t="s">
        <v>491</v>
      </c>
      <c r="AD201" s="768" t="s">
        <v>491</v>
      </c>
      <c r="AE201" s="768" t="s">
        <v>491</v>
      </c>
      <c r="AF201" s="768"/>
      <c r="AG201" s="769"/>
      <c r="AH201" s="597">
        <v>74</v>
      </c>
      <c r="AI201" s="598">
        <v>37</v>
      </c>
    </row>
    <row r="202" spans="1:35" ht="21" customHeight="1">
      <c r="A202" s="442">
        <v>8514</v>
      </c>
      <c r="B202" s="542" t="s">
        <v>675</v>
      </c>
      <c r="C202" s="970" t="s">
        <v>491</v>
      </c>
      <c r="D202" s="768"/>
      <c r="E202" s="768"/>
      <c r="F202" s="768" t="s">
        <v>491</v>
      </c>
      <c r="G202" s="768" t="s">
        <v>491</v>
      </c>
      <c r="H202" s="768" t="s">
        <v>491</v>
      </c>
      <c r="I202" s="768" t="s">
        <v>491</v>
      </c>
      <c r="J202" s="1007" t="s">
        <v>491</v>
      </c>
      <c r="K202" s="768"/>
      <c r="L202" s="768"/>
      <c r="M202" s="768" t="s">
        <v>491</v>
      </c>
      <c r="N202" s="768" t="s">
        <v>491</v>
      </c>
      <c r="O202" s="768" t="s">
        <v>491</v>
      </c>
      <c r="P202" s="768" t="s">
        <v>491</v>
      </c>
      <c r="Q202" s="768" t="s">
        <v>491</v>
      </c>
      <c r="R202" s="768"/>
      <c r="S202" s="768"/>
      <c r="T202" s="768" t="s">
        <v>491</v>
      </c>
      <c r="U202" s="768" t="s">
        <v>491</v>
      </c>
      <c r="V202" s="768" t="s">
        <v>491</v>
      </c>
      <c r="W202" s="768" t="s">
        <v>491</v>
      </c>
      <c r="X202" s="768" t="s">
        <v>491</v>
      </c>
      <c r="Y202" s="768"/>
      <c r="Z202" s="768"/>
      <c r="AA202" s="768" t="s">
        <v>491</v>
      </c>
      <c r="AB202" s="768" t="s">
        <v>491</v>
      </c>
      <c r="AC202" s="768" t="s">
        <v>491</v>
      </c>
      <c r="AD202" s="768" t="s">
        <v>491</v>
      </c>
      <c r="AE202" s="768" t="s">
        <v>491</v>
      </c>
      <c r="AF202" s="768"/>
      <c r="AG202" s="769"/>
      <c r="AH202" s="597">
        <v>75</v>
      </c>
      <c r="AI202" s="598">
        <v>37</v>
      </c>
    </row>
    <row r="203" spans="1:35" ht="21.95" customHeight="1">
      <c r="A203" s="442">
        <v>3701</v>
      </c>
      <c r="B203" s="789" t="s">
        <v>433</v>
      </c>
      <c r="C203" s="970" t="s">
        <v>491</v>
      </c>
      <c r="D203" s="970"/>
      <c r="E203" s="970"/>
      <c r="F203" s="970" t="s">
        <v>491</v>
      </c>
      <c r="G203" s="970" t="s">
        <v>491</v>
      </c>
      <c r="H203" s="970" t="s">
        <v>491</v>
      </c>
      <c r="I203" s="970" t="s">
        <v>491</v>
      </c>
      <c r="J203" s="970" t="s">
        <v>491</v>
      </c>
      <c r="K203" s="970"/>
      <c r="L203" s="970"/>
      <c r="M203" s="768" t="s">
        <v>491</v>
      </c>
      <c r="N203" s="768" t="s">
        <v>491</v>
      </c>
      <c r="O203" s="768" t="s">
        <v>491</v>
      </c>
      <c r="P203" s="768" t="s">
        <v>491</v>
      </c>
      <c r="Q203" s="768" t="s">
        <v>491</v>
      </c>
      <c r="R203" s="768"/>
      <c r="S203" s="768"/>
      <c r="T203" s="768" t="s">
        <v>491</v>
      </c>
      <c r="U203" s="768" t="s">
        <v>491</v>
      </c>
      <c r="V203" s="768" t="s">
        <v>491</v>
      </c>
      <c r="W203" s="768" t="s">
        <v>491</v>
      </c>
      <c r="X203" s="768" t="s">
        <v>491</v>
      </c>
      <c r="Y203" s="768"/>
      <c r="Z203" s="768"/>
      <c r="AA203" s="768" t="s">
        <v>491</v>
      </c>
      <c r="AB203" s="768" t="s">
        <v>491</v>
      </c>
      <c r="AC203" s="768" t="s">
        <v>491</v>
      </c>
      <c r="AD203" s="768" t="s">
        <v>491</v>
      </c>
      <c r="AE203" s="768" t="s">
        <v>491</v>
      </c>
      <c r="AF203" s="768"/>
      <c r="AG203" s="769"/>
      <c r="AH203" s="597">
        <v>74</v>
      </c>
      <c r="AI203" s="598">
        <v>37</v>
      </c>
    </row>
    <row r="204" spans="1:35" ht="21.95" customHeight="1">
      <c r="A204" s="442">
        <v>3701</v>
      </c>
      <c r="B204" s="789"/>
      <c r="C204" s="768" t="s">
        <v>491</v>
      </c>
      <c r="D204" s="768"/>
      <c r="E204" s="768"/>
      <c r="F204" s="768" t="s">
        <v>491</v>
      </c>
      <c r="G204" s="768" t="s">
        <v>491</v>
      </c>
      <c r="H204" s="768" t="s">
        <v>491</v>
      </c>
      <c r="I204" s="768" t="s">
        <v>491</v>
      </c>
      <c r="J204" s="768" t="s">
        <v>491</v>
      </c>
      <c r="K204" s="768"/>
      <c r="L204" s="768"/>
      <c r="M204" s="768" t="s">
        <v>491</v>
      </c>
      <c r="N204" s="768" t="s">
        <v>491</v>
      </c>
      <c r="O204" s="768" t="s">
        <v>491</v>
      </c>
      <c r="P204" s="768" t="s">
        <v>491</v>
      </c>
      <c r="Q204" s="768" t="s">
        <v>491</v>
      </c>
      <c r="R204" s="768"/>
      <c r="S204" s="768"/>
      <c r="T204" s="764">
        <v>19</v>
      </c>
      <c r="U204" s="764">
        <v>19</v>
      </c>
      <c r="V204" s="764">
        <v>19</v>
      </c>
      <c r="W204" s="764">
        <v>19</v>
      </c>
      <c r="X204" s="764">
        <v>19</v>
      </c>
      <c r="Y204" s="768"/>
      <c r="Z204" s="768"/>
      <c r="AA204" s="970" t="s">
        <v>491</v>
      </c>
      <c r="AB204" s="970" t="s">
        <v>491</v>
      </c>
      <c r="AC204" s="970" t="s">
        <v>491</v>
      </c>
      <c r="AD204" s="970" t="s">
        <v>491</v>
      </c>
      <c r="AE204" s="970" t="s">
        <v>491</v>
      </c>
      <c r="AF204" s="970"/>
      <c r="AG204" s="971"/>
      <c r="AH204" s="597">
        <v>185</v>
      </c>
      <c r="AI204" s="598">
        <v>37</v>
      </c>
    </row>
    <row r="205" spans="1:35" ht="21.95" customHeight="1">
      <c r="A205" s="442">
        <v>3701</v>
      </c>
      <c r="B205" s="789" t="s">
        <v>438</v>
      </c>
      <c r="C205" s="768">
        <v>19</v>
      </c>
      <c r="D205" s="768"/>
      <c r="E205" s="768"/>
      <c r="F205" s="768" t="s">
        <v>491</v>
      </c>
      <c r="G205" s="768" t="s">
        <v>491</v>
      </c>
      <c r="H205" s="1038" t="s">
        <v>714</v>
      </c>
      <c r="I205" s="1007" t="s">
        <v>491</v>
      </c>
      <c r="J205" s="1007" t="s">
        <v>491</v>
      </c>
      <c r="K205" s="768"/>
      <c r="L205" s="768"/>
      <c r="M205" s="768" t="s">
        <v>491</v>
      </c>
      <c r="N205" s="768" t="s">
        <v>491</v>
      </c>
      <c r="O205" s="768" t="s">
        <v>491</v>
      </c>
      <c r="P205" s="768" t="s">
        <v>491</v>
      </c>
      <c r="Q205" s="768" t="s">
        <v>491</v>
      </c>
      <c r="R205" s="768"/>
      <c r="S205" s="768"/>
      <c r="T205" s="764" t="s">
        <v>485</v>
      </c>
      <c r="U205" s="964" t="s">
        <v>485</v>
      </c>
      <c r="V205" s="764" t="s">
        <v>485</v>
      </c>
      <c r="W205" s="764" t="s">
        <v>485</v>
      </c>
      <c r="X205" s="764" t="s">
        <v>485</v>
      </c>
      <c r="Y205" s="768"/>
      <c r="Z205" s="768"/>
      <c r="AA205" s="768" t="s">
        <v>491</v>
      </c>
      <c r="AB205" s="768" t="s">
        <v>491</v>
      </c>
      <c r="AC205" s="768" t="s">
        <v>491</v>
      </c>
      <c r="AD205" s="768" t="s">
        <v>491</v>
      </c>
      <c r="AE205" s="768" t="s">
        <v>491</v>
      </c>
      <c r="AF205" s="768"/>
      <c r="AG205" s="769"/>
      <c r="AH205" s="597">
        <v>75.75</v>
      </c>
      <c r="AI205" s="598">
        <v>37</v>
      </c>
    </row>
    <row r="206" spans="1:35" ht="21.95" customHeight="1">
      <c r="A206" s="442">
        <v>3701</v>
      </c>
      <c r="B206" s="789" t="s">
        <v>439</v>
      </c>
      <c r="C206" s="768" t="s">
        <v>485</v>
      </c>
      <c r="D206" s="768"/>
      <c r="E206" s="768"/>
      <c r="F206" s="768" t="s">
        <v>491</v>
      </c>
      <c r="G206" s="768" t="s">
        <v>491</v>
      </c>
      <c r="H206" s="768" t="s">
        <v>491</v>
      </c>
      <c r="I206" s="768" t="s">
        <v>491</v>
      </c>
      <c r="J206" s="768" t="s">
        <v>491</v>
      </c>
      <c r="K206" s="768"/>
      <c r="L206" s="768"/>
      <c r="M206" s="764">
        <v>19</v>
      </c>
      <c r="N206" s="764">
        <v>19</v>
      </c>
      <c r="O206" s="764">
        <v>19</v>
      </c>
      <c r="P206" s="764">
        <v>19</v>
      </c>
      <c r="Q206" s="764">
        <v>19</v>
      </c>
      <c r="R206" s="768"/>
      <c r="S206" s="768"/>
      <c r="T206" s="768" t="s">
        <v>491</v>
      </c>
      <c r="U206" s="768" t="s">
        <v>491</v>
      </c>
      <c r="V206" s="768" t="s">
        <v>491</v>
      </c>
      <c r="W206" s="768" t="s">
        <v>491</v>
      </c>
      <c r="X206" s="768" t="s">
        <v>491</v>
      </c>
      <c r="Y206" s="768"/>
      <c r="Z206" s="768"/>
      <c r="AA206" s="768" t="s">
        <v>491</v>
      </c>
      <c r="AB206" s="768" t="s">
        <v>491</v>
      </c>
      <c r="AC206" s="768" t="s">
        <v>491</v>
      </c>
      <c r="AD206" s="768" t="s">
        <v>491</v>
      </c>
      <c r="AE206" s="768" t="s">
        <v>491</v>
      </c>
      <c r="AF206" s="768"/>
      <c r="AG206" s="769"/>
      <c r="AH206" s="597">
        <v>76.5</v>
      </c>
      <c r="AI206" s="598">
        <v>37</v>
      </c>
    </row>
    <row r="207" spans="1:35" ht="21.95" customHeight="1">
      <c r="A207" s="442">
        <v>3701</v>
      </c>
      <c r="B207" s="789" t="s">
        <v>677</v>
      </c>
      <c r="C207" s="768" t="s">
        <v>491</v>
      </c>
      <c r="D207" s="768"/>
      <c r="E207" s="768"/>
      <c r="F207" s="764">
        <v>19</v>
      </c>
      <c r="G207" s="764">
        <v>19</v>
      </c>
      <c r="H207" s="764">
        <v>19</v>
      </c>
      <c r="I207" s="764">
        <v>19</v>
      </c>
      <c r="J207" s="764">
        <v>19</v>
      </c>
      <c r="K207" s="768"/>
      <c r="L207" s="768"/>
      <c r="M207" s="764" t="s">
        <v>485</v>
      </c>
      <c r="N207" s="964" t="s">
        <v>485</v>
      </c>
      <c r="O207" s="764" t="s">
        <v>485</v>
      </c>
      <c r="P207" s="764" t="s">
        <v>485</v>
      </c>
      <c r="Q207" s="764" t="s">
        <v>485</v>
      </c>
      <c r="R207" s="768"/>
      <c r="S207" s="768"/>
      <c r="T207" s="768" t="s">
        <v>491</v>
      </c>
      <c r="U207" s="768" t="s">
        <v>491</v>
      </c>
      <c r="V207" s="768" t="s">
        <v>491</v>
      </c>
      <c r="W207" s="768" t="s">
        <v>491</v>
      </c>
      <c r="X207" s="768" t="s">
        <v>491</v>
      </c>
      <c r="Y207" s="768"/>
      <c r="Z207" s="768"/>
      <c r="AA207" s="1038" t="s">
        <v>714</v>
      </c>
      <c r="AB207" s="768" t="s">
        <v>491</v>
      </c>
      <c r="AC207" s="768" t="s">
        <v>491</v>
      </c>
      <c r="AD207" s="768" t="s">
        <v>491</v>
      </c>
      <c r="AE207" s="768" t="s">
        <v>491</v>
      </c>
      <c r="AF207" s="768"/>
      <c r="AG207" s="769"/>
      <c r="AH207" s="597">
        <v>84.25</v>
      </c>
      <c r="AI207" s="598">
        <v>37</v>
      </c>
    </row>
    <row r="208" spans="1:35" ht="21.95" customHeight="1">
      <c r="A208" s="442">
        <v>3701</v>
      </c>
      <c r="B208" s="542" t="s">
        <v>678</v>
      </c>
      <c r="C208" s="970" t="s">
        <v>491</v>
      </c>
      <c r="D208" s="768"/>
      <c r="E208" s="768"/>
      <c r="F208" s="1129" t="s">
        <v>491</v>
      </c>
      <c r="G208" s="1129" t="s">
        <v>491</v>
      </c>
      <c r="H208" s="768" t="s">
        <v>491</v>
      </c>
      <c r="I208" s="768" t="s">
        <v>491</v>
      </c>
      <c r="J208" s="768" t="s">
        <v>491</v>
      </c>
      <c r="K208" s="768"/>
      <c r="L208" s="768"/>
      <c r="M208" s="768" t="s">
        <v>491</v>
      </c>
      <c r="N208" s="768" t="s">
        <v>491</v>
      </c>
      <c r="O208" s="768" t="s">
        <v>491</v>
      </c>
      <c r="P208" s="768" t="s">
        <v>491</v>
      </c>
      <c r="Q208" s="768" t="s">
        <v>491</v>
      </c>
      <c r="R208" s="768"/>
      <c r="S208" s="768"/>
      <c r="T208" s="768" t="s">
        <v>491</v>
      </c>
      <c r="U208" s="768" t="s">
        <v>491</v>
      </c>
      <c r="V208" s="768" t="s">
        <v>491</v>
      </c>
      <c r="W208" s="970" t="s">
        <v>491</v>
      </c>
      <c r="X208" s="970" t="s">
        <v>491</v>
      </c>
      <c r="Y208" s="970"/>
      <c r="Z208" s="970"/>
      <c r="AA208" s="972">
        <v>19</v>
      </c>
      <c r="AB208" s="972">
        <v>19</v>
      </c>
      <c r="AC208" s="972">
        <v>19</v>
      </c>
      <c r="AD208" s="972">
        <v>19</v>
      </c>
      <c r="AE208" s="972">
        <v>19</v>
      </c>
      <c r="AF208" s="768"/>
      <c r="AG208" s="769"/>
      <c r="AH208" s="597">
        <v>60.25</v>
      </c>
      <c r="AI208" s="598">
        <v>37</v>
      </c>
    </row>
    <row r="209" spans="1:35" ht="21.95" customHeight="1">
      <c r="A209" s="442">
        <v>3701</v>
      </c>
      <c r="B209" s="821" t="s">
        <v>679</v>
      </c>
      <c r="C209" s="768" t="s">
        <v>491</v>
      </c>
      <c r="D209" s="768"/>
      <c r="E209" s="768"/>
      <c r="F209" s="764" t="s">
        <v>485</v>
      </c>
      <c r="G209" s="764" t="s">
        <v>485</v>
      </c>
      <c r="H209" s="764" t="s">
        <v>485</v>
      </c>
      <c r="I209" s="764" t="s">
        <v>485</v>
      </c>
      <c r="J209" s="764" t="s">
        <v>485</v>
      </c>
      <c r="K209" s="768"/>
      <c r="L209" s="768"/>
      <c r="M209" s="768" t="s">
        <v>491</v>
      </c>
      <c r="N209" s="768" t="s">
        <v>491</v>
      </c>
      <c r="O209" s="768" t="s">
        <v>491</v>
      </c>
      <c r="P209" s="768" t="s">
        <v>491</v>
      </c>
      <c r="Q209" s="768" t="s">
        <v>491</v>
      </c>
      <c r="R209" s="768"/>
      <c r="S209" s="768"/>
      <c r="T209" s="768" t="s">
        <v>491</v>
      </c>
      <c r="U209" s="768" t="s">
        <v>491</v>
      </c>
      <c r="V209" s="768" t="s">
        <v>491</v>
      </c>
      <c r="W209" s="768" t="s">
        <v>491</v>
      </c>
      <c r="X209" s="768" t="s">
        <v>491</v>
      </c>
      <c r="Y209" s="768"/>
      <c r="Z209" s="768"/>
      <c r="AA209" s="768" t="s">
        <v>491</v>
      </c>
      <c r="AB209" s="768" t="s">
        <v>491</v>
      </c>
      <c r="AC209" s="768" t="s">
        <v>491</v>
      </c>
      <c r="AD209" s="768" t="s">
        <v>491</v>
      </c>
      <c r="AE209" s="768" t="s">
        <v>491</v>
      </c>
      <c r="AF209" s="768"/>
      <c r="AG209" s="769"/>
      <c r="AH209" s="597">
        <v>78.25</v>
      </c>
      <c r="AI209" s="598">
        <v>37</v>
      </c>
    </row>
    <row r="210" spans="1:35" ht="21.95" customHeight="1">
      <c r="A210" s="820">
        <v>3701</v>
      </c>
      <c r="B210" s="792" t="s">
        <v>680</v>
      </c>
      <c r="C210" s="768" t="s">
        <v>491</v>
      </c>
      <c r="D210" s="768"/>
      <c r="E210" s="768"/>
      <c r="F210" s="768" t="s">
        <v>491</v>
      </c>
      <c r="G210" s="768" t="s">
        <v>491</v>
      </c>
      <c r="H210" s="768" t="s">
        <v>491</v>
      </c>
      <c r="I210" s="768" t="s">
        <v>491</v>
      </c>
      <c r="J210" s="768" t="s">
        <v>491</v>
      </c>
      <c r="K210" s="768"/>
      <c r="L210" s="768"/>
      <c r="M210" s="768" t="s">
        <v>491</v>
      </c>
      <c r="N210" s="768" t="s">
        <v>491</v>
      </c>
      <c r="O210" s="768" t="s">
        <v>491</v>
      </c>
      <c r="P210" s="768" t="s">
        <v>491</v>
      </c>
      <c r="Q210" s="768" t="s">
        <v>491</v>
      </c>
      <c r="R210" s="768"/>
      <c r="S210" s="768"/>
      <c r="T210" s="768" t="s">
        <v>491</v>
      </c>
      <c r="U210" s="768" t="s">
        <v>491</v>
      </c>
      <c r="V210" s="768" t="s">
        <v>491</v>
      </c>
      <c r="W210" s="768" t="s">
        <v>491</v>
      </c>
      <c r="X210" s="768" t="s">
        <v>491</v>
      </c>
      <c r="Y210" s="768"/>
      <c r="Z210" s="768"/>
      <c r="AA210" s="768" t="s">
        <v>491</v>
      </c>
      <c r="AB210" s="768" t="s">
        <v>491</v>
      </c>
      <c r="AC210" s="768" t="s">
        <v>491</v>
      </c>
      <c r="AD210" s="768" t="s">
        <v>491</v>
      </c>
      <c r="AE210" s="768" t="s">
        <v>491</v>
      </c>
      <c r="AF210" s="768"/>
      <c r="AG210" s="768"/>
      <c r="AH210" s="597">
        <v>111</v>
      </c>
      <c r="AI210" s="598">
        <v>37</v>
      </c>
    </row>
    <row r="211" spans="1:35" ht="21.95" customHeight="1">
      <c r="A211" s="1094">
        <v>3701</v>
      </c>
      <c r="B211" s="1095" t="s">
        <v>681</v>
      </c>
      <c r="C211" s="779" t="s">
        <v>491</v>
      </c>
      <c r="D211" s="768"/>
      <c r="E211" s="768"/>
      <c r="F211" s="768" t="s">
        <v>491</v>
      </c>
      <c r="G211" s="768" t="s">
        <v>491</v>
      </c>
      <c r="H211" s="768" t="s">
        <v>491</v>
      </c>
      <c r="I211" s="768" t="s">
        <v>491</v>
      </c>
      <c r="J211" s="768" t="s">
        <v>491</v>
      </c>
      <c r="K211" s="768"/>
      <c r="L211" s="768"/>
      <c r="M211" s="768" t="s">
        <v>491</v>
      </c>
      <c r="N211" s="768" t="s">
        <v>491</v>
      </c>
      <c r="O211" s="768" t="s">
        <v>491</v>
      </c>
      <c r="P211" s="768" t="s">
        <v>491</v>
      </c>
      <c r="Q211" s="768" t="s">
        <v>491</v>
      </c>
      <c r="R211" s="768"/>
      <c r="S211" s="768"/>
      <c r="T211" s="768" t="s">
        <v>491</v>
      </c>
      <c r="U211" s="768" t="s">
        <v>491</v>
      </c>
      <c r="V211" s="768" t="s">
        <v>491</v>
      </c>
      <c r="W211" s="768" t="s">
        <v>491</v>
      </c>
      <c r="X211" s="768" t="s">
        <v>491</v>
      </c>
      <c r="Y211" s="768"/>
      <c r="Z211" s="768"/>
      <c r="AA211" s="768" t="s">
        <v>491</v>
      </c>
      <c r="AB211" s="768" t="s">
        <v>491</v>
      </c>
      <c r="AC211" s="768" t="s">
        <v>491</v>
      </c>
      <c r="AD211" s="768" t="s">
        <v>491</v>
      </c>
      <c r="AE211" s="768" t="s">
        <v>491</v>
      </c>
      <c r="AF211" s="768"/>
      <c r="AG211" s="769"/>
      <c r="AH211" s="597">
        <v>185</v>
      </c>
      <c r="AI211" s="598">
        <v>37</v>
      </c>
    </row>
    <row r="212" spans="1:35" ht="21.95" customHeight="1">
      <c r="A212" s="442">
        <v>3701</v>
      </c>
      <c r="B212" s="900" t="s">
        <v>436</v>
      </c>
      <c r="C212" s="768" t="s">
        <v>491</v>
      </c>
      <c r="D212" s="768"/>
      <c r="E212" s="768"/>
      <c r="F212" s="768" t="s">
        <v>491</v>
      </c>
      <c r="G212" s="768" t="s">
        <v>491</v>
      </c>
      <c r="H212" s="768" t="s">
        <v>491</v>
      </c>
      <c r="I212" s="768" t="s">
        <v>491</v>
      </c>
      <c r="J212" s="768" t="s">
        <v>491</v>
      </c>
      <c r="K212" s="768"/>
      <c r="L212" s="768"/>
      <c r="M212" s="768" t="s">
        <v>491</v>
      </c>
      <c r="N212" s="768" t="s">
        <v>491</v>
      </c>
      <c r="O212" s="768" t="s">
        <v>491</v>
      </c>
      <c r="P212" s="768" t="s">
        <v>491</v>
      </c>
      <c r="Q212" s="768" t="s">
        <v>491</v>
      </c>
      <c r="R212" s="768"/>
      <c r="S212" s="768"/>
      <c r="T212" s="768" t="s">
        <v>491</v>
      </c>
      <c r="U212" s="768" t="s">
        <v>491</v>
      </c>
      <c r="V212" s="768" t="s">
        <v>491</v>
      </c>
      <c r="W212" s="768" t="s">
        <v>491</v>
      </c>
      <c r="X212" s="768" t="s">
        <v>491</v>
      </c>
      <c r="Y212" s="768"/>
      <c r="Z212" s="768"/>
      <c r="AA212" s="768" t="s">
        <v>491</v>
      </c>
      <c r="AB212" s="768" t="s">
        <v>491</v>
      </c>
      <c r="AC212" s="768" t="s">
        <v>491</v>
      </c>
      <c r="AD212" s="768" t="s">
        <v>491</v>
      </c>
      <c r="AE212" s="768" t="s">
        <v>491</v>
      </c>
      <c r="AF212" s="768"/>
      <c r="AG212" s="769"/>
      <c r="AH212" s="597">
        <v>185</v>
      </c>
      <c r="AI212" s="598">
        <v>37</v>
      </c>
    </row>
    <row r="213" spans="1:35" ht="21.95" customHeight="1" thickBot="1">
      <c r="A213" s="442">
        <v>3701</v>
      </c>
      <c r="B213" s="904"/>
      <c r="C213" s="768"/>
      <c r="D213" s="768"/>
      <c r="E213" s="768"/>
      <c r="F213" s="768"/>
      <c r="G213" s="768"/>
      <c r="H213" s="768"/>
      <c r="I213" s="768"/>
      <c r="J213" s="768"/>
      <c r="K213" s="768"/>
      <c r="L213" s="768"/>
      <c r="M213" s="768"/>
      <c r="N213" s="768"/>
      <c r="O213" s="768"/>
      <c r="P213" s="768"/>
      <c r="Q213" s="768"/>
      <c r="R213" s="768"/>
      <c r="S213" s="768"/>
      <c r="T213" s="768"/>
      <c r="U213" s="768"/>
      <c r="V213" s="768"/>
      <c r="W213" s="768"/>
      <c r="X213" s="768"/>
      <c r="Y213" s="768"/>
      <c r="Z213" s="768"/>
      <c r="AA213" s="768"/>
      <c r="AB213" s="768"/>
      <c r="AC213" s="768"/>
      <c r="AD213" s="768"/>
      <c r="AE213" s="768"/>
      <c r="AF213" s="768"/>
      <c r="AG213" s="769"/>
      <c r="AH213" s="597">
        <v>148</v>
      </c>
      <c r="AI213" s="598">
        <v>37</v>
      </c>
    </row>
    <row r="214" spans="1:35" ht="21.95" customHeight="1" thickBot="1">
      <c r="A214" s="903">
        <v>3701</v>
      </c>
      <c r="B214" s="904"/>
      <c r="C214" s="768"/>
      <c r="D214" s="768"/>
      <c r="E214" s="768"/>
      <c r="F214" s="768"/>
      <c r="G214" s="768"/>
      <c r="H214" s="768"/>
      <c r="I214" s="768"/>
      <c r="J214" s="768"/>
      <c r="K214" s="768"/>
      <c r="L214" s="768"/>
      <c r="M214" s="768"/>
      <c r="N214" s="768"/>
      <c r="O214" s="768"/>
      <c r="P214" s="768"/>
      <c r="Q214" s="768"/>
      <c r="R214" s="768"/>
      <c r="S214" s="768"/>
      <c r="T214" s="768"/>
      <c r="U214" s="768"/>
      <c r="V214" s="768"/>
      <c r="W214" s="768"/>
      <c r="X214" s="768"/>
      <c r="Y214" s="768"/>
      <c r="Z214" s="768"/>
      <c r="AA214" s="768"/>
      <c r="AB214" s="768"/>
      <c r="AC214" s="768"/>
      <c r="AD214" s="768"/>
      <c r="AE214" s="768"/>
      <c r="AF214" s="768"/>
      <c r="AG214" s="905"/>
      <c r="AH214" s="868"/>
      <c r="AI214" s="869"/>
    </row>
    <row r="215" spans="1:35" ht="21.95" customHeight="1">
      <c r="A215" s="574"/>
      <c r="B215" s="615"/>
      <c r="C215" s="555"/>
      <c r="D215" s="555"/>
      <c r="E215" s="555"/>
      <c r="F215" s="555"/>
      <c r="G215" s="555"/>
      <c r="H215" s="555"/>
      <c r="I215" s="555"/>
      <c r="J215" s="555"/>
      <c r="K215" s="517"/>
      <c r="L215" s="555"/>
      <c r="M215" s="555"/>
      <c r="N215" s="555"/>
      <c r="O215" s="555"/>
      <c r="P215" s="538"/>
      <c r="Q215" s="538"/>
      <c r="R215" s="538"/>
      <c r="S215" s="555"/>
      <c r="T215" s="555"/>
      <c r="U215" s="555"/>
      <c r="V215" s="555"/>
      <c r="W215" s="555"/>
      <c r="X215" s="555"/>
      <c r="Y215" s="555"/>
      <c r="Z215" s="555"/>
      <c r="AA215" s="555"/>
      <c r="AB215" s="555"/>
      <c r="AC215" s="555"/>
      <c r="AD215" s="555"/>
      <c r="AE215" s="555"/>
      <c r="AF215" s="555"/>
      <c r="AG215" s="555"/>
      <c r="AH215" s="556"/>
      <c r="AI215" s="556"/>
    </row>
    <row r="216" spans="1:35" ht="21" customHeight="1" thickBot="1">
      <c r="A216" s="1" t="s">
        <v>682</v>
      </c>
    </row>
    <row r="217" spans="1:35" ht="21" customHeight="1">
      <c r="B217" s="201" t="s">
        <v>664</v>
      </c>
      <c r="C217" s="7"/>
      <c r="D217" s="522" t="s">
        <v>2</v>
      </c>
      <c r="E217" s="51"/>
      <c r="F217" s="548"/>
      <c r="G217" s="7"/>
      <c r="H217" s="522" t="s">
        <v>3</v>
      </c>
      <c r="I217" s="51"/>
      <c r="J217" s="548"/>
      <c r="K217" s="7"/>
      <c r="L217" s="522" t="s">
        <v>4</v>
      </c>
      <c r="M217" s="51"/>
      <c r="N217" s="548"/>
      <c r="O217" s="7"/>
      <c r="P217" s="522" t="s">
        <v>5</v>
      </c>
      <c r="Q217" s="51"/>
      <c r="R217" s="548"/>
      <c r="S217" s="7"/>
      <c r="T217" s="522" t="s">
        <v>6</v>
      </c>
      <c r="U217" s="51"/>
      <c r="V217" s="548"/>
      <c r="W217" s="7"/>
      <c r="X217" s="522" t="s">
        <v>7</v>
      </c>
      <c r="Y217" s="51"/>
      <c r="Z217" s="548"/>
      <c r="AA217" s="7"/>
      <c r="AB217" s="522" t="s">
        <v>8</v>
      </c>
      <c r="AC217" s="51"/>
      <c r="AD217" s="51"/>
      <c r="AE217" s="425" t="s">
        <v>10</v>
      </c>
      <c r="AF217" s="51"/>
      <c r="AG217" s="51"/>
      <c r="AH217" s="51"/>
      <c r="AI217" s="523"/>
    </row>
    <row r="218" spans="1:35" ht="21" customHeight="1">
      <c r="B218" s="9">
        <v>8502</v>
      </c>
      <c r="C218" s="14" t="s">
        <v>11</v>
      </c>
      <c r="D218" s="603"/>
      <c r="E218" s="55"/>
      <c r="F218" s="602"/>
      <c r="G218" s="14" t="s">
        <v>11</v>
      </c>
      <c r="H218" s="603"/>
      <c r="I218" s="55"/>
      <c r="J218" s="602"/>
      <c r="K218" s="14" t="s">
        <v>11</v>
      </c>
      <c r="L218" s="603"/>
      <c r="M218" s="55"/>
      <c r="N218" s="602"/>
      <c r="O218" s="14" t="s">
        <v>11</v>
      </c>
      <c r="P218" s="603"/>
      <c r="Q218" s="55"/>
      <c r="R218" s="602"/>
      <c r="S218" s="14" t="s">
        <v>12</v>
      </c>
      <c r="T218" s="603"/>
      <c r="U218" s="55"/>
      <c r="V218" s="602"/>
      <c r="W218" s="14"/>
      <c r="X218" s="603"/>
      <c r="Y218" s="55"/>
      <c r="Z218" s="602"/>
      <c r="AA218" s="14"/>
      <c r="AB218" s="603"/>
      <c r="AC218" s="55"/>
      <c r="AD218" s="55"/>
      <c r="AE218" s="604"/>
      <c r="AF218" s="55"/>
      <c r="AG218" s="55"/>
      <c r="AH218" s="55"/>
      <c r="AI218" s="605"/>
    </row>
    <row r="219" spans="1:35" ht="21" customHeight="1">
      <c r="B219" s="606">
        <v>3701</v>
      </c>
      <c r="C219" s="121" t="s">
        <v>11</v>
      </c>
      <c r="D219" s="131"/>
      <c r="E219" s="55"/>
      <c r="F219" s="602"/>
      <c r="G219" s="121" t="s">
        <v>11</v>
      </c>
      <c r="H219" s="603"/>
      <c r="I219" s="55"/>
      <c r="J219" s="602"/>
      <c r="K219" s="121" t="s">
        <v>11</v>
      </c>
      <c r="L219" s="603"/>
      <c r="M219" s="55"/>
      <c r="N219" s="602"/>
      <c r="O219" s="121" t="s">
        <v>11</v>
      </c>
      <c r="P219" s="603"/>
      <c r="Q219" s="55"/>
      <c r="R219" s="602"/>
      <c r="S219" s="14" t="s">
        <v>12</v>
      </c>
      <c r="T219" s="603"/>
      <c r="U219" s="55"/>
      <c r="V219" s="602"/>
      <c r="W219" s="14"/>
      <c r="X219" s="603"/>
      <c r="Y219" s="55"/>
      <c r="Z219" s="602"/>
      <c r="AA219" s="14"/>
      <c r="AB219" s="603"/>
      <c r="AC219" s="55"/>
      <c r="AD219" s="55"/>
      <c r="AE219" s="604"/>
      <c r="AF219" s="55"/>
      <c r="AG219" s="55"/>
      <c r="AH219" s="55"/>
      <c r="AI219" s="605"/>
    </row>
    <row r="220" spans="1:35" ht="21" customHeight="1">
      <c r="B220" s="606">
        <v>3705</v>
      </c>
      <c r="C220" s="121" t="s">
        <v>147</v>
      </c>
      <c r="D220" s="131"/>
      <c r="E220" s="55"/>
      <c r="F220" s="602"/>
      <c r="G220" s="121" t="s">
        <v>147</v>
      </c>
      <c r="H220" s="603"/>
      <c r="I220" s="55"/>
      <c r="J220" s="602"/>
      <c r="K220" s="121" t="s">
        <v>147</v>
      </c>
      <c r="L220" s="603"/>
      <c r="M220" s="55"/>
      <c r="N220" s="602"/>
      <c r="O220" s="121" t="s">
        <v>147</v>
      </c>
      <c r="P220" s="603"/>
      <c r="Q220" s="55"/>
      <c r="R220" s="602"/>
      <c r="S220" s="121" t="s">
        <v>537</v>
      </c>
      <c r="T220" s="603"/>
      <c r="U220" s="55"/>
      <c r="V220" s="602"/>
      <c r="W220" s="14"/>
      <c r="X220" s="603"/>
      <c r="Y220" s="55"/>
      <c r="Z220" s="602"/>
      <c r="AA220" s="14"/>
      <c r="AB220" s="603"/>
      <c r="AC220" s="55"/>
      <c r="AD220" s="55"/>
      <c r="AE220" s="604"/>
      <c r="AF220" s="55"/>
      <c r="AG220" s="55"/>
      <c r="AH220" s="55"/>
      <c r="AI220" s="605"/>
    </row>
    <row r="221" spans="1:35" ht="21" customHeight="1">
      <c r="B221" s="606">
        <v>3702</v>
      </c>
      <c r="C221" s="563" t="s">
        <v>683</v>
      </c>
      <c r="D221" s="131"/>
      <c r="E221" s="55"/>
      <c r="F221" s="602"/>
      <c r="G221" s="563" t="s">
        <v>683</v>
      </c>
      <c r="H221" s="131"/>
      <c r="I221" s="55"/>
      <c r="J221" s="602"/>
      <c r="K221" s="563" t="s">
        <v>683</v>
      </c>
      <c r="L221" s="131"/>
      <c r="M221" s="55"/>
      <c r="N221" s="602"/>
      <c r="O221" s="563" t="s">
        <v>683</v>
      </c>
      <c r="P221" s="131"/>
      <c r="Q221" s="55"/>
      <c r="R221" s="602"/>
      <c r="S221" s="563" t="s">
        <v>270</v>
      </c>
      <c r="T221" s="131"/>
      <c r="U221" s="55"/>
      <c r="V221" s="602"/>
      <c r="W221" s="14"/>
      <c r="X221" s="603"/>
      <c r="Y221" s="55"/>
      <c r="Z221" s="602"/>
      <c r="AA221" s="14"/>
      <c r="AB221" s="603"/>
      <c r="AC221" s="55"/>
      <c r="AD221" s="55"/>
      <c r="AE221" s="604"/>
      <c r="AF221" s="55"/>
      <c r="AG221" s="55"/>
      <c r="AH221" s="55"/>
      <c r="AI221" s="605"/>
    </row>
    <row r="222" spans="1:35" ht="21" customHeight="1">
      <c r="B222" s="606"/>
      <c r="C222" s="563"/>
      <c r="D222" s="131"/>
      <c r="E222" s="55"/>
      <c r="F222" s="602"/>
      <c r="G222" s="603"/>
      <c r="H222" s="603"/>
      <c r="I222" s="55"/>
      <c r="J222" s="602"/>
      <c r="K222" s="603"/>
      <c r="L222" s="603"/>
      <c r="M222" s="55"/>
      <c r="N222" s="602"/>
      <c r="O222" s="603"/>
      <c r="P222" s="603"/>
      <c r="Q222" s="55"/>
      <c r="R222" s="602"/>
      <c r="S222" s="603"/>
      <c r="T222" s="603"/>
      <c r="U222" s="55"/>
      <c r="V222" s="602"/>
      <c r="W222" s="14"/>
      <c r="X222" s="603"/>
      <c r="Y222" s="55"/>
      <c r="Z222" s="602"/>
      <c r="AA222" s="14"/>
      <c r="AB222" s="603"/>
      <c r="AC222" s="55"/>
      <c r="AD222" s="55"/>
      <c r="AE222" s="604"/>
      <c r="AF222" s="55"/>
      <c r="AG222" s="55"/>
      <c r="AH222" s="55"/>
      <c r="AI222" s="605"/>
    </row>
    <row r="223" spans="1:35" ht="21" customHeight="1">
      <c r="B223" s="606" t="s">
        <v>324</v>
      </c>
      <c r="C223" s="563" t="s">
        <v>684</v>
      </c>
      <c r="D223" s="131"/>
      <c r="E223" s="55"/>
      <c r="F223" s="602"/>
      <c r="G223" s="563" t="s">
        <v>684</v>
      </c>
      <c r="H223" s="131"/>
      <c r="I223" s="55"/>
      <c r="J223" s="602"/>
      <c r="K223" s="563" t="s">
        <v>684</v>
      </c>
      <c r="L223" s="131"/>
      <c r="M223" s="55"/>
      <c r="N223" s="602"/>
      <c r="O223" s="563" t="s">
        <v>684</v>
      </c>
      <c r="P223" s="131"/>
      <c r="Q223" s="55"/>
      <c r="R223" s="602"/>
      <c r="S223" s="603" t="s">
        <v>685</v>
      </c>
      <c r="T223" s="603"/>
      <c r="U223" s="55"/>
      <c r="V223" s="602"/>
      <c r="W223" s="14"/>
      <c r="X223" s="603"/>
      <c r="Y223" s="55"/>
      <c r="Z223" s="602"/>
      <c r="AA223" s="14"/>
      <c r="AB223" s="603"/>
      <c r="AC223" s="55"/>
      <c r="AD223" s="55"/>
      <c r="AE223" s="604"/>
      <c r="AF223" s="55"/>
      <c r="AG223" s="55"/>
      <c r="AH223" s="55"/>
      <c r="AI223" s="605"/>
    </row>
    <row r="224" spans="1:35" ht="21" customHeight="1">
      <c r="B224" s="606" t="s">
        <v>325</v>
      </c>
      <c r="C224" s="563" t="s">
        <v>686</v>
      </c>
      <c r="D224" s="131"/>
      <c r="E224" s="55"/>
      <c r="F224" s="602"/>
      <c r="G224" s="563" t="s">
        <v>686</v>
      </c>
      <c r="H224" s="131"/>
      <c r="I224" s="55"/>
      <c r="J224" s="602"/>
      <c r="K224" s="563" t="s">
        <v>686</v>
      </c>
      <c r="L224" s="131"/>
      <c r="M224" s="55"/>
      <c r="N224" s="602"/>
      <c r="O224" s="563" t="s">
        <v>686</v>
      </c>
      <c r="P224" s="131"/>
      <c r="Q224" s="55"/>
      <c r="R224" s="602"/>
      <c r="S224" s="603" t="s">
        <v>687</v>
      </c>
      <c r="T224" s="603"/>
      <c r="U224" s="55"/>
      <c r="V224" s="602"/>
      <c r="W224" s="14"/>
      <c r="X224" s="603"/>
      <c r="Y224" s="55"/>
      <c r="Z224" s="602"/>
      <c r="AA224" s="14"/>
      <c r="AB224" s="603"/>
      <c r="AC224" s="55"/>
      <c r="AD224" s="55"/>
      <c r="AE224" s="604"/>
      <c r="AF224" s="55"/>
      <c r="AG224" s="55"/>
      <c r="AH224" s="55"/>
      <c r="AI224" s="605"/>
    </row>
    <row r="225" spans="1:35" ht="21" customHeight="1" thickBot="1">
      <c r="B225" s="611" t="s">
        <v>326</v>
      </c>
      <c r="C225" s="570" t="s">
        <v>688</v>
      </c>
      <c r="D225" s="48"/>
      <c r="E225" s="616"/>
      <c r="F225" s="240"/>
      <c r="G225" s="570" t="s">
        <v>688</v>
      </c>
      <c r="H225" s="48"/>
      <c r="I225" s="616"/>
      <c r="J225" s="240"/>
      <c r="K225" s="570" t="s">
        <v>688</v>
      </c>
      <c r="L225" s="48"/>
      <c r="M225" s="616"/>
      <c r="N225" s="240"/>
      <c r="O225" s="570" t="s">
        <v>688</v>
      </c>
      <c r="P225" s="48"/>
      <c r="Q225" s="616"/>
      <c r="R225" s="240"/>
      <c r="S225" s="149" t="s">
        <v>689</v>
      </c>
      <c r="T225" s="149"/>
      <c r="U225" s="616"/>
      <c r="V225" s="240"/>
      <c r="W225" s="617"/>
      <c r="X225" s="149"/>
      <c r="Y225" s="616"/>
      <c r="Z225" s="240"/>
      <c r="AA225" s="617"/>
      <c r="AB225" s="149"/>
      <c r="AC225" s="616"/>
      <c r="AD225" s="616"/>
      <c r="AE225" s="618"/>
      <c r="AF225" s="616"/>
      <c r="AG225" s="616"/>
      <c r="AH225" s="616"/>
      <c r="AI225" s="619"/>
    </row>
    <row r="226" spans="1:35" ht="21" customHeight="1">
      <c r="B226" s="274"/>
      <c r="C226" s="312"/>
      <c r="D226" s="72"/>
      <c r="G226" s="312"/>
      <c r="H226" s="72"/>
      <c r="K226" s="312"/>
      <c r="L226" s="72"/>
      <c r="O226" s="312"/>
      <c r="P226" s="72"/>
      <c r="S226" s="312"/>
      <c r="T226" s="312"/>
      <c r="X226" s="312"/>
      <c r="AB226" s="312"/>
      <c r="AE226" s="312"/>
    </row>
    <row r="227" spans="1:35" ht="21" customHeight="1" thickBot="1">
      <c r="A227" s="620" t="s">
        <v>690</v>
      </c>
    </row>
    <row r="228" spans="1:35" ht="21" customHeight="1" thickBot="1">
      <c r="A228" s="861"/>
      <c r="B228" s="862" t="s">
        <v>476</v>
      </c>
      <c r="C228" s="863">
        <v>1</v>
      </c>
      <c r="D228" s="880">
        <v>2</v>
      </c>
      <c r="E228" s="880">
        <v>3</v>
      </c>
      <c r="F228" s="863">
        <v>4</v>
      </c>
      <c r="G228" s="863">
        <v>5</v>
      </c>
      <c r="H228" s="863">
        <v>6</v>
      </c>
      <c r="I228" s="863">
        <v>7</v>
      </c>
      <c r="J228" s="863">
        <v>8</v>
      </c>
      <c r="K228" s="880">
        <v>9</v>
      </c>
      <c r="L228" s="880">
        <v>10</v>
      </c>
      <c r="M228" s="863">
        <v>11</v>
      </c>
      <c r="N228" s="863">
        <v>12</v>
      </c>
      <c r="O228" s="863">
        <v>13</v>
      </c>
      <c r="P228" s="863">
        <v>14</v>
      </c>
      <c r="Q228" s="863">
        <v>15</v>
      </c>
      <c r="R228" s="880">
        <v>16</v>
      </c>
      <c r="S228" s="880">
        <v>17</v>
      </c>
      <c r="T228" s="863">
        <v>18</v>
      </c>
      <c r="U228" s="863">
        <v>19</v>
      </c>
      <c r="V228" s="863">
        <v>20</v>
      </c>
      <c r="W228" s="863">
        <v>21</v>
      </c>
      <c r="X228" s="863">
        <v>22</v>
      </c>
      <c r="Y228" s="880">
        <v>23</v>
      </c>
      <c r="Z228" s="880">
        <v>24</v>
      </c>
      <c r="AA228" s="863">
        <v>25</v>
      </c>
      <c r="AB228" s="863">
        <v>26</v>
      </c>
      <c r="AC228" s="863">
        <v>27</v>
      </c>
      <c r="AD228" s="863">
        <v>28</v>
      </c>
      <c r="AE228" s="863">
        <v>29</v>
      </c>
      <c r="AF228" s="880">
        <v>30</v>
      </c>
      <c r="AG228" s="949">
        <v>31</v>
      </c>
      <c r="AH228" s="864" t="s">
        <v>477</v>
      </c>
      <c r="AI228" s="865" t="s">
        <v>478</v>
      </c>
    </row>
    <row r="229" spans="1:35" ht="21" customHeight="1">
      <c r="A229" s="438">
        <v>3702</v>
      </c>
      <c r="B229" s="54" t="s">
        <v>691</v>
      </c>
      <c r="C229" s="976">
        <v>2</v>
      </c>
      <c r="D229" s="976"/>
      <c r="E229" s="976"/>
      <c r="F229" s="764">
        <v>1</v>
      </c>
      <c r="G229" s="764">
        <v>1</v>
      </c>
      <c r="H229" s="871">
        <v>1</v>
      </c>
      <c r="I229" s="871">
        <v>1</v>
      </c>
      <c r="J229" s="871">
        <v>1</v>
      </c>
      <c r="K229" s="871"/>
      <c r="L229" s="871"/>
      <c r="M229" s="871">
        <v>2</v>
      </c>
      <c r="N229" s="871">
        <v>2</v>
      </c>
      <c r="O229" s="871">
        <v>2</v>
      </c>
      <c r="P229" s="871">
        <v>2</v>
      </c>
      <c r="Q229" s="871">
        <v>2</v>
      </c>
      <c r="R229" s="871"/>
      <c r="S229" s="871"/>
      <c r="T229" s="764">
        <v>1</v>
      </c>
      <c r="U229" s="764">
        <v>1</v>
      </c>
      <c r="V229" s="871">
        <v>1</v>
      </c>
      <c r="W229" s="871">
        <v>1</v>
      </c>
      <c r="X229" s="871">
        <v>1</v>
      </c>
      <c r="Y229" s="871"/>
      <c r="Z229" s="871"/>
      <c r="AA229" s="871">
        <v>2</v>
      </c>
      <c r="AB229" s="1041">
        <v>2</v>
      </c>
      <c r="AC229" s="1041" t="s">
        <v>762</v>
      </c>
      <c r="AD229" s="871">
        <v>2</v>
      </c>
      <c r="AE229" s="1014">
        <v>2</v>
      </c>
      <c r="AF229" s="871"/>
      <c r="AG229" s="871"/>
      <c r="AH229" s="510">
        <v>67</v>
      </c>
      <c r="AI229" s="511">
        <v>32</v>
      </c>
    </row>
    <row r="230" spans="1:35" ht="21" customHeight="1">
      <c r="A230" s="442">
        <v>3701</v>
      </c>
      <c r="B230" s="153" t="s">
        <v>692</v>
      </c>
      <c r="C230" s="762" t="s">
        <v>491</v>
      </c>
      <c r="D230" s="762"/>
      <c r="E230" s="762"/>
      <c r="F230" s="970" t="s">
        <v>491</v>
      </c>
      <c r="G230" s="970" t="s">
        <v>491</v>
      </c>
      <c r="H230" s="966" t="s">
        <v>491</v>
      </c>
      <c r="I230" s="966" t="s">
        <v>491</v>
      </c>
      <c r="J230" s="966" t="s">
        <v>491</v>
      </c>
      <c r="K230" s="966"/>
      <c r="L230" s="966"/>
      <c r="M230" s="966" t="s">
        <v>491</v>
      </c>
      <c r="N230" s="966" t="s">
        <v>491</v>
      </c>
      <c r="O230" s="966" t="s">
        <v>491</v>
      </c>
      <c r="P230" s="966" t="s">
        <v>491</v>
      </c>
      <c r="Q230" s="966" t="s">
        <v>491</v>
      </c>
      <c r="R230" s="966"/>
      <c r="S230" s="966"/>
      <c r="T230" s="970" t="s">
        <v>491</v>
      </c>
      <c r="U230" s="970" t="s">
        <v>491</v>
      </c>
      <c r="V230" s="966" t="s">
        <v>491</v>
      </c>
      <c r="W230" s="966" t="s">
        <v>491</v>
      </c>
      <c r="X230" s="966" t="s">
        <v>491</v>
      </c>
      <c r="Y230" s="966"/>
      <c r="Z230" s="966"/>
      <c r="AA230" s="762" t="s">
        <v>491</v>
      </c>
      <c r="AB230" s="762" t="s">
        <v>491</v>
      </c>
      <c r="AC230" s="762" t="s">
        <v>491</v>
      </c>
      <c r="AD230" s="762" t="s">
        <v>491</v>
      </c>
      <c r="AE230" s="762" t="s">
        <v>491</v>
      </c>
      <c r="AF230" s="762"/>
      <c r="AG230" s="762"/>
      <c r="AH230" s="924">
        <v>74</v>
      </c>
      <c r="AI230" s="925">
        <v>37</v>
      </c>
    </row>
    <row r="231" spans="1:35" ht="21" customHeight="1">
      <c r="A231" s="442">
        <v>3702</v>
      </c>
      <c r="B231" s="153" t="s">
        <v>693</v>
      </c>
      <c r="C231" s="762">
        <v>1</v>
      </c>
      <c r="D231" s="762"/>
      <c r="E231" s="762"/>
      <c r="F231" s="768">
        <v>2</v>
      </c>
      <c r="G231" s="768">
        <v>2</v>
      </c>
      <c r="H231" s="762">
        <v>2</v>
      </c>
      <c r="I231" s="762">
        <v>2</v>
      </c>
      <c r="J231" s="762">
        <v>2</v>
      </c>
      <c r="K231" s="762"/>
      <c r="L231" s="762"/>
      <c r="M231" s="762">
        <v>1</v>
      </c>
      <c r="N231" s="762">
        <v>1</v>
      </c>
      <c r="O231" s="762">
        <v>1</v>
      </c>
      <c r="P231" s="762">
        <v>1</v>
      </c>
      <c r="Q231" s="762">
        <v>1</v>
      </c>
      <c r="R231" s="762"/>
      <c r="S231" s="762"/>
      <c r="T231" s="768">
        <v>2</v>
      </c>
      <c r="U231" s="1038">
        <v>2</v>
      </c>
      <c r="V231" s="1015">
        <v>2</v>
      </c>
      <c r="W231" s="1015">
        <v>2</v>
      </c>
      <c r="X231" s="1015" t="s">
        <v>762</v>
      </c>
      <c r="Y231" s="762"/>
      <c r="Z231" s="762"/>
      <c r="AA231" s="762">
        <v>1</v>
      </c>
      <c r="AB231" s="762">
        <v>1</v>
      </c>
      <c r="AC231" s="762">
        <v>1</v>
      </c>
      <c r="AD231" s="762">
        <v>1</v>
      </c>
      <c r="AE231" s="762">
        <v>1</v>
      </c>
      <c r="AF231" s="762"/>
      <c r="AG231" s="762"/>
      <c r="AH231" s="924">
        <v>140.5</v>
      </c>
      <c r="AI231" s="925">
        <v>7.5</v>
      </c>
    </row>
    <row r="232" spans="1:35" ht="21" customHeight="1">
      <c r="A232" s="621">
        <v>3706</v>
      </c>
      <c r="B232" s="854" t="s">
        <v>694</v>
      </c>
      <c r="C232" s="768" t="s">
        <v>485</v>
      </c>
      <c r="D232" s="768"/>
      <c r="E232" s="768"/>
      <c r="F232" s="772" t="s">
        <v>491</v>
      </c>
      <c r="G232" s="772" t="s">
        <v>491</v>
      </c>
      <c r="H232" s="772" t="s">
        <v>491</v>
      </c>
      <c r="I232" s="772" t="s">
        <v>491</v>
      </c>
      <c r="J232" s="772" t="s">
        <v>491</v>
      </c>
      <c r="K232" s="772"/>
      <c r="L232" s="772"/>
      <c r="M232" s="772" t="s">
        <v>491</v>
      </c>
      <c r="N232" s="772" t="s">
        <v>491</v>
      </c>
      <c r="O232" s="772" t="s">
        <v>491</v>
      </c>
      <c r="P232" s="772" t="s">
        <v>491</v>
      </c>
      <c r="Q232" s="772" t="s">
        <v>491</v>
      </c>
      <c r="R232" s="772"/>
      <c r="S232" s="772"/>
      <c r="T232" s="772" t="s">
        <v>491</v>
      </c>
      <c r="U232" s="772" t="s">
        <v>491</v>
      </c>
      <c r="V232" s="772" t="s">
        <v>491</v>
      </c>
      <c r="W232" s="1143" t="s">
        <v>493</v>
      </c>
      <c r="X232" s="1146" t="s">
        <v>491</v>
      </c>
      <c r="Y232" s="772"/>
      <c r="Z232" s="772"/>
      <c r="AA232" s="772" t="s">
        <v>491</v>
      </c>
      <c r="AB232" s="772" t="s">
        <v>491</v>
      </c>
      <c r="AC232" s="772" t="s">
        <v>491</v>
      </c>
      <c r="AD232" s="772" t="s">
        <v>491</v>
      </c>
      <c r="AE232" s="772" t="s">
        <v>491</v>
      </c>
      <c r="AF232" s="768"/>
      <c r="AG232" s="768"/>
      <c r="AH232" s="924">
        <v>111</v>
      </c>
      <c r="AI232" s="925">
        <v>37</v>
      </c>
    </row>
    <row r="233" spans="1:35" ht="21" customHeight="1">
      <c r="A233" s="622"/>
      <c r="B233" s="623" t="s">
        <v>695</v>
      </c>
      <c r="C233" s="940"/>
      <c r="D233" s="940"/>
      <c r="E233" s="940"/>
      <c r="F233" s="940"/>
      <c r="G233" s="940"/>
      <c r="H233" s="940"/>
      <c r="I233" s="940"/>
      <c r="J233" s="940"/>
      <c r="K233" s="940"/>
      <c r="L233" s="940"/>
      <c r="M233" s="940"/>
      <c r="N233" s="940"/>
      <c r="O233" s="940"/>
      <c r="P233" s="940"/>
      <c r="Q233" s="940"/>
      <c r="R233" s="940"/>
      <c r="S233" s="940"/>
      <c r="T233" s="940"/>
      <c r="U233" s="940"/>
      <c r="V233" s="940"/>
      <c r="W233" s="940"/>
      <c r="X233" s="940"/>
      <c r="Y233" s="940"/>
      <c r="Z233" s="940"/>
      <c r="AA233" s="940"/>
      <c r="AB233" s="940"/>
      <c r="AC233" s="940"/>
      <c r="AD233" s="940"/>
      <c r="AE233" s="940"/>
      <c r="AF233" s="940"/>
      <c r="AG233" s="922"/>
      <c r="AH233" s="624"/>
      <c r="AI233" s="625"/>
    </row>
    <row r="234" spans="1:35" ht="21" customHeight="1">
      <c r="A234" s="442">
        <v>3702</v>
      </c>
      <c r="B234" s="793" t="s">
        <v>696</v>
      </c>
      <c r="C234" s="762" t="s">
        <v>697</v>
      </c>
      <c r="D234" s="768"/>
      <c r="E234" s="768"/>
      <c r="F234" s="762" t="s">
        <v>697</v>
      </c>
      <c r="G234" s="762" t="s">
        <v>697</v>
      </c>
      <c r="H234" s="762" t="s">
        <v>697</v>
      </c>
      <c r="I234" s="1059" t="s">
        <v>697</v>
      </c>
      <c r="J234" s="762" t="s">
        <v>697</v>
      </c>
      <c r="K234" s="784"/>
      <c r="L234" s="768"/>
      <c r="M234" s="762" t="s">
        <v>697</v>
      </c>
      <c r="N234" s="762" t="s">
        <v>697</v>
      </c>
      <c r="O234" s="762" t="s">
        <v>697</v>
      </c>
      <c r="P234" s="762" t="s">
        <v>697</v>
      </c>
      <c r="Q234" s="762" t="s">
        <v>697</v>
      </c>
      <c r="R234" s="768"/>
      <c r="S234" s="768"/>
      <c r="T234" s="762" t="s">
        <v>697</v>
      </c>
      <c r="U234" s="762" t="s">
        <v>697</v>
      </c>
      <c r="V234" s="762" t="s">
        <v>697</v>
      </c>
      <c r="W234" s="762" t="s">
        <v>697</v>
      </c>
      <c r="X234" s="762" t="s">
        <v>697</v>
      </c>
      <c r="Y234" s="768"/>
      <c r="Z234" s="768"/>
      <c r="AA234" s="762" t="s">
        <v>697</v>
      </c>
      <c r="AB234" s="762" t="s">
        <v>697</v>
      </c>
      <c r="AC234" s="762" t="s">
        <v>697</v>
      </c>
      <c r="AD234" s="762" t="s">
        <v>697</v>
      </c>
      <c r="AE234" s="762" t="s">
        <v>697</v>
      </c>
      <c r="AF234" s="762"/>
      <c r="AG234" s="762"/>
      <c r="AH234" s="924">
        <v>74</v>
      </c>
      <c r="AI234" s="925">
        <v>37</v>
      </c>
    </row>
    <row r="235" spans="1:35" ht="21" customHeight="1">
      <c r="A235" s="442"/>
      <c r="B235" s="153" t="s">
        <v>698</v>
      </c>
      <c r="C235" s="762" t="s">
        <v>699</v>
      </c>
      <c r="D235" s="768"/>
      <c r="E235" s="768"/>
      <c r="F235" s="762" t="s">
        <v>699</v>
      </c>
      <c r="G235" s="762" t="s">
        <v>699</v>
      </c>
      <c r="H235" s="762" t="s">
        <v>699</v>
      </c>
      <c r="I235" s="762" t="s">
        <v>699</v>
      </c>
      <c r="J235" s="762" t="s">
        <v>699</v>
      </c>
      <c r="K235" s="784"/>
      <c r="L235" s="768"/>
      <c r="M235" s="762" t="s">
        <v>699</v>
      </c>
      <c r="N235" s="762" t="s">
        <v>699</v>
      </c>
      <c r="O235" s="762" t="s">
        <v>699</v>
      </c>
      <c r="P235" s="762" t="s">
        <v>699</v>
      </c>
      <c r="Q235" s="762" t="s">
        <v>699</v>
      </c>
      <c r="R235" s="768"/>
      <c r="S235" s="768"/>
      <c r="T235" s="966" t="s">
        <v>699</v>
      </c>
      <c r="U235" s="966" t="s">
        <v>699</v>
      </c>
      <c r="V235" s="966" t="s">
        <v>699</v>
      </c>
      <c r="W235" s="966" t="s">
        <v>699</v>
      </c>
      <c r="X235" s="966" t="s">
        <v>699</v>
      </c>
      <c r="Y235" s="970"/>
      <c r="Z235" s="970"/>
      <c r="AA235" s="762" t="s">
        <v>699</v>
      </c>
      <c r="AB235" s="762" t="s">
        <v>699</v>
      </c>
      <c r="AC235" s="762" t="s">
        <v>699</v>
      </c>
      <c r="AD235" s="762" t="s">
        <v>699</v>
      </c>
      <c r="AE235" s="762" t="s">
        <v>699</v>
      </c>
      <c r="AF235" s="762"/>
      <c r="AG235" s="762"/>
      <c r="AH235" s="924">
        <v>83.5</v>
      </c>
      <c r="AI235" s="925">
        <v>37</v>
      </c>
    </row>
    <row r="236" spans="1:35" ht="21" customHeight="1" thickBot="1">
      <c r="A236" s="906"/>
      <c r="B236" s="895" t="s">
        <v>700</v>
      </c>
      <c r="C236" s="990" t="s">
        <v>701</v>
      </c>
      <c r="D236" s="1073"/>
      <c r="E236" s="1073"/>
      <c r="F236" s="990" t="s">
        <v>701</v>
      </c>
      <c r="G236" s="990" t="s">
        <v>701</v>
      </c>
      <c r="H236" s="990" t="s">
        <v>701</v>
      </c>
      <c r="I236" s="990" t="s">
        <v>701</v>
      </c>
      <c r="J236" s="990" t="s">
        <v>701</v>
      </c>
      <c r="K236" s="1074"/>
      <c r="L236" s="1073"/>
      <c r="M236" s="990" t="s">
        <v>701</v>
      </c>
      <c r="N236" s="990" t="s">
        <v>701</v>
      </c>
      <c r="O236" s="990" t="s">
        <v>701</v>
      </c>
      <c r="P236" s="990" t="s">
        <v>701</v>
      </c>
      <c r="Q236" s="990" t="s">
        <v>701</v>
      </c>
      <c r="R236" s="1073"/>
      <c r="S236" s="1073"/>
      <c r="T236" s="875" t="s">
        <v>701</v>
      </c>
      <c r="U236" s="875" t="s">
        <v>701</v>
      </c>
      <c r="V236" s="875" t="s">
        <v>701</v>
      </c>
      <c r="W236" s="875" t="s">
        <v>701</v>
      </c>
      <c r="X236" s="875" t="s">
        <v>701</v>
      </c>
      <c r="Y236" s="867"/>
      <c r="Z236" s="867"/>
      <c r="AA236" s="875" t="s">
        <v>701</v>
      </c>
      <c r="AB236" s="875" t="s">
        <v>701</v>
      </c>
      <c r="AC236" s="875" t="s">
        <v>701</v>
      </c>
      <c r="AD236" s="875" t="s">
        <v>701</v>
      </c>
      <c r="AE236" s="875" t="s">
        <v>701</v>
      </c>
      <c r="AF236" s="875"/>
      <c r="AG236" s="875"/>
      <c r="AH236" s="868">
        <v>96.5</v>
      </c>
      <c r="AI236" s="869">
        <v>37</v>
      </c>
    </row>
    <row r="237" spans="1:35" ht="21" customHeight="1"/>
    <row r="238" spans="1:35" ht="21" customHeight="1"/>
    <row r="239" spans="1:35" ht="21" customHeight="1" thickBot="1">
      <c r="A239" s="1" t="s">
        <v>702</v>
      </c>
    </row>
    <row r="240" spans="1:35" ht="21" customHeight="1">
      <c r="B240" s="201" t="s">
        <v>664</v>
      </c>
      <c r="C240" s="7"/>
      <c r="D240" s="522" t="s">
        <v>2</v>
      </c>
      <c r="E240" s="51"/>
      <c r="F240" s="548"/>
      <c r="G240" s="7"/>
      <c r="H240" s="522" t="s">
        <v>3</v>
      </c>
      <c r="I240" s="51"/>
      <c r="J240" s="548"/>
      <c r="K240" s="7"/>
      <c r="L240" s="522" t="s">
        <v>4</v>
      </c>
      <c r="M240" s="51"/>
      <c r="N240" s="548"/>
      <c r="O240" s="7"/>
      <c r="P240" s="522" t="s">
        <v>5</v>
      </c>
      <c r="Q240" s="51"/>
      <c r="R240" s="548"/>
      <c r="S240" s="7"/>
      <c r="T240" s="522" t="s">
        <v>6</v>
      </c>
      <c r="U240" s="51"/>
      <c r="V240" s="548"/>
      <c r="W240" s="7"/>
      <c r="X240" s="522" t="s">
        <v>7</v>
      </c>
      <c r="Y240" s="51"/>
      <c r="Z240" s="548"/>
      <c r="AA240" s="7"/>
      <c r="AB240" s="522" t="s">
        <v>8</v>
      </c>
      <c r="AC240" s="51"/>
      <c r="AD240" s="51"/>
      <c r="AE240" s="425" t="s">
        <v>10</v>
      </c>
      <c r="AF240" s="51"/>
      <c r="AG240" s="51"/>
      <c r="AH240" s="51"/>
      <c r="AI240" s="523"/>
    </row>
    <row r="241" spans="1:35" ht="21" customHeight="1">
      <c r="B241" s="9">
        <v>8500</v>
      </c>
      <c r="C241" s="121" t="s">
        <v>33</v>
      </c>
      <c r="D241" s="603"/>
      <c r="E241" s="55"/>
      <c r="F241" s="602"/>
      <c r="G241" s="121" t="s">
        <v>33</v>
      </c>
      <c r="H241" s="603"/>
      <c r="I241" s="55"/>
      <c r="J241" s="602"/>
      <c r="K241" s="121" t="s">
        <v>33</v>
      </c>
      <c r="L241" s="603"/>
      <c r="M241" s="55"/>
      <c r="N241" s="602"/>
      <c r="O241" s="121" t="s">
        <v>33</v>
      </c>
      <c r="P241" s="603"/>
      <c r="Q241" s="55"/>
      <c r="R241" s="602"/>
      <c r="S241" s="121" t="s">
        <v>34</v>
      </c>
      <c r="T241" s="603"/>
      <c r="U241" s="55"/>
      <c r="V241" s="602"/>
      <c r="W241" s="14"/>
      <c r="X241" s="603"/>
      <c r="Y241" s="55"/>
      <c r="Z241" s="602"/>
      <c r="AA241" s="14"/>
      <c r="AB241" s="603"/>
      <c r="AC241" s="55"/>
      <c r="AD241" s="55"/>
      <c r="AE241" s="604"/>
      <c r="AF241" s="55"/>
      <c r="AG241" s="55"/>
      <c r="AH241" s="55"/>
      <c r="AI241" s="605"/>
    </row>
    <row r="242" spans="1:35" ht="21" customHeight="1" thickBot="1">
      <c r="B242" s="163" t="s">
        <v>703</v>
      </c>
      <c r="C242" s="626" t="s">
        <v>704</v>
      </c>
      <c r="D242" s="627"/>
      <c r="E242" s="616"/>
      <c r="F242" s="240"/>
      <c r="G242" s="626" t="s">
        <v>704</v>
      </c>
      <c r="H242" s="149"/>
      <c r="I242" s="616"/>
      <c r="J242" s="240"/>
      <c r="K242" s="626" t="s">
        <v>704</v>
      </c>
      <c r="L242" s="149"/>
      <c r="M242" s="616"/>
      <c r="N242" s="240"/>
      <c r="O242" s="626" t="s">
        <v>705</v>
      </c>
      <c r="P242" s="149"/>
      <c r="Q242" s="616"/>
      <c r="R242" s="240"/>
      <c r="S242" s="626" t="s">
        <v>16</v>
      </c>
      <c r="T242" s="149"/>
      <c r="U242" s="616"/>
      <c r="V242" s="240"/>
      <c r="W242" s="617"/>
      <c r="X242" s="149"/>
      <c r="Y242" s="616"/>
      <c r="Z242" s="240"/>
      <c r="AA242" s="617"/>
      <c r="AB242" s="149"/>
      <c r="AC242" s="616"/>
      <c r="AD242" s="616"/>
      <c r="AE242" s="618"/>
      <c r="AF242" s="616"/>
      <c r="AG242" s="616"/>
      <c r="AH242" s="616"/>
      <c r="AI242" s="619"/>
    </row>
    <row r="243" spans="1:35" ht="21" customHeight="1" thickBot="1">
      <c r="A243" s="60" t="s">
        <v>706</v>
      </c>
    </row>
    <row r="244" spans="1:35" ht="21" customHeight="1" thickBot="1">
      <c r="A244" s="911"/>
      <c r="B244" s="862" t="s">
        <v>476</v>
      </c>
      <c r="C244" s="863">
        <v>1</v>
      </c>
      <c r="D244" s="880">
        <v>2</v>
      </c>
      <c r="E244" s="880">
        <v>3</v>
      </c>
      <c r="F244" s="863">
        <v>4</v>
      </c>
      <c r="G244" s="863">
        <v>5</v>
      </c>
      <c r="H244" s="863">
        <v>6</v>
      </c>
      <c r="I244" s="863">
        <v>7</v>
      </c>
      <c r="J244" s="863">
        <v>8</v>
      </c>
      <c r="K244" s="880">
        <v>9</v>
      </c>
      <c r="L244" s="880">
        <v>10</v>
      </c>
      <c r="M244" s="863">
        <v>11</v>
      </c>
      <c r="N244" s="863">
        <v>12</v>
      </c>
      <c r="O244" s="863">
        <v>13</v>
      </c>
      <c r="P244" s="863">
        <v>14</v>
      </c>
      <c r="Q244" s="863">
        <v>15</v>
      </c>
      <c r="R244" s="880">
        <v>16</v>
      </c>
      <c r="S244" s="880">
        <v>17</v>
      </c>
      <c r="T244" s="863">
        <v>18</v>
      </c>
      <c r="U244" s="863">
        <v>19</v>
      </c>
      <c r="V244" s="863">
        <v>20</v>
      </c>
      <c r="W244" s="863">
        <v>21</v>
      </c>
      <c r="X244" s="863">
        <v>22</v>
      </c>
      <c r="Y244" s="880">
        <v>23</v>
      </c>
      <c r="Z244" s="880">
        <v>24</v>
      </c>
      <c r="AA244" s="863">
        <v>25</v>
      </c>
      <c r="AB244" s="863">
        <v>26</v>
      </c>
      <c r="AC244" s="863">
        <v>27</v>
      </c>
      <c r="AD244" s="863">
        <v>28</v>
      </c>
      <c r="AE244" s="863">
        <v>29</v>
      </c>
      <c r="AF244" s="880">
        <v>30</v>
      </c>
      <c r="AG244" s="949">
        <v>31</v>
      </c>
      <c r="AH244" s="864" t="s">
        <v>477</v>
      </c>
      <c r="AI244" s="865" t="s">
        <v>478</v>
      </c>
    </row>
    <row r="245" spans="1:35" ht="21" customHeight="1">
      <c r="A245" s="14">
        <v>8500</v>
      </c>
      <c r="B245" s="908" t="s">
        <v>707</v>
      </c>
      <c r="C245" s="768" t="s">
        <v>491</v>
      </c>
      <c r="D245" s="768"/>
      <c r="E245" s="768"/>
      <c r="F245" s="768" t="s">
        <v>491</v>
      </c>
      <c r="G245" s="768" t="s">
        <v>491</v>
      </c>
      <c r="H245" s="768" t="s">
        <v>491</v>
      </c>
      <c r="I245" s="768" t="s">
        <v>491</v>
      </c>
      <c r="J245" s="768" t="s">
        <v>491</v>
      </c>
      <c r="K245" s="768"/>
      <c r="L245" s="768"/>
      <c r="M245" s="768" t="s">
        <v>491</v>
      </c>
      <c r="N245" s="1038" t="s">
        <v>493</v>
      </c>
      <c r="O245" s="987" t="s">
        <v>491</v>
      </c>
      <c r="P245" s="987" t="s">
        <v>491</v>
      </c>
      <c r="Q245" s="987" t="s">
        <v>491</v>
      </c>
      <c r="R245" s="768"/>
      <c r="S245" s="768"/>
      <c r="T245" s="768" t="s">
        <v>491</v>
      </c>
      <c r="U245" s="768" t="s">
        <v>491</v>
      </c>
      <c r="V245" s="768" t="s">
        <v>491</v>
      </c>
      <c r="W245" s="768" t="s">
        <v>491</v>
      </c>
      <c r="X245" s="768" t="s">
        <v>491</v>
      </c>
      <c r="Y245" s="768"/>
      <c r="Z245" s="768"/>
      <c r="AA245" s="970" t="s">
        <v>491</v>
      </c>
      <c r="AB245" s="970" t="s">
        <v>491</v>
      </c>
      <c r="AC245" s="970" t="s">
        <v>491</v>
      </c>
      <c r="AD245" s="970" t="s">
        <v>491</v>
      </c>
      <c r="AE245" s="970" t="s">
        <v>491</v>
      </c>
      <c r="AF245" s="768"/>
      <c r="AG245" s="768"/>
      <c r="AH245" s="909">
        <v>97.5</v>
      </c>
      <c r="AI245" s="910">
        <v>37</v>
      </c>
    </row>
    <row r="246" spans="1:35" ht="21" customHeight="1">
      <c r="A246" s="500" t="s">
        <v>708</v>
      </c>
      <c r="B246" s="153" t="s">
        <v>709</v>
      </c>
      <c r="C246" s="970" t="s">
        <v>491</v>
      </c>
      <c r="D246" s="970"/>
      <c r="E246" s="970"/>
      <c r="F246" s="970" t="s">
        <v>491</v>
      </c>
      <c r="G246" s="970" t="s">
        <v>491</v>
      </c>
      <c r="H246" s="970" t="s">
        <v>491</v>
      </c>
      <c r="I246" s="970" t="s">
        <v>491</v>
      </c>
      <c r="J246" s="970" t="s">
        <v>481</v>
      </c>
      <c r="K246" s="970"/>
      <c r="L246" s="970"/>
      <c r="M246" s="970" t="s">
        <v>491</v>
      </c>
      <c r="N246" s="970" t="s">
        <v>491</v>
      </c>
      <c r="O246" s="970" t="s">
        <v>491</v>
      </c>
      <c r="P246" s="970" t="s">
        <v>491</v>
      </c>
      <c r="Q246" s="970" t="s">
        <v>491</v>
      </c>
      <c r="R246" s="970"/>
      <c r="S246" s="970"/>
      <c r="T246" s="768" t="s">
        <v>491</v>
      </c>
      <c r="U246" s="768" t="s">
        <v>491</v>
      </c>
      <c r="V246" s="768" t="s">
        <v>491</v>
      </c>
      <c r="W246" s="768" t="s">
        <v>491</v>
      </c>
      <c r="X246" s="768" t="s">
        <v>481</v>
      </c>
      <c r="Y246" s="768"/>
      <c r="Z246" s="768"/>
      <c r="AA246" s="768" t="s">
        <v>491</v>
      </c>
      <c r="AB246" s="768" t="s">
        <v>491</v>
      </c>
      <c r="AC246" s="768" t="s">
        <v>491</v>
      </c>
      <c r="AD246" s="768" t="s">
        <v>491</v>
      </c>
      <c r="AE246" s="768" t="s">
        <v>491</v>
      </c>
      <c r="AF246" s="768"/>
      <c r="AG246" s="768"/>
      <c r="AH246" s="628">
        <v>77</v>
      </c>
      <c r="AI246" s="629">
        <v>37</v>
      </c>
    </row>
    <row r="247" spans="1:35" ht="21.95" customHeight="1">
      <c r="A247" s="442"/>
      <c r="B247" s="153" t="s">
        <v>710</v>
      </c>
      <c r="C247" s="768" t="s">
        <v>491</v>
      </c>
      <c r="D247" s="768"/>
      <c r="E247" s="768"/>
      <c r="F247" s="768" t="s">
        <v>491</v>
      </c>
      <c r="G247" s="768" t="s">
        <v>491</v>
      </c>
      <c r="H247" s="768" t="s">
        <v>491</v>
      </c>
      <c r="I247" s="768" t="s">
        <v>491</v>
      </c>
      <c r="J247" s="768" t="s">
        <v>491</v>
      </c>
      <c r="K247" s="768"/>
      <c r="L247" s="768"/>
      <c r="M247" s="768" t="s">
        <v>491</v>
      </c>
      <c r="N247" s="768" t="s">
        <v>491</v>
      </c>
      <c r="O247" s="768" t="s">
        <v>491</v>
      </c>
      <c r="P247" s="768" t="s">
        <v>491</v>
      </c>
      <c r="Q247" s="768" t="s">
        <v>491</v>
      </c>
      <c r="R247" s="768"/>
      <c r="S247" s="768"/>
      <c r="T247" s="768" t="s">
        <v>491</v>
      </c>
      <c r="U247" s="768" t="s">
        <v>491</v>
      </c>
      <c r="V247" s="768" t="s">
        <v>491</v>
      </c>
      <c r="W247" s="768" t="s">
        <v>491</v>
      </c>
      <c r="X247" s="768" t="s">
        <v>491</v>
      </c>
      <c r="Y247" s="768"/>
      <c r="Z247" s="768"/>
      <c r="AA247" s="970" t="s">
        <v>491</v>
      </c>
      <c r="AB247" s="970" t="s">
        <v>491</v>
      </c>
      <c r="AC247" s="970" t="s">
        <v>491</v>
      </c>
      <c r="AD247" s="970" t="s">
        <v>491</v>
      </c>
      <c r="AE247" s="970" t="s">
        <v>491</v>
      </c>
      <c r="AF247" s="970"/>
      <c r="AG247" s="970"/>
      <c r="AH247" s="628">
        <v>111</v>
      </c>
      <c r="AI247" s="629">
        <v>37</v>
      </c>
    </row>
    <row r="248" spans="1:35" ht="21.95" customHeight="1">
      <c r="A248" s="516">
        <v>3701</v>
      </c>
      <c r="B248" s="134" t="s">
        <v>711</v>
      </c>
      <c r="C248" s="768" t="s">
        <v>491</v>
      </c>
      <c r="D248" s="768"/>
      <c r="E248" s="768"/>
      <c r="F248" s="768" t="s">
        <v>491</v>
      </c>
      <c r="G248" s="768" t="s">
        <v>491</v>
      </c>
      <c r="H248" s="768" t="s">
        <v>491</v>
      </c>
      <c r="I248" s="768" t="s">
        <v>491</v>
      </c>
      <c r="J248" s="768" t="s">
        <v>491</v>
      </c>
      <c r="K248" s="768"/>
      <c r="L248" s="768"/>
      <c r="M248" s="768" t="s">
        <v>491</v>
      </c>
      <c r="N248" s="768" t="s">
        <v>491</v>
      </c>
      <c r="O248" s="768" t="s">
        <v>491</v>
      </c>
      <c r="P248" s="768" t="s">
        <v>491</v>
      </c>
      <c r="Q248" s="768" t="s">
        <v>491</v>
      </c>
      <c r="R248" s="768"/>
      <c r="S248" s="768"/>
      <c r="T248" s="768" t="s">
        <v>491</v>
      </c>
      <c r="U248" s="768" t="s">
        <v>491</v>
      </c>
      <c r="V248" s="768" t="s">
        <v>491</v>
      </c>
      <c r="W248" s="768" t="s">
        <v>491</v>
      </c>
      <c r="X248" s="768" t="s">
        <v>491</v>
      </c>
      <c r="Y248" s="768"/>
      <c r="Z248" s="768"/>
      <c r="AA248" s="970" t="s">
        <v>491</v>
      </c>
      <c r="AB248" s="970" t="s">
        <v>491</v>
      </c>
      <c r="AC248" s="970" t="s">
        <v>491</v>
      </c>
      <c r="AD248" s="970" t="s">
        <v>491</v>
      </c>
      <c r="AE248" s="970" t="s">
        <v>491</v>
      </c>
      <c r="AF248" s="970"/>
      <c r="AG248" s="970"/>
      <c r="AH248" s="849">
        <v>103.5</v>
      </c>
      <c r="AI248" s="850">
        <v>37</v>
      </c>
    </row>
    <row r="249" spans="1:35" ht="21" customHeight="1">
      <c r="A249" s="793">
        <v>8500</v>
      </c>
      <c r="B249" s="227" t="s">
        <v>712</v>
      </c>
      <c r="C249" s="768" t="s">
        <v>491</v>
      </c>
      <c r="D249" s="768"/>
      <c r="E249" s="768"/>
      <c r="F249" s="970" t="s">
        <v>491</v>
      </c>
      <c r="G249" s="970" t="s">
        <v>491</v>
      </c>
      <c r="H249" s="970" t="s">
        <v>491</v>
      </c>
      <c r="I249" s="970" t="s">
        <v>491</v>
      </c>
      <c r="J249" s="970" t="s">
        <v>491</v>
      </c>
      <c r="K249" s="970"/>
      <c r="L249" s="970"/>
      <c r="M249" s="970" t="s">
        <v>491</v>
      </c>
      <c r="N249" s="970" t="s">
        <v>491</v>
      </c>
      <c r="O249" s="970" t="s">
        <v>491</v>
      </c>
      <c r="P249" s="970" t="s">
        <v>491</v>
      </c>
      <c r="Q249" s="970" t="s">
        <v>491</v>
      </c>
      <c r="R249" s="970"/>
      <c r="S249" s="970"/>
      <c r="T249" s="768" t="s">
        <v>491</v>
      </c>
      <c r="U249" s="768" t="s">
        <v>491</v>
      </c>
      <c r="V249" s="768" t="s">
        <v>491</v>
      </c>
      <c r="W249" s="768" t="s">
        <v>491</v>
      </c>
      <c r="X249" s="768" t="s">
        <v>491</v>
      </c>
      <c r="Y249" s="768"/>
      <c r="Z249" s="768"/>
      <c r="AA249" s="768" t="s">
        <v>491</v>
      </c>
      <c r="AB249" s="768" t="s">
        <v>491</v>
      </c>
      <c r="AC249" s="768" t="s">
        <v>491</v>
      </c>
      <c r="AD249" s="768" t="s">
        <v>491</v>
      </c>
      <c r="AE249" s="768" t="s">
        <v>491</v>
      </c>
      <c r="AF249" s="768"/>
      <c r="AG249" s="768"/>
      <c r="AH249" s="849">
        <v>103.5</v>
      </c>
      <c r="AI249" s="850">
        <v>37</v>
      </c>
    </row>
    <row r="250" spans="1:35" ht="21.95" customHeight="1">
      <c r="A250" s="856">
        <v>3350</v>
      </c>
      <c r="B250" s="855" t="s">
        <v>713</v>
      </c>
      <c r="C250" s="768" t="s">
        <v>491</v>
      </c>
      <c r="D250" s="768"/>
      <c r="E250" s="768"/>
      <c r="F250" s="768" t="s">
        <v>491</v>
      </c>
      <c r="G250" s="768" t="s">
        <v>491</v>
      </c>
      <c r="H250" s="768" t="s">
        <v>491</v>
      </c>
      <c r="I250" s="768" t="s">
        <v>491</v>
      </c>
      <c r="J250" s="768" t="s">
        <v>491</v>
      </c>
      <c r="K250" s="768"/>
      <c r="L250" s="768"/>
      <c r="M250" s="1130" t="s">
        <v>491</v>
      </c>
      <c r="N250" s="768" t="s">
        <v>491</v>
      </c>
      <c r="O250" s="768" t="s">
        <v>491</v>
      </c>
      <c r="P250" s="768" t="s">
        <v>491</v>
      </c>
      <c r="Q250" s="768" t="s">
        <v>491</v>
      </c>
      <c r="R250" s="768"/>
      <c r="S250" s="768"/>
      <c r="T250" s="1130" t="s">
        <v>491</v>
      </c>
      <c r="U250" s="768" t="s">
        <v>491</v>
      </c>
      <c r="V250" s="768" t="s">
        <v>491</v>
      </c>
      <c r="W250" s="768" t="s">
        <v>491</v>
      </c>
      <c r="X250" s="768" t="s">
        <v>491</v>
      </c>
      <c r="Y250" s="768"/>
      <c r="Z250" s="768"/>
      <c r="AA250" s="768" t="s">
        <v>491</v>
      </c>
      <c r="AB250" s="768" t="s">
        <v>491</v>
      </c>
      <c r="AC250" s="768" t="s">
        <v>491</v>
      </c>
      <c r="AD250" s="768" t="s">
        <v>491</v>
      </c>
      <c r="AE250" s="768" t="s">
        <v>491</v>
      </c>
      <c r="AF250" s="768"/>
      <c r="AG250" s="768"/>
      <c r="AH250" s="849">
        <v>148</v>
      </c>
      <c r="AI250" s="850">
        <v>37</v>
      </c>
    </row>
    <row r="251" spans="1:35" ht="21.95" customHeight="1">
      <c r="A251" s="1136"/>
      <c r="B251" s="1137" t="s">
        <v>750</v>
      </c>
      <c r="C251" s="1086" t="s">
        <v>491</v>
      </c>
      <c r="D251" s="1086"/>
      <c r="E251" s="1086"/>
      <c r="F251" s="772" t="s">
        <v>491</v>
      </c>
      <c r="G251" s="772" t="s">
        <v>491</v>
      </c>
      <c r="H251" s="772" t="s">
        <v>491</v>
      </c>
      <c r="I251" s="772" t="s">
        <v>491</v>
      </c>
      <c r="J251" s="772" t="s">
        <v>491</v>
      </c>
      <c r="K251" s="772"/>
      <c r="L251" s="772"/>
      <c r="M251" s="772" t="s">
        <v>491</v>
      </c>
      <c r="N251" s="772" t="s">
        <v>491</v>
      </c>
      <c r="O251" s="772" t="s">
        <v>491</v>
      </c>
      <c r="P251" s="772" t="s">
        <v>491</v>
      </c>
      <c r="Q251" s="772" t="s">
        <v>491</v>
      </c>
      <c r="R251" s="772"/>
      <c r="S251" s="772"/>
      <c r="T251" s="772" t="s">
        <v>491</v>
      </c>
      <c r="U251" s="772" t="s">
        <v>491</v>
      </c>
      <c r="V251" s="772" t="s">
        <v>491</v>
      </c>
      <c r="W251" s="772" t="s">
        <v>491</v>
      </c>
      <c r="X251" s="772" t="s">
        <v>491</v>
      </c>
      <c r="Y251" s="772"/>
      <c r="Z251" s="772"/>
      <c r="AA251" s="772" t="s">
        <v>491</v>
      </c>
      <c r="AB251" s="772" t="s">
        <v>491</v>
      </c>
      <c r="AC251" s="772" t="s">
        <v>491</v>
      </c>
      <c r="AD251" s="772" t="s">
        <v>491</v>
      </c>
      <c r="AE251" s="772" t="s">
        <v>491</v>
      </c>
      <c r="AF251" s="772"/>
      <c r="AG251" s="772"/>
      <c r="AH251" s="849"/>
      <c r="AI251" s="850"/>
    </row>
    <row r="252" spans="1:35" ht="21.95" customHeight="1">
      <c r="A252" s="856"/>
      <c r="B252" s="1142" t="s">
        <v>763</v>
      </c>
      <c r="C252" s="782"/>
      <c r="D252" s="782"/>
      <c r="E252" s="782"/>
      <c r="F252" s="782"/>
      <c r="G252" s="782"/>
      <c r="H252" s="782"/>
      <c r="I252" s="782"/>
      <c r="J252" s="782"/>
      <c r="K252" s="782"/>
      <c r="L252" s="782"/>
      <c r="M252" s="782"/>
      <c r="N252" s="782"/>
      <c r="O252" s="782"/>
      <c r="P252" s="782"/>
      <c r="Q252" s="782"/>
      <c r="R252" s="782"/>
      <c r="S252" s="782"/>
      <c r="T252" s="782"/>
      <c r="U252" s="782"/>
      <c r="V252" s="782"/>
      <c r="W252" s="782"/>
      <c r="X252" s="782"/>
      <c r="Y252" s="782"/>
      <c r="Z252" s="782"/>
      <c r="AA252" s="782"/>
      <c r="AB252" s="782"/>
      <c r="AC252" s="782"/>
      <c r="AD252" s="782"/>
      <c r="AE252" s="782"/>
      <c r="AF252" s="782"/>
      <c r="AG252" s="782"/>
      <c r="AH252" s="1141"/>
      <c r="AI252" s="1141"/>
    </row>
    <row r="253" spans="1:35" ht="21.95" customHeight="1">
      <c r="A253" s="793"/>
      <c r="B253" s="1142" t="s">
        <v>764</v>
      </c>
      <c r="C253" s="793"/>
      <c r="D253" s="793"/>
      <c r="E253" s="793"/>
      <c r="F253" s="793"/>
      <c r="G253" s="793"/>
      <c r="H253" s="793"/>
      <c r="I253" s="793"/>
      <c r="J253" s="793"/>
      <c r="K253" s="793"/>
      <c r="L253" s="793"/>
      <c r="M253" s="793"/>
      <c r="N253" s="793"/>
      <c r="O253" s="793"/>
      <c r="P253" s="793"/>
      <c r="Q253" s="793"/>
      <c r="R253" s="793"/>
      <c r="S253" s="793"/>
      <c r="T253" s="793"/>
      <c r="U253" s="793"/>
      <c r="V253" s="793"/>
      <c r="W253" s="793"/>
      <c r="X253" s="793"/>
      <c r="Y253" s="793"/>
      <c r="Z253" s="793"/>
      <c r="AA253" s="793"/>
      <c r="AB253" s="793"/>
      <c r="AC253" s="793"/>
      <c r="AD253" s="793"/>
      <c r="AE253" s="793"/>
      <c r="AF253" s="793"/>
      <c r="AG253" s="782"/>
      <c r="AH253" s="1141"/>
      <c r="AI253" s="793"/>
    </row>
    <row r="255" spans="1:35" ht="25.5" customHeight="1" thickBot="1">
      <c r="A255" s="1" t="s">
        <v>716</v>
      </c>
    </row>
    <row r="256" spans="1:35" ht="21" customHeight="1">
      <c r="A256" s="1"/>
      <c r="B256" s="201" t="s">
        <v>664</v>
      </c>
      <c r="C256" s="7"/>
      <c r="D256" s="522" t="s">
        <v>2</v>
      </c>
      <c r="E256" s="51"/>
      <c r="F256" s="548"/>
      <c r="G256" s="7"/>
      <c r="H256" s="522" t="s">
        <v>3</v>
      </c>
      <c r="I256" s="51"/>
      <c r="J256" s="548"/>
      <c r="K256" s="7"/>
      <c r="L256" s="522" t="s">
        <v>4</v>
      </c>
      <c r="M256" s="51"/>
      <c r="N256" s="548"/>
      <c r="O256" s="7"/>
      <c r="P256" s="522" t="s">
        <v>5</v>
      </c>
      <c r="Q256" s="51"/>
      <c r="R256" s="548"/>
      <c r="S256" s="7"/>
      <c r="T256" s="522" t="s">
        <v>6</v>
      </c>
      <c r="U256" s="51"/>
      <c r="V256" s="548"/>
      <c r="W256" s="7"/>
      <c r="X256" s="522" t="s">
        <v>7</v>
      </c>
      <c r="Y256" s="51"/>
      <c r="Z256" s="548"/>
      <c r="AA256" s="7"/>
      <c r="AB256" s="522" t="s">
        <v>8</v>
      </c>
      <c r="AC256" s="51"/>
      <c r="AD256" s="51"/>
      <c r="AE256" s="425" t="s">
        <v>10</v>
      </c>
      <c r="AF256" s="51"/>
      <c r="AG256" s="51"/>
      <c r="AH256" s="51"/>
      <c r="AI256" s="523"/>
    </row>
    <row r="257" spans="1:35" ht="21" customHeight="1">
      <c r="A257" s="1"/>
      <c r="B257" s="9"/>
      <c r="C257" s="14"/>
      <c r="D257" s="603"/>
      <c r="E257" s="55"/>
      <c r="F257" s="602"/>
      <c r="G257" s="14"/>
      <c r="H257" s="603"/>
      <c r="I257" s="55"/>
      <c r="J257" s="602"/>
      <c r="K257" s="14"/>
      <c r="L257" s="603"/>
      <c r="M257" s="55"/>
      <c r="N257" s="602"/>
      <c r="O257" s="14"/>
      <c r="P257" s="603"/>
      <c r="Q257" s="55"/>
      <c r="R257" s="602"/>
      <c r="S257" s="14"/>
      <c r="T257" s="603"/>
      <c r="U257" s="55"/>
      <c r="V257" s="602"/>
      <c r="W257" s="14"/>
      <c r="X257" s="603"/>
      <c r="Y257" s="55"/>
      <c r="Z257" s="602"/>
      <c r="AA257" s="14"/>
      <c r="AB257" s="603"/>
      <c r="AC257" s="55"/>
      <c r="AD257" s="55"/>
      <c r="AE257" s="604"/>
      <c r="AF257" s="55"/>
      <c r="AG257" s="55"/>
      <c r="AH257" s="55"/>
      <c r="AI257" s="605"/>
    </row>
    <row r="258" spans="1:35" ht="21" customHeight="1">
      <c r="B258" s="606"/>
      <c r="C258" s="121"/>
      <c r="D258" s="157"/>
      <c r="E258" s="157"/>
      <c r="F258" s="564"/>
      <c r="G258" s="121"/>
      <c r="H258" s="157"/>
      <c r="I258" s="157"/>
      <c r="J258" s="564"/>
      <c r="K258" s="121"/>
      <c r="L258" s="157"/>
      <c r="M258" s="157"/>
      <c r="N258" s="564"/>
      <c r="O258" s="121"/>
      <c r="P258" s="157"/>
      <c r="Q258" s="157"/>
      <c r="R258" s="564"/>
      <c r="S258" s="121"/>
      <c r="T258" s="157"/>
      <c r="U258" s="157"/>
      <c r="V258" s="564"/>
      <c r="W258" s="121"/>
      <c r="X258" s="157"/>
      <c r="Y258" s="157"/>
      <c r="Z258" s="564"/>
      <c r="AA258" s="563"/>
      <c r="AB258" s="157"/>
      <c r="AC258" s="157"/>
      <c r="AD258" s="565"/>
      <c r="AE258" s="607"/>
      <c r="AF258" s="157"/>
      <c r="AG258" s="157" t="s">
        <v>28</v>
      </c>
      <c r="AH258" s="565"/>
      <c r="AI258" s="490"/>
    </row>
    <row r="259" spans="1:35" ht="21" customHeight="1" thickBot="1">
      <c r="A259" s="1"/>
      <c r="B259" s="47"/>
      <c r="C259" s="570"/>
      <c r="D259" s="53"/>
      <c r="E259" s="53"/>
      <c r="F259" s="571"/>
      <c r="G259" s="570"/>
      <c r="H259" s="53"/>
      <c r="I259" s="53"/>
      <c r="J259" s="571"/>
      <c r="K259" s="570"/>
      <c r="L259" s="53"/>
      <c r="M259" s="53"/>
      <c r="N259" s="571"/>
      <c r="O259" s="570"/>
      <c r="P259" s="53"/>
      <c r="Q259" s="53"/>
      <c r="R259" s="571"/>
      <c r="S259" s="570"/>
      <c r="T259" s="53"/>
      <c r="U259" s="53"/>
      <c r="V259" s="571"/>
      <c r="W259" s="57"/>
      <c r="X259" s="53"/>
      <c r="Y259" s="53"/>
      <c r="Z259" s="571"/>
      <c r="AA259" s="57"/>
      <c r="AB259" s="53"/>
      <c r="AC259" s="53"/>
      <c r="AD259" s="573"/>
      <c r="AE259" s="57"/>
      <c r="AF259" s="53"/>
      <c r="AG259" s="53"/>
      <c r="AH259" s="573"/>
      <c r="AI259" s="536"/>
    </row>
    <row r="260" spans="1:35" ht="33" customHeight="1" thickBot="1">
      <c r="A260" s="1" t="s">
        <v>717</v>
      </c>
      <c r="B260" s="72"/>
      <c r="C260" s="312"/>
      <c r="F260" s="354"/>
      <c r="G260" s="312"/>
      <c r="J260" s="354"/>
      <c r="K260" s="312"/>
      <c r="N260" s="354"/>
      <c r="O260" s="312"/>
      <c r="R260" s="354"/>
      <c r="S260" s="312"/>
      <c r="V260" s="354"/>
      <c r="W260" s="354"/>
      <c r="Z260" s="354"/>
      <c r="AA260" s="354"/>
      <c r="AD260" s="354"/>
      <c r="AE260" s="354"/>
      <c r="AH260" s="354"/>
    </row>
    <row r="261" spans="1:35" ht="21" customHeight="1" thickBot="1">
      <c r="A261" s="861" t="s">
        <v>475</v>
      </c>
      <c r="B261" s="862" t="s">
        <v>476</v>
      </c>
      <c r="C261" s="863">
        <v>1</v>
      </c>
      <c r="D261" s="880">
        <v>2</v>
      </c>
      <c r="E261" s="880">
        <v>3</v>
      </c>
      <c r="F261" s="863">
        <v>4</v>
      </c>
      <c r="G261" s="863">
        <v>5</v>
      </c>
      <c r="H261" s="863">
        <v>6</v>
      </c>
      <c r="I261" s="863">
        <v>7</v>
      </c>
      <c r="J261" s="863">
        <v>8</v>
      </c>
      <c r="K261" s="880">
        <v>9</v>
      </c>
      <c r="L261" s="880">
        <v>10</v>
      </c>
      <c r="M261" s="863">
        <v>11</v>
      </c>
      <c r="N261" s="863">
        <v>12</v>
      </c>
      <c r="O261" s="863">
        <v>13</v>
      </c>
      <c r="P261" s="863">
        <v>14</v>
      </c>
      <c r="Q261" s="863">
        <v>15</v>
      </c>
      <c r="R261" s="880">
        <v>16</v>
      </c>
      <c r="S261" s="880">
        <v>17</v>
      </c>
      <c r="T261" s="863">
        <v>18</v>
      </c>
      <c r="U261" s="863">
        <v>19</v>
      </c>
      <c r="V261" s="863">
        <v>20</v>
      </c>
      <c r="W261" s="863">
        <v>21</v>
      </c>
      <c r="X261" s="863">
        <v>22</v>
      </c>
      <c r="Y261" s="880">
        <v>23</v>
      </c>
      <c r="Z261" s="880">
        <v>24</v>
      </c>
      <c r="AA261" s="863">
        <v>25</v>
      </c>
      <c r="AB261" s="863">
        <v>26</v>
      </c>
      <c r="AC261" s="863">
        <v>27</v>
      </c>
      <c r="AD261" s="863">
        <v>28</v>
      </c>
      <c r="AE261" s="863">
        <v>29</v>
      </c>
      <c r="AF261" s="880">
        <v>30</v>
      </c>
      <c r="AG261" s="949">
        <v>31</v>
      </c>
      <c r="AH261" s="864" t="s">
        <v>477</v>
      </c>
      <c r="AI261" s="865" t="s">
        <v>478</v>
      </c>
    </row>
    <row r="262" spans="1:35" ht="21" customHeight="1">
      <c r="A262" s="438"/>
      <c r="B262" s="916" t="s">
        <v>718</v>
      </c>
      <c r="C262" s="768" t="s">
        <v>491</v>
      </c>
      <c r="D262" s="768"/>
      <c r="E262" s="768"/>
      <c r="F262" s="768" t="s">
        <v>491</v>
      </c>
      <c r="G262" s="768" t="s">
        <v>491</v>
      </c>
      <c r="H262" s="768" t="s">
        <v>491</v>
      </c>
      <c r="I262" s="768" t="s">
        <v>491</v>
      </c>
      <c r="J262" s="768" t="s">
        <v>491</v>
      </c>
      <c r="K262" s="768"/>
      <c r="L262" s="768"/>
      <c r="M262" s="768" t="s">
        <v>491</v>
      </c>
      <c r="N262" s="768" t="s">
        <v>491</v>
      </c>
      <c r="O262" s="768" t="s">
        <v>491</v>
      </c>
      <c r="P262" s="768" t="s">
        <v>491</v>
      </c>
      <c r="Q262" s="768" t="s">
        <v>491</v>
      </c>
      <c r="R262" s="768"/>
      <c r="S262" s="768"/>
      <c r="T262" s="768" t="s">
        <v>491</v>
      </c>
      <c r="U262" s="768" t="s">
        <v>491</v>
      </c>
      <c r="V262" s="768" t="s">
        <v>491</v>
      </c>
      <c r="W262" s="768" t="s">
        <v>491</v>
      </c>
      <c r="X262" s="768" t="s">
        <v>491</v>
      </c>
      <c r="Y262" s="768"/>
      <c r="Z262" s="768"/>
      <c r="AA262" s="768" t="s">
        <v>491</v>
      </c>
      <c r="AB262" s="768" t="s">
        <v>491</v>
      </c>
      <c r="AC262" s="768" t="s">
        <v>491</v>
      </c>
      <c r="AD262" s="768" t="s">
        <v>491</v>
      </c>
      <c r="AE262" s="768" t="s">
        <v>491</v>
      </c>
      <c r="AF262" s="768"/>
      <c r="AG262" s="768"/>
      <c r="AH262" s="909">
        <v>155.5</v>
      </c>
      <c r="AI262" s="910">
        <v>37</v>
      </c>
    </row>
    <row r="263" spans="1:35" ht="21" customHeight="1">
      <c r="A263" s="442"/>
      <c r="B263" s="613" t="s">
        <v>719</v>
      </c>
      <c r="C263" s="970" t="s">
        <v>491</v>
      </c>
      <c r="D263" s="970"/>
      <c r="E263" s="970"/>
      <c r="F263" s="970" t="s">
        <v>491</v>
      </c>
      <c r="G263" s="970" t="s">
        <v>491</v>
      </c>
      <c r="H263" s="970" t="s">
        <v>491</v>
      </c>
      <c r="I263" s="970" t="s">
        <v>491</v>
      </c>
      <c r="J263" s="970" t="s">
        <v>491</v>
      </c>
      <c r="K263" s="768"/>
      <c r="L263" s="768"/>
      <c r="M263" s="768" t="s">
        <v>491</v>
      </c>
      <c r="N263" s="768" t="s">
        <v>491</v>
      </c>
      <c r="O263" s="768" t="s">
        <v>491</v>
      </c>
      <c r="P263" s="768" t="s">
        <v>491</v>
      </c>
      <c r="Q263" s="768" t="s">
        <v>491</v>
      </c>
      <c r="R263" s="768"/>
      <c r="S263" s="768"/>
      <c r="T263" s="768" t="s">
        <v>491</v>
      </c>
      <c r="U263" s="768" t="s">
        <v>491</v>
      </c>
      <c r="V263" s="768" t="s">
        <v>491</v>
      </c>
      <c r="W263" s="768" t="s">
        <v>491</v>
      </c>
      <c r="X263" s="768" t="s">
        <v>491</v>
      </c>
      <c r="Y263" s="768"/>
      <c r="Z263" s="768"/>
      <c r="AA263" s="768" t="s">
        <v>491</v>
      </c>
      <c r="AB263" s="768" t="s">
        <v>491</v>
      </c>
      <c r="AC263" s="768" t="s">
        <v>491</v>
      </c>
      <c r="AD263" s="768" t="s">
        <v>491</v>
      </c>
      <c r="AE263" s="768" t="s">
        <v>491</v>
      </c>
      <c r="AF263" s="768"/>
      <c r="AG263" s="768"/>
      <c r="AH263" s="628">
        <v>75</v>
      </c>
      <c r="AI263" s="629">
        <v>37</v>
      </c>
    </row>
    <row r="264" spans="1:35" ht="21" customHeight="1">
      <c r="A264" s="442"/>
      <c r="B264" s="613" t="s">
        <v>720</v>
      </c>
      <c r="C264" s="768" t="s">
        <v>491</v>
      </c>
      <c r="D264" s="768"/>
      <c r="E264" s="768"/>
      <c r="F264" s="768" t="s">
        <v>491</v>
      </c>
      <c r="G264" s="768" t="s">
        <v>491</v>
      </c>
      <c r="H264" s="768" t="s">
        <v>491</v>
      </c>
      <c r="I264" s="768" t="s">
        <v>491</v>
      </c>
      <c r="J264" s="768" t="s">
        <v>491</v>
      </c>
      <c r="K264" s="768"/>
      <c r="L264" s="768"/>
      <c r="M264" s="768" t="s">
        <v>491</v>
      </c>
      <c r="N264" s="768" t="s">
        <v>491</v>
      </c>
      <c r="O264" s="768" t="s">
        <v>491</v>
      </c>
      <c r="P264" s="768" t="s">
        <v>491</v>
      </c>
      <c r="Q264" s="768" t="s">
        <v>491</v>
      </c>
      <c r="R264" s="768"/>
      <c r="S264" s="768"/>
      <c r="T264" s="768" t="s">
        <v>491</v>
      </c>
      <c r="U264" s="768" t="s">
        <v>491</v>
      </c>
      <c r="V264" s="768" t="s">
        <v>491</v>
      </c>
      <c r="W264" s="768" t="s">
        <v>491</v>
      </c>
      <c r="X264" s="768" t="s">
        <v>491</v>
      </c>
      <c r="Y264" s="768"/>
      <c r="Z264" s="768"/>
      <c r="AA264" s="768" t="s">
        <v>491</v>
      </c>
      <c r="AB264" s="768" t="s">
        <v>491</v>
      </c>
      <c r="AC264" s="768" t="s">
        <v>491</v>
      </c>
      <c r="AD264" s="768" t="s">
        <v>491</v>
      </c>
      <c r="AE264" s="768" t="s">
        <v>491</v>
      </c>
      <c r="AF264" s="768"/>
      <c r="AG264" s="768"/>
      <c r="AH264" s="628">
        <v>37</v>
      </c>
      <c r="AI264" s="629">
        <v>37</v>
      </c>
    </row>
    <row r="265" spans="1:35" ht="21" customHeight="1">
      <c r="A265" s="442"/>
      <c r="B265" s="613" t="s">
        <v>721</v>
      </c>
      <c r="C265" s="768" t="s">
        <v>491</v>
      </c>
      <c r="D265" s="768"/>
      <c r="E265" s="768"/>
      <c r="F265" s="768" t="s">
        <v>491</v>
      </c>
      <c r="G265" s="768" t="s">
        <v>491</v>
      </c>
      <c r="H265" s="768" t="s">
        <v>491</v>
      </c>
      <c r="I265" s="768" t="s">
        <v>491</v>
      </c>
      <c r="J265" s="768" t="s">
        <v>491</v>
      </c>
      <c r="K265" s="768"/>
      <c r="L265" s="768"/>
      <c r="M265" s="970" t="s">
        <v>491</v>
      </c>
      <c r="N265" s="970" t="s">
        <v>491</v>
      </c>
      <c r="O265" s="970" t="s">
        <v>491</v>
      </c>
      <c r="P265" s="970" t="s">
        <v>491</v>
      </c>
      <c r="Q265" s="970" t="s">
        <v>491</v>
      </c>
      <c r="R265" s="768"/>
      <c r="S265" s="768"/>
      <c r="T265" s="980" t="s">
        <v>491</v>
      </c>
      <c r="U265" s="980" t="s">
        <v>491</v>
      </c>
      <c r="V265" s="980" t="s">
        <v>491</v>
      </c>
      <c r="W265" s="980" t="s">
        <v>491</v>
      </c>
      <c r="X265" s="980" t="s">
        <v>491</v>
      </c>
      <c r="Y265" s="768"/>
      <c r="Z265" s="768"/>
      <c r="AA265" s="1030" t="s">
        <v>491</v>
      </c>
      <c r="AB265" s="1030" t="s">
        <v>491</v>
      </c>
      <c r="AC265" s="1030" t="s">
        <v>491</v>
      </c>
      <c r="AD265" s="1030" t="s">
        <v>491</v>
      </c>
      <c r="AE265" s="1030" t="s">
        <v>491</v>
      </c>
      <c r="AF265" s="768"/>
      <c r="AG265" s="768"/>
      <c r="AH265" s="628">
        <v>136</v>
      </c>
      <c r="AI265" s="629">
        <v>0</v>
      </c>
    </row>
    <row r="266" spans="1:35" ht="21" customHeight="1">
      <c r="A266" s="442"/>
      <c r="B266" s="613" t="s">
        <v>722</v>
      </c>
      <c r="C266" s="768" t="s">
        <v>491</v>
      </c>
      <c r="D266" s="768"/>
      <c r="E266" s="768"/>
      <c r="F266" s="768" t="s">
        <v>491</v>
      </c>
      <c r="G266" s="768" t="s">
        <v>491</v>
      </c>
      <c r="H266" s="768" t="s">
        <v>491</v>
      </c>
      <c r="I266" s="768" t="s">
        <v>491</v>
      </c>
      <c r="J266" s="768" t="s">
        <v>491</v>
      </c>
      <c r="K266" s="768"/>
      <c r="L266" s="768"/>
      <c r="M266" s="768" t="s">
        <v>491</v>
      </c>
      <c r="N266" s="768" t="s">
        <v>491</v>
      </c>
      <c r="O266" s="768" t="s">
        <v>491</v>
      </c>
      <c r="P266" s="768" t="s">
        <v>491</v>
      </c>
      <c r="Q266" s="768" t="s">
        <v>491</v>
      </c>
      <c r="R266" s="768"/>
      <c r="S266" s="768"/>
      <c r="T266" s="768" t="s">
        <v>491</v>
      </c>
      <c r="U266" s="768" t="s">
        <v>491</v>
      </c>
      <c r="V266" s="768" t="s">
        <v>491</v>
      </c>
      <c r="W266" s="768" t="s">
        <v>491</v>
      </c>
      <c r="X266" s="768" t="s">
        <v>491</v>
      </c>
      <c r="Y266" s="768"/>
      <c r="Z266" s="768"/>
      <c r="AA266" s="768" t="s">
        <v>491</v>
      </c>
      <c r="AB266" s="768" t="s">
        <v>491</v>
      </c>
      <c r="AC266" s="768" t="s">
        <v>491</v>
      </c>
      <c r="AD266" s="768" t="s">
        <v>491</v>
      </c>
      <c r="AE266" s="768" t="s">
        <v>491</v>
      </c>
      <c r="AF266" s="768"/>
      <c r="AG266" s="768"/>
      <c r="AH266" s="628">
        <v>92</v>
      </c>
      <c r="AI266" s="629">
        <v>19</v>
      </c>
    </row>
    <row r="267" spans="1:35" ht="21" customHeight="1">
      <c r="A267" s="442"/>
      <c r="B267" s="613" t="s">
        <v>723</v>
      </c>
      <c r="C267" s="768" t="s">
        <v>491</v>
      </c>
      <c r="D267" s="768"/>
      <c r="E267" s="768"/>
      <c r="F267" s="768" t="s">
        <v>491</v>
      </c>
      <c r="G267" s="768" t="s">
        <v>491</v>
      </c>
      <c r="H267" s="768" t="s">
        <v>491</v>
      </c>
      <c r="I267" s="768" t="s">
        <v>491</v>
      </c>
      <c r="J267" s="768" t="s">
        <v>491</v>
      </c>
      <c r="K267" s="768"/>
      <c r="L267" s="768"/>
      <c r="M267" s="768" t="s">
        <v>491</v>
      </c>
      <c r="N267" s="768" t="s">
        <v>491</v>
      </c>
      <c r="O267" s="768" t="s">
        <v>491</v>
      </c>
      <c r="P267" s="768" t="s">
        <v>491</v>
      </c>
      <c r="Q267" s="768" t="s">
        <v>491</v>
      </c>
      <c r="R267" s="768"/>
      <c r="S267" s="768"/>
      <c r="T267" s="768" t="s">
        <v>491</v>
      </c>
      <c r="U267" s="768" t="s">
        <v>491</v>
      </c>
      <c r="V267" s="768" t="s">
        <v>491</v>
      </c>
      <c r="W267" s="768" t="s">
        <v>491</v>
      </c>
      <c r="X267" s="768" t="s">
        <v>491</v>
      </c>
      <c r="Y267" s="768"/>
      <c r="Z267" s="768"/>
      <c r="AA267" s="768" t="s">
        <v>491</v>
      </c>
      <c r="AB267" s="768" t="s">
        <v>491</v>
      </c>
      <c r="AC267" s="768" t="s">
        <v>491</v>
      </c>
      <c r="AD267" s="768" t="s">
        <v>491</v>
      </c>
      <c r="AE267" s="768" t="s">
        <v>491</v>
      </c>
      <c r="AF267" s="768"/>
      <c r="AG267" s="768"/>
      <c r="AH267" s="628">
        <v>79</v>
      </c>
      <c r="AI267" s="629">
        <v>37</v>
      </c>
    </row>
    <row r="268" spans="1:35" ht="21" customHeight="1">
      <c r="A268" s="442"/>
      <c r="B268" s="613" t="s">
        <v>724</v>
      </c>
      <c r="C268" s="970" t="s">
        <v>491</v>
      </c>
      <c r="D268" s="970"/>
      <c r="E268" s="970"/>
      <c r="F268" s="970" t="s">
        <v>491</v>
      </c>
      <c r="G268" s="970" t="s">
        <v>491</v>
      </c>
      <c r="H268" s="970" t="s">
        <v>491</v>
      </c>
      <c r="I268" s="970" t="s">
        <v>491</v>
      </c>
      <c r="J268" s="970" t="s">
        <v>491</v>
      </c>
      <c r="K268" s="970"/>
      <c r="L268" s="970"/>
      <c r="M268" s="970" t="s">
        <v>491</v>
      </c>
      <c r="N268" s="970" t="s">
        <v>491</v>
      </c>
      <c r="O268" s="970" t="s">
        <v>491</v>
      </c>
      <c r="P268" s="970" t="s">
        <v>491</v>
      </c>
      <c r="Q268" s="970" t="s">
        <v>491</v>
      </c>
      <c r="R268" s="768"/>
      <c r="S268" s="768"/>
      <c r="T268" s="768" t="s">
        <v>491</v>
      </c>
      <c r="U268" s="768" t="s">
        <v>491</v>
      </c>
      <c r="V268" s="768" t="s">
        <v>491</v>
      </c>
      <c r="W268" s="768" t="s">
        <v>491</v>
      </c>
      <c r="X268" s="768" t="s">
        <v>491</v>
      </c>
      <c r="Y268" s="768"/>
      <c r="Z268" s="768"/>
      <c r="AA268" s="768" t="s">
        <v>491</v>
      </c>
      <c r="AB268" s="768" t="s">
        <v>491</v>
      </c>
      <c r="AC268" s="1038" t="s">
        <v>491</v>
      </c>
      <c r="AD268" s="1038" t="s">
        <v>491</v>
      </c>
      <c r="AE268" s="1038" t="s">
        <v>493</v>
      </c>
      <c r="AF268" s="768"/>
      <c r="AG268" s="768"/>
      <c r="AH268" s="628">
        <v>75</v>
      </c>
      <c r="AI268" s="629">
        <v>25</v>
      </c>
    </row>
    <row r="269" spans="1:35" ht="21" customHeight="1">
      <c r="A269" s="442"/>
      <c r="B269" s="613" t="s">
        <v>725</v>
      </c>
      <c r="C269" s="768" t="s">
        <v>491</v>
      </c>
      <c r="D269" s="768"/>
      <c r="E269" s="768"/>
      <c r="F269" s="970" t="s">
        <v>491</v>
      </c>
      <c r="G269" s="970" t="s">
        <v>491</v>
      </c>
      <c r="H269" s="970" t="s">
        <v>491</v>
      </c>
      <c r="I269" s="970" t="s">
        <v>491</v>
      </c>
      <c r="J269" s="970" t="s">
        <v>491</v>
      </c>
      <c r="K269" s="970"/>
      <c r="L269" s="970"/>
      <c r="M269" s="970" t="s">
        <v>491</v>
      </c>
      <c r="N269" s="970" t="s">
        <v>491</v>
      </c>
      <c r="O269" s="970" t="s">
        <v>491</v>
      </c>
      <c r="P269" s="970" t="s">
        <v>491</v>
      </c>
      <c r="Q269" s="970" t="s">
        <v>491</v>
      </c>
      <c r="R269" s="970"/>
      <c r="S269" s="970"/>
      <c r="T269" s="970" t="s">
        <v>491</v>
      </c>
      <c r="U269" s="970" t="s">
        <v>491</v>
      </c>
      <c r="V269" s="970" t="s">
        <v>491</v>
      </c>
      <c r="W269" s="970" t="s">
        <v>491</v>
      </c>
      <c r="X269" s="970" t="s">
        <v>491</v>
      </c>
      <c r="Y269" s="768"/>
      <c r="Z269" s="768"/>
      <c r="AA269" s="768" t="s">
        <v>491</v>
      </c>
      <c r="AB269" s="768" t="s">
        <v>491</v>
      </c>
      <c r="AC269" s="768" t="s">
        <v>491</v>
      </c>
      <c r="AD269" s="768" t="s">
        <v>491</v>
      </c>
      <c r="AE269" s="768" t="s">
        <v>491</v>
      </c>
      <c r="AF269" s="768"/>
      <c r="AG269" s="768"/>
      <c r="AH269" s="628">
        <v>83</v>
      </c>
      <c r="AI269" s="629">
        <v>37</v>
      </c>
    </row>
    <row r="270" spans="1:35" ht="21" customHeight="1">
      <c r="A270" s="442"/>
      <c r="B270" s="613" t="s">
        <v>726</v>
      </c>
      <c r="C270" s="768" t="s">
        <v>491</v>
      </c>
      <c r="D270" s="768"/>
      <c r="E270" s="768"/>
      <c r="F270" s="768" t="s">
        <v>491</v>
      </c>
      <c r="G270" s="768" t="s">
        <v>491</v>
      </c>
      <c r="H270" s="768" t="s">
        <v>491</v>
      </c>
      <c r="I270" s="768" t="s">
        <v>491</v>
      </c>
      <c r="J270" s="768" t="s">
        <v>491</v>
      </c>
      <c r="K270" s="768"/>
      <c r="L270" s="768"/>
      <c r="M270" s="768" t="s">
        <v>491</v>
      </c>
      <c r="N270" s="768" t="s">
        <v>491</v>
      </c>
      <c r="O270" s="1038" t="s">
        <v>491</v>
      </c>
      <c r="P270" s="1038" t="s">
        <v>491</v>
      </c>
      <c r="Q270" s="1038" t="s">
        <v>491</v>
      </c>
      <c r="R270" s="1038"/>
      <c r="S270" s="1038"/>
      <c r="T270" s="1038" t="s">
        <v>491</v>
      </c>
      <c r="U270" s="1038" t="s">
        <v>491</v>
      </c>
      <c r="V270" s="1038" t="s">
        <v>491</v>
      </c>
      <c r="W270" s="1038" t="s">
        <v>491</v>
      </c>
      <c r="X270" s="1038" t="s">
        <v>491</v>
      </c>
      <c r="Y270" s="768"/>
      <c r="Z270" s="768"/>
      <c r="AA270" s="768" t="s">
        <v>491</v>
      </c>
      <c r="AB270" s="768" t="s">
        <v>491</v>
      </c>
      <c r="AC270" s="768" t="s">
        <v>491</v>
      </c>
      <c r="AD270" s="768" t="s">
        <v>491</v>
      </c>
      <c r="AE270" s="768" t="s">
        <v>491</v>
      </c>
      <c r="AF270" s="768"/>
      <c r="AG270" s="768"/>
      <c r="AH270" s="628">
        <v>98</v>
      </c>
      <c r="AI270" s="629">
        <v>37</v>
      </c>
    </row>
    <row r="271" spans="1:35" ht="21" customHeight="1">
      <c r="A271" s="442"/>
      <c r="B271" s="613" t="s">
        <v>727</v>
      </c>
      <c r="C271" s="970" t="s">
        <v>491</v>
      </c>
      <c r="D271" s="970"/>
      <c r="E271" s="970"/>
      <c r="F271" s="970" t="s">
        <v>491</v>
      </c>
      <c r="G271" s="970" t="s">
        <v>491</v>
      </c>
      <c r="H271" s="970" t="s">
        <v>491</v>
      </c>
      <c r="I271" s="970" t="s">
        <v>491</v>
      </c>
      <c r="J271" s="970" t="s">
        <v>491</v>
      </c>
      <c r="K271" s="768"/>
      <c r="L271" s="768"/>
      <c r="M271" s="768" t="s">
        <v>491</v>
      </c>
      <c r="N271" s="768" t="s">
        <v>491</v>
      </c>
      <c r="O271" s="768" t="s">
        <v>491</v>
      </c>
      <c r="P271" s="768" t="s">
        <v>491</v>
      </c>
      <c r="Q271" s="768" t="s">
        <v>491</v>
      </c>
      <c r="R271" s="768"/>
      <c r="S271" s="768"/>
      <c r="T271" s="768" t="s">
        <v>491</v>
      </c>
      <c r="U271" s="768" t="s">
        <v>491</v>
      </c>
      <c r="V271" s="768" t="s">
        <v>491</v>
      </c>
      <c r="W271" s="768" t="s">
        <v>491</v>
      </c>
      <c r="X271" s="768" t="s">
        <v>491</v>
      </c>
      <c r="Y271" s="768"/>
      <c r="Z271" s="768"/>
      <c r="AA271" s="768" t="s">
        <v>491</v>
      </c>
      <c r="AB271" s="768" t="s">
        <v>491</v>
      </c>
      <c r="AC271" s="768" t="s">
        <v>491</v>
      </c>
      <c r="AD271" s="768" t="s">
        <v>491</v>
      </c>
      <c r="AE271" s="768" t="s">
        <v>491</v>
      </c>
      <c r="AF271" s="768"/>
      <c r="AG271" s="768"/>
      <c r="AH271" s="628">
        <v>75.5</v>
      </c>
      <c r="AI271" s="629">
        <v>25</v>
      </c>
    </row>
    <row r="272" spans="1:35" ht="21" customHeight="1">
      <c r="A272" s="442"/>
      <c r="B272" s="153" t="s">
        <v>728</v>
      </c>
      <c r="C272" s="970" t="s">
        <v>491</v>
      </c>
      <c r="D272" s="970"/>
      <c r="E272" s="970"/>
      <c r="F272" s="970" t="s">
        <v>491</v>
      </c>
      <c r="G272" s="970" t="s">
        <v>491</v>
      </c>
      <c r="H272" s="970" t="s">
        <v>491</v>
      </c>
      <c r="I272" s="970" t="s">
        <v>491</v>
      </c>
      <c r="J272" s="970" t="s">
        <v>491</v>
      </c>
      <c r="K272" s="768"/>
      <c r="L272" s="768"/>
      <c r="M272" s="768" t="s">
        <v>491</v>
      </c>
      <c r="N272" s="768" t="s">
        <v>491</v>
      </c>
      <c r="O272" s="768" t="s">
        <v>491</v>
      </c>
      <c r="P272" s="768" t="s">
        <v>491</v>
      </c>
      <c r="Q272" s="768" t="s">
        <v>491</v>
      </c>
      <c r="R272" s="768"/>
      <c r="S272" s="768"/>
      <c r="T272" s="768" t="s">
        <v>491</v>
      </c>
      <c r="U272" s="768" t="s">
        <v>491</v>
      </c>
      <c r="V272" s="768" t="s">
        <v>491</v>
      </c>
      <c r="W272" s="768" t="s">
        <v>491</v>
      </c>
      <c r="X272" s="1030" t="s">
        <v>491</v>
      </c>
      <c r="Y272" s="768"/>
      <c r="Z272" s="768"/>
      <c r="AA272" s="768" t="s">
        <v>491</v>
      </c>
      <c r="AB272" s="768" t="s">
        <v>491</v>
      </c>
      <c r="AC272" s="768" t="s">
        <v>491</v>
      </c>
      <c r="AD272" s="768" t="s">
        <v>491</v>
      </c>
      <c r="AE272" s="768" t="s">
        <v>491</v>
      </c>
      <c r="AF272" s="768"/>
      <c r="AG272" s="768"/>
      <c r="AH272" s="628">
        <v>75</v>
      </c>
      <c r="AI272" s="629">
        <v>0</v>
      </c>
    </row>
    <row r="273" spans="1:35" ht="21" customHeight="1">
      <c r="A273" s="442"/>
      <c r="B273" s="153" t="s">
        <v>729</v>
      </c>
      <c r="C273" s="970" t="s">
        <v>491</v>
      </c>
      <c r="D273" s="970"/>
      <c r="E273" s="970"/>
      <c r="F273" s="768" t="s">
        <v>491</v>
      </c>
      <c r="G273" s="768" t="s">
        <v>491</v>
      </c>
      <c r="H273" s="768" t="s">
        <v>491</v>
      </c>
      <c r="I273" s="768" t="s">
        <v>491</v>
      </c>
      <c r="J273" s="768" t="s">
        <v>491</v>
      </c>
      <c r="K273" s="768"/>
      <c r="L273" s="768"/>
      <c r="M273" s="768" t="s">
        <v>491</v>
      </c>
      <c r="N273" s="768" t="s">
        <v>491</v>
      </c>
      <c r="O273" s="768" t="s">
        <v>491</v>
      </c>
      <c r="P273" s="768" t="s">
        <v>491</v>
      </c>
      <c r="Q273" s="768" t="s">
        <v>491</v>
      </c>
      <c r="R273" s="768"/>
      <c r="S273" s="768"/>
      <c r="T273" s="768" t="s">
        <v>491</v>
      </c>
      <c r="U273" s="768" t="s">
        <v>491</v>
      </c>
      <c r="V273" s="768" t="s">
        <v>491</v>
      </c>
      <c r="W273" s="768" t="s">
        <v>491</v>
      </c>
      <c r="X273" s="768" t="s">
        <v>491</v>
      </c>
      <c r="Y273" s="768"/>
      <c r="Z273" s="768"/>
      <c r="AA273" s="768" t="s">
        <v>491</v>
      </c>
      <c r="AB273" s="768" t="s">
        <v>491</v>
      </c>
      <c r="AC273" s="768" t="s">
        <v>491</v>
      </c>
      <c r="AD273" s="768" t="s">
        <v>491</v>
      </c>
      <c r="AE273" s="970" t="s">
        <v>491</v>
      </c>
      <c r="AF273" s="768"/>
      <c r="AG273" s="768"/>
      <c r="AH273" s="628">
        <v>68</v>
      </c>
      <c r="AI273" s="629">
        <v>0</v>
      </c>
    </row>
    <row r="274" spans="1:35" ht="21" customHeight="1">
      <c r="A274" s="134"/>
      <c r="B274" s="134" t="s">
        <v>730</v>
      </c>
      <c r="C274" s="970" t="s">
        <v>491</v>
      </c>
      <c r="D274" s="768"/>
      <c r="E274" s="768"/>
      <c r="F274" s="768" t="s">
        <v>491</v>
      </c>
      <c r="G274" s="768" t="s">
        <v>491</v>
      </c>
      <c r="H274" s="768" t="s">
        <v>491</v>
      </c>
      <c r="I274" s="768" t="s">
        <v>491</v>
      </c>
      <c r="J274" s="768" t="s">
        <v>491</v>
      </c>
      <c r="K274" s="768"/>
      <c r="L274" s="768"/>
      <c r="M274" s="768" t="s">
        <v>491</v>
      </c>
      <c r="N274" s="768" t="s">
        <v>491</v>
      </c>
      <c r="O274" s="768" t="s">
        <v>491</v>
      </c>
      <c r="P274" s="768" t="s">
        <v>491</v>
      </c>
      <c r="Q274" s="768" t="s">
        <v>491</v>
      </c>
      <c r="R274" s="768"/>
      <c r="S274" s="768"/>
      <c r="T274" s="768" t="s">
        <v>491</v>
      </c>
      <c r="U274" s="768" t="s">
        <v>491</v>
      </c>
      <c r="V274" s="768" t="s">
        <v>491</v>
      </c>
      <c r="W274" s="768" t="s">
        <v>491</v>
      </c>
      <c r="X274" s="768" t="s">
        <v>491</v>
      </c>
      <c r="Y274" s="768"/>
      <c r="Z274" s="768"/>
      <c r="AA274" s="768" t="s">
        <v>491</v>
      </c>
      <c r="AB274" s="768" t="s">
        <v>491</v>
      </c>
      <c r="AC274" s="768" t="s">
        <v>491</v>
      </c>
      <c r="AD274" s="768" t="s">
        <v>491</v>
      </c>
      <c r="AE274" s="768" t="s">
        <v>491</v>
      </c>
      <c r="AF274" s="768"/>
      <c r="AG274" s="768"/>
      <c r="AH274" s="849">
        <v>82</v>
      </c>
      <c r="AI274" s="850">
        <v>18</v>
      </c>
    </row>
    <row r="275" spans="1:35" ht="21" customHeight="1" thickBot="1">
      <c r="A275" s="917"/>
      <c r="B275" s="917" t="s">
        <v>731</v>
      </c>
      <c r="C275" s="1038" t="s">
        <v>491</v>
      </c>
      <c r="D275" s="1038"/>
      <c r="E275" s="1038"/>
      <c r="F275" s="1038" t="s">
        <v>491</v>
      </c>
      <c r="G275" s="1038" t="s">
        <v>491</v>
      </c>
      <c r="H275" s="1038" t="s">
        <v>491</v>
      </c>
      <c r="I275" s="1038" t="s">
        <v>491</v>
      </c>
      <c r="J275" s="1038" t="s">
        <v>491</v>
      </c>
      <c r="K275" s="1038"/>
      <c r="L275" s="1038"/>
      <c r="M275" s="1038" t="s">
        <v>491</v>
      </c>
      <c r="N275" s="1038" t="s">
        <v>491</v>
      </c>
      <c r="O275" s="1038" t="s">
        <v>491</v>
      </c>
      <c r="P275" s="1038" t="s">
        <v>491</v>
      </c>
      <c r="Q275" s="1038" t="s">
        <v>491</v>
      </c>
      <c r="R275" s="1038"/>
      <c r="S275" s="1038"/>
      <c r="T275" s="1038" t="s">
        <v>491</v>
      </c>
      <c r="U275" s="1038" t="s">
        <v>491</v>
      </c>
      <c r="V275" s="1038" t="s">
        <v>491</v>
      </c>
      <c r="W275" s="1038" t="s">
        <v>491</v>
      </c>
      <c r="X275" s="1038" t="s">
        <v>491</v>
      </c>
      <c r="Y275" s="1038"/>
      <c r="Z275" s="1038"/>
      <c r="AA275" s="1038" t="s">
        <v>491</v>
      </c>
      <c r="AB275" s="1038" t="s">
        <v>491</v>
      </c>
      <c r="AC275" s="1038" t="s">
        <v>491</v>
      </c>
      <c r="AD275" s="1038" t="s">
        <v>491</v>
      </c>
      <c r="AE275" s="1038" t="s">
        <v>491</v>
      </c>
      <c r="AF275" s="768"/>
      <c r="AG275" s="768"/>
      <c r="AH275" s="914">
        <v>185</v>
      </c>
      <c r="AI275" s="915">
        <v>37</v>
      </c>
    </row>
  </sheetData>
  <sheetProtection password="CC44" sheet="1" objects="1" scenarios="1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59" max="16383" man="1"/>
  </rowBreaks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34"/>
  <dimension ref="A1:AL275"/>
  <sheetViews>
    <sheetView topLeftCell="A210" zoomScale="70" zoomScaleNormal="70" workbookViewId="0">
      <selection activeCell="AE231" sqref="AE231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449</v>
      </c>
    </row>
    <row r="2" spans="1:35" ht="13.35" customHeight="1">
      <c r="B2" s="443" t="s">
        <v>450</v>
      </c>
      <c r="C2" s="444" t="s">
        <v>451</v>
      </c>
      <c r="D2" s="445"/>
      <c r="E2" s="446" t="s">
        <v>452</v>
      </c>
      <c r="F2" s="447"/>
      <c r="G2" s="448"/>
      <c r="H2" s="448"/>
      <c r="I2" s="448"/>
      <c r="J2" s="448"/>
      <c r="K2" s="449"/>
      <c r="L2" s="450" t="s">
        <v>453</v>
      </c>
      <c r="M2" s="451"/>
      <c r="N2" s="380"/>
      <c r="O2" s="452" t="s">
        <v>454</v>
      </c>
      <c r="P2" s="453"/>
      <c r="Q2" s="454"/>
      <c r="R2" s="455"/>
      <c r="S2" s="456" t="s">
        <v>455</v>
      </c>
      <c r="T2" s="457"/>
      <c r="U2" s="458"/>
      <c r="V2" s="457"/>
      <c r="W2" s="459" t="s">
        <v>456</v>
      </c>
      <c r="X2" s="368"/>
      <c r="Y2" s="460"/>
      <c r="Z2" s="461" t="s">
        <v>457</v>
      </c>
      <c r="AA2" s="462"/>
      <c r="AB2" s="463"/>
      <c r="AC2" s="464"/>
      <c r="AD2" s="465" t="s">
        <v>458</v>
      </c>
      <c r="AE2" s="466"/>
      <c r="AF2" s="466"/>
      <c r="AG2" s="467"/>
    </row>
    <row r="3" spans="1:35" ht="13.35" customHeight="1">
      <c r="A3" s="1"/>
      <c r="B3" s="468" t="s">
        <v>459</v>
      </c>
      <c r="C3" s="469" t="s">
        <v>460</v>
      </c>
      <c r="D3" s="470"/>
      <c r="E3" s="471"/>
      <c r="F3" s="472"/>
      <c r="G3" s="472"/>
      <c r="H3" s="473" t="s">
        <v>461</v>
      </c>
      <c r="I3" s="474"/>
      <c r="J3" s="474"/>
      <c r="K3" s="475"/>
      <c r="L3" s="476" t="s">
        <v>462</v>
      </c>
      <c r="M3" s="157"/>
      <c r="N3" s="477"/>
      <c r="O3" s="474"/>
      <c r="P3" s="474"/>
      <c r="Q3" s="474"/>
      <c r="R3" s="474"/>
      <c r="S3" s="55"/>
      <c r="T3" s="478" t="s">
        <v>463</v>
      </c>
      <c r="U3" s="479"/>
      <c r="V3" s="480"/>
      <c r="W3" s="481"/>
      <c r="X3" s="482"/>
      <c r="Y3" s="473" t="s">
        <v>464</v>
      </c>
      <c r="Z3" s="157"/>
      <c r="AA3" s="157"/>
      <c r="AB3" s="483"/>
      <c r="AC3" s="484"/>
      <c r="AD3" s="485" t="s">
        <v>465</v>
      </c>
      <c r="AE3" s="486"/>
      <c r="AF3" s="486"/>
      <c r="AG3" s="487"/>
    </row>
    <row r="4" spans="1:35" ht="13.35" customHeight="1">
      <c r="A4" s="1" t="s">
        <v>466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 t="s">
        <v>14</v>
      </c>
      <c r="B5" s="1"/>
    </row>
    <row r="6" spans="1:35" ht="21.95" customHeight="1">
      <c r="A6" s="488" t="s">
        <v>467</v>
      </c>
      <c r="B6" s="157"/>
      <c r="C6" s="489"/>
      <c r="D6" s="488" t="s">
        <v>468</v>
      </c>
      <c r="E6" s="157"/>
      <c r="F6" s="157"/>
      <c r="G6" s="157"/>
      <c r="H6" s="490"/>
      <c r="I6" s="157"/>
      <c r="J6" s="157"/>
      <c r="K6" s="157"/>
      <c r="L6" s="488" t="s">
        <v>469</v>
      </c>
      <c r="M6" s="157"/>
      <c r="N6" s="157"/>
      <c r="O6" s="157"/>
      <c r="P6" s="157"/>
      <c r="Q6" s="157"/>
      <c r="R6" s="157"/>
      <c r="S6" s="489"/>
      <c r="T6" s="491" t="s">
        <v>470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35" ht="21.95" customHeight="1">
      <c r="A7" s="488" t="s">
        <v>471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472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35" ht="21.95" customHeight="1">
      <c r="A8" s="496" t="s">
        <v>473</v>
      </c>
      <c r="L8" s="496"/>
      <c r="AB8" s="1"/>
    </row>
    <row r="9" spans="1:35" ht="21.95" customHeight="1" thickBot="1">
      <c r="B9" s="497" t="s">
        <v>474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35" ht="21.95" customHeight="1">
      <c r="A10" s="442" t="s">
        <v>475</v>
      </c>
      <c r="B10" s="297" t="s">
        <v>476</v>
      </c>
      <c r="C10" s="787">
        <v>1</v>
      </c>
      <c r="D10" s="787">
        <v>2</v>
      </c>
      <c r="E10" s="787">
        <v>3</v>
      </c>
      <c r="F10" s="787">
        <v>4</v>
      </c>
      <c r="G10" s="787">
        <v>5</v>
      </c>
      <c r="H10" s="788">
        <v>6</v>
      </c>
      <c r="I10" s="830">
        <v>7</v>
      </c>
      <c r="J10" s="766">
        <v>8</v>
      </c>
      <c r="K10" s="787">
        <v>9</v>
      </c>
      <c r="L10" s="787">
        <v>10</v>
      </c>
      <c r="M10" s="787">
        <v>11</v>
      </c>
      <c r="N10" s="787">
        <v>12</v>
      </c>
      <c r="O10" s="788">
        <v>13</v>
      </c>
      <c r="P10" s="830">
        <v>14</v>
      </c>
      <c r="Q10" s="766">
        <v>15</v>
      </c>
      <c r="R10" s="787">
        <v>16</v>
      </c>
      <c r="S10" s="787">
        <v>17</v>
      </c>
      <c r="T10" s="787">
        <v>18</v>
      </c>
      <c r="U10" s="787">
        <v>19</v>
      </c>
      <c r="V10" s="830">
        <v>20</v>
      </c>
      <c r="W10" s="830">
        <v>21</v>
      </c>
      <c r="X10" s="766">
        <v>22</v>
      </c>
      <c r="Y10" s="787">
        <v>23</v>
      </c>
      <c r="Z10" s="787">
        <v>24</v>
      </c>
      <c r="AA10" s="787">
        <v>25</v>
      </c>
      <c r="AB10" s="787">
        <v>26</v>
      </c>
      <c r="AC10" s="788">
        <v>27</v>
      </c>
      <c r="AD10" s="830">
        <v>28</v>
      </c>
      <c r="AE10" s="766">
        <v>29</v>
      </c>
      <c r="AF10" s="787">
        <v>30</v>
      </c>
      <c r="AG10" s="787"/>
      <c r="AH10" s="498" t="s">
        <v>477</v>
      </c>
      <c r="AI10" s="499" t="s">
        <v>478</v>
      </c>
    </row>
    <row r="11" spans="1:35" ht="21.95" customHeight="1">
      <c r="A11" s="500"/>
      <c r="B11" s="501"/>
      <c r="C11" s="768"/>
      <c r="D11" s="768"/>
      <c r="E11" s="768"/>
      <c r="F11" s="768"/>
      <c r="G11" s="768"/>
      <c r="H11" s="768"/>
      <c r="I11" s="768"/>
      <c r="J11" s="768"/>
      <c r="K11" s="768"/>
      <c r="L11" s="768"/>
      <c r="M11" s="768"/>
      <c r="N11" s="768"/>
      <c r="O11" s="768"/>
      <c r="P11" s="768"/>
      <c r="Q11" s="768"/>
      <c r="R11" s="768"/>
      <c r="S11" s="768"/>
      <c r="T11" s="768"/>
      <c r="U11" s="768"/>
      <c r="V11" s="768"/>
      <c r="W11" s="768"/>
      <c r="X11" s="768"/>
      <c r="Y11" s="768"/>
      <c r="Z11" s="768"/>
      <c r="AA11" s="768"/>
      <c r="AB11" s="768"/>
      <c r="AC11" s="768"/>
      <c r="AD11" s="768"/>
      <c r="AE11" s="768"/>
      <c r="AF11" s="768"/>
      <c r="AG11" s="502"/>
      <c r="AH11" s="924"/>
      <c r="AI11" s="925"/>
    </row>
    <row r="12" spans="1:35" ht="21.95" customHeight="1">
      <c r="A12" s="503" t="s">
        <v>479</v>
      </c>
      <c r="B12" s="457"/>
      <c r="C12" s="504"/>
      <c r="D12" s="504"/>
      <c r="E12" s="504"/>
      <c r="F12" s="504"/>
      <c r="G12" s="504"/>
      <c r="H12" s="504"/>
      <c r="I12" s="504"/>
      <c r="J12" s="504"/>
      <c r="K12" s="504"/>
      <c r="L12" s="504"/>
      <c r="M12" s="504"/>
      <c r="N12" s="504"/>
      <c r="O12" s="504"/>
      <c r="P12" s="504"/>
      <c r="Q12" s="504"/>
      <c r="R12" s="504"/>
      <c r="S12" s="504"/>
      <c r="T12" s="504"/>
      <c r="U12" s="504"/>
      <c r="V12" s="504"/>
      <c r="W12" s="504"/>
      <c r="X12" s="504"/>
      <c r="Y12" s="504"/>
      <c r="Z12" s="504"/>
      <c r="AA12" s="504"/>
      <c r="AB12" s="504"/>
      <c r="AC12" s="504"/>
      <c r="AD12" s="504"/>
      <c r="AE12" s="504"/>
      <c r="AF12" s="504"/>
      <c r="AG12" s="505"/>
      <c r="AH12" s="506"/>
      <c r="AI12" s="507"/>
    </row>
    <row r="13" spans="1:35" ht="21.95" customHeight="1">
      <c r="A13" s="508">
        <v>8546</v>
      </c>
      <c r="B13" s="509" t="s">
        <v>480</v>
      </c>
      <c r="C13" s="985" t="s">
        <v>481</v>
      </c>
      <c r="D13" s="985" t="s">
        <v>481</v>
      </c>
      <c r="E13" s="985" t="s">
        <v>481</v>
      </c>
      <c r="F13" s="985" t="s">
        <v>481</v>
      </c>
      <c r="G13" s="985" t="s">
        <v>481</v>
      </c>
      <c r="H13" s="987"/>
      <c r="I13" s="985"/>
      <c r="J13" s="764">
        <v>3</v>
      </c>
      <c r="K13" s="764">
        <v>3</v>
      </c>
      <c r="L13" s="764">
        <v>3</v>
      </c>
      <c r="M13" s="764">
        <v>3</v>
      </c>
      <c r="N13" s="1057">
        <v>3</v>
      </c>
      <c r="O13" s="764"/>
      <c r="P13" s="764"/>
      <c r="Q13" s="764">
        <v>4</v>
      </c>
      <c r="R13" s="764">
        <v>4</v>
      </c>
      <c r="S13" s="764">
        <v>4</v>
      </c>
      <c r="T13" s="764">
        <v>4</v>
      </c>
      <c r="U13" s="764">
        <v>4</v>
      </c>
      <c r="V13" s="764" t="s">
        <v>482</v>
      </c>
      <c r="W13" s="764" t="s">
        <v>482</v>
      </c>
      <c r="X13" s="764" t="s">
        <v>481</v>
      </c>
      <c r="Y13" s="764" t="s">
        <v>481</v>
      </c>
      <c r="Z13" s="764" t="s">
        <v>481</v>
      </c>
      <c r="AA13" s="764" t="s">
        <v>481</v>
      </c>
      <c r="AB13" s="764" t="s">
        <v>481</v>
      </c>
      <c r="AC13" s="764"/>
      <c r="AD13" s="764"/>
      <c r="AE13" s="764">
        <v>1</v>
      </c>
      <c r="AF13" s="764">
        <v>1</v>
      </c>
      <c r="AG13" s="771"/>
      <c r="AH13" s="924">
        <v>83.5</v>
      </c>
      <c r="AI13" s="925">
        <v>37</v>
      </c>
    </row>
    <row r="14" spans="1:35" ht="21.95" customHeight="1">
      <c r="A14" s="500">
        <v>8546</v>
      </c>
      <c r="B14" s="347" t="s">
        <v>483</v>
      </c>
      <c r="C14" s="970">
        <v>1</v>
      </c>
      <c r="D14" s="970">
        <v>1</v>
      </c>
      <c r="E14" s="970">
        <v>1</v>
      </c>
      <c r="F14" s="970">
        <v>1</v>
      </c>
      <c r="G14" s="970">
        <v>1</v>
      </c>
      <c r="H14" s="970"/>
      <c r="I14" s="970"/>
      <c r="J14" s="768">
        <v>2</v>
      </c>
      <c r="K14" s="768">
        <v>2</v>
      </c>
      <c r="L14" s="768">
        <v>2</v>
      </c>
      <c r="M14" s="768">
        <v>2</v>
      </c>
      <c r="N14" s="768">
        <v>2</v>
      </c>
      <c r="O14" s="768" t="s">
        <v>484</v>
      </c>
      <c r="P14" s="768" t="s">
        <v>484</v>
      </c>
      <c r="Q14" s="768" t="s">
        <v>481</v>
      </c>
      <c r="R14" s="768" t="s">
        <v>481</v>
      </c>
      <c r="S14" s="768" t="s">
        <v>481</v>
      </c>
      <c r="T14" s="768" t="s">
        <v>481</v>
      </c>
      <c r="U14" s="768" t="s">
        <v>481</v>
      </c>
      <c r="V14" s="768"/>
      <c r="W14" s="768"/>
      <c r="X14" s="768">
        <v>3</v>
      </c>
      <c r="Y14" s="768">
        <v>3</v>
      </c>
      <c r="Z14" s="768">
        <v>3</v>
      </c>
      <c r="AA14" s="768">
        <v>3</v>
      </c>
      <c r="AB14" s="768">
        <v>3</v>
      </c>
      <c r="AC14" s="768"/>
      <c r="AD14" s="768"/>
      <c r="AE14" s="768">
        <v>4</v>
      </c>
      <c r="AF14" s="768">
        <v>4</v>
      </c>
      <c r="AG14" s="769"/>
      <c r="AH14" s="924">
        <v>82.5</v>
      </c>
      <c r="AI14" s="925">
        <v>37</v>
      </c>
    </row>
    <row r="15" spans="1:35" ht="21.95" customHeight="1">
      <c r="A15" s="500">
        <v>8546</v>
      </c>
      <c r="B15" s="347" t="s">
        <v>174</v>
      </c>
      <c r="C15" s="768">
        <v>2</v>
      </c>
      <c r="D15" s="768">
        <v>2</v>
      </c>
      <c r="E15" s="768">
        <v>2</v>
      </c>
      <c r="F15" s="768">
        <v>2</v>
      </c>
      <c r="G15" s="768">
        <v>2</v>
      </c>
      <c r="H15" s="768" t="s">
        <v>484</v>
      </c>
      <c r="I15" s="768" t="s">
        <v>484</v>
      </c>
      <c r="J15" s="768" t="s">
        <v>481</v>
      </c>
      <c r="K15" s="768" t="s">
        <v>481</v>
      </c>
      <c r="L15" s="768" t="s">
        <v>481</v>
      </c>
      <c r="M15" s="768" t="s">
        <v>481</v>
      </c>
      <c r="N15" s="768" t="s">
        <v>481</v>
      </c>
      <c r="O15" s="768"/>
      <c r="P15" s="768"/>
      <c r="Q15" s="768">
        <v>3</v>
      </c>
      <c r="R15" s="768">
        <v>3</v>
      </c>
      <c r="S15" s="768">
        <v>3</v>
      </c>
      <c r="T15" s="977">
        <v>3</v>
      </c>
      <c r="U15" s="977">
        <v>3</v>
      </c>
      <c r="V15" s="768"/>
      <c r="W15" s="768"/>
      <c r="X15" s="768">
        <v>4</v>
      </c>
      <c r="Y15" s="768">
        <v>4</v>
      </c>
      <c r="Z15" s="768">
        <v>4</v>
      </c>
      <c r="AA15" s="768">
        <v>4</v>
      </c>
      <c r="AB15" s="768">
        <v>4</v>
      </c>
      <c r="AC15" s="768" t="s">
        <v>482</v>
      </c>
      <c r="AD15" s="768" t="s">
        <v>482</v>
      </c>
      <c r="AE15" s="768" t="s">
        <v>481</v>
      </c>
      <c r="AF15" s="768" t="s">
        <v>481</v>
      </c>
      <c r="AG15" s="769"/>
      <c r="AH15" s="924">
        <v>43.5</v>
      </c>
      <c r="AI15" s="925">
        <v>37</v>
      </c>
    </row>
    <row r="16" spans="1:35" ht="21.95" customHeight="1">
      <c r="A16" s="500">
        <v>8546</v>
      </c>
      <c r="B16" s="347" t="s">
        <v>486</v>
      </c>
      <c r="C16" s="768">
        <v>4</v>
      </c>
      <c r="D16" s="768">
        <v>4</v>
      </c>
      <c r="E16" s="768">
        <v>4</v>
      </c>
      <c r="F16" s="768">
        <v>4</v>
      </c>
      <c r="G16" s="768">
        <v>4</v>
      </c>
      <c r="H16" s="970" t="s">
        <v>482</v>
      </c>
      <c r="I16" s="970" t="s">
        <v>482</v>
      </c>
      <c r="J16" s="768" t="s">
        <v>481</v>
      </c>
      <c r="K16" s="768" t="s">
        <v>481</v>
      </c>
      <c r="L16" s="768" t="s">
        <v>481</v>
      </c>
      <c r="M16" s="768" t="s">
        <v>481</v>
      </c>
      <c r="N16" s="768" t="s">
        <v>481</v>
      </c>
      <c r="O16" s="768"/>
      <c r="P16" s="768"/>
      <c r="Q16" s="768">
        <v>1</v>
      </c>
      <c r="R16" s="768">
        <v>1</v>
      </c>
      <c r="S16" s="768">
        <v>1</v>
      </c>
      <c r="T16" s="1038">
        <v>1</v>
      </c>
      <c r="U16" s="1038">
        <v>1</v>
      </c>
      <c r="V16" s="1038"/>
      <c r="W16" s="1038"/>
      <c r="X16" s="1038">
        <v>2</v>
      </c>
      <c r="Y16" s="1038" t="s">
        <v>762</v>
      </c>
      <c r="Z16" s="987">
        <v>2</v>
      </c>
      <c r="AA16" s="987">
        <v>2</v>
      </c>
      <c r="AB16" s="987">
        <v>2</v>
      </c>
      <c r="AC16" s="768" t="s">
        <v>484</v>
      </c>
      <c r="AD16" s="768" t="s">
        <v>484</v>
      </c>
      <c r="AE16" s="768" t="s">
        <v>481</v>
      </c>
      <c r="AF16" s="768" t="s">
        <v>481</v>
      </c>
      <c r="AG16" s="769"/>
      <c r="AH16" s="924">
        <v>67.25</v>
      </c>
      <c r="AI16" s="925">
        <v>37</v>
      </c>
    </row>
    <row r="17" spans="1:37" ht="21.95" customHeight="1">
      <c r="A17" s="500">
        <v>8546</v>
      </c>
      <c r="B17" s="347" t="s">
        <v>487</v>
      </c>
      <c r="C17" s="768">
        <v>3</v>
      </c>
      <c r="D17" s="768">
        <v>3</v>
      </c>
      <c r="E17" s="768">
        <v>3</v>
      </c>
      <c r="F17" s="768">
        <v>3</v>
      </c>
      <c r="G17" s="768">
        <v>3</v>
      </c>
      <c r="H17" s="768"/>
      <c r="I17" s="768"/>
      <c r="J17" s="768">
        <v>4</v>
      </c>
      <c r="K17" s="768">
        <v>4</v>
      </c>
      <c r="L17" s="768">
        <v>4</v>
      </c>
      <c r="M17" s="768">
        <v>4</v>
      </c>
      <c r="N17" s="768">
        <v>4</v>
      </c>
      <c r="O17" s="768" t="s">
        <v>482</v>
      </c>
      <c r="P17" s="768" t="s">
        <v>482</v>
      </c>
      <c r="Q17" s="768" t="s">
        <v>481</v>
      </c>
      <c r="R17" s="768" t="s">
        <v>481</v>
      </c>
      <c r="S17" s="768" t="s">
        <v>481</v>
      </c>
      <c r="T17" s="768" t="s">
        <v>481</v>
      </c>
      <c r="U17" s="768" t="s">
        <v>481</v>
      </c>
      <c r="V17" s="768"/>
      <c r="W17" s="768"/>
      <c r="X17" s="1044">
        <v>1</v>
      </c>
      <c r="Y17" s="768">
        <v>1</v>
      </c>
      <c r="Z17" s="768">
        <v>1</v>
      </c>
      <c r="AA17" s="768">
        <v>1</v>
      </c>
      <c r="AB17" s="768">
        <v>1</v>
      </c>
      <c r="AC17" s="768"/>
      <c r="AD17" s="768"/>
      <c r="AE17" s="1044">
        <v>2</v>
      </c>
      <c r="AF17" s="1044">
        <v>2</v>
      </c>
      <c r="AG17" s="769"/>
      <c r="AH17" s="924">
        <v>78.75</v>
      </c>
      <c r="AI17" s="925">
        <v>37</v>
      </c>
    </row>
    <row r="18" spans="1:37" ht="21.95" customHeight="1">
      <c r="A18" s="500">
        <v>8546</v>
      </c>
      <c r="B18" s="347" t="s">
        <v>488</v>
      </c>
      <c r="C18" s="768" t="s">
        <v>481</v>
      </c>
      <c r="D18" s="768" t="s">
        <v>481</v>
      </c>
      <c r="E18" s="768" t="s">
        <v>481</v>
      </c>
      <c r="F18" s="768" t="s">
        <v>481</v>
      </c>
      <c r="G18" s="768" t="s">
        <v>481</v>
      </c>
      <c r="H18" s="768"/>
      <c r="I18" s="768"/>
      <c r="J18" s="768">
        <v>1</v>
      </c>
      <c r="K18" s="768">
        <v>1</v>
      </c>
      <c r="L18" s="768">
        <v>1</v>
      </c>
      <c r="M18" s="977">
        <v>1</v>
      </c>
      <c r="N18" s="977">
        <v>1</v>
      </c>
      <c r="O18" s="768"/>
      <c r="P18" s="768"/>
      <c r="Q18" s="768">
        <v>2</v>
      </c>
      <c r="R18" s="768">
        <v>2</v>
      </c>
      <c r="S18" s="768">
        <v>2</v>
      </c>
      <c r="T18" s="768">
        <v>2</v>
      </c>
      <c r="U18" s="768">
        <v>2</v>
      </c>
      <c r="V18" s="768" t="s">
        <v>484</v>
      </c>
      <c r="W18" s="970" t="s">
        <v>484</v>
      </c>
      <c r="X18" s="768" t="s">
        <v>481</v>
      </c>
      <c r="Y18" s="768" t="s">
        <v>481</v>
      </c>
      <c r="Z18" s="768" t="s">
        <v>481</v>
      </c>
      <c r="AA18" s="768" t="s">
        <v>481</v>
      </c>
      <c r="AB18" s="768" t="s">
        <v>481</v>
      </c>
      <c r="AC18" s="768"/>
      <c r="AD18" s="768"/>
      <c r="AE18" s="768">
        <v>3</v>
      </c>
      <c r="AF18" s="768">
        <v>3</v>
      </c>
      <c r="AG18" s="769"/>
      <c r="AH18" s="924">
        <v>79.25</v>
      </c>
      <c r="AI18" s="925">
        <v>37</v>
      </c>
    </row>
    <row r="19" spans="1:37" ht="21.95" customHeight="1">
      <c r="A19" s="512" t="s">
        <v>489</v>
      </c>
      <c r="B19" s="513"/>
      <c r="C19" s="504"/>
      <c r="D19" s="504"/>
      <c r="E19" s="504"/>
      <c r="F19" s="504"/>
      <c r="G19" s="504"/>
      <c r="H19" s="504"/>
      <c r="I19" s="504"/>
      <c r="J19" s="504"/>
      <c r="K19" s="504"/>
      <c r="L19" s="504"/>
      <c r="M19" s="504"/>
      <c r="N19" s="504"/>
      <c r="O19" s="504"/>
      <c r="P19" s="504"/>
      <c r="Q19" s="504"/>
      <c r="R19" s="504"/>
      <c r="S19" s="504"/>
      <c r="T19" s="504"/>
      <c r="U19" s="504"/>
      <c r="V19" s="504"/>
      <c r="W19" s="504"/>
      <c r="X19" s="504"/>
      <c r="Y19" s="504"/>
      <c r="Z19" s="504"/>
      <c r="AA19" s="504"/>
      <c r="AB19" s="504"/>
      <c r="AC19" s="504"/>
      <c r="AD19" s="504"/>
      <c r="AE19" s="504"/>
      <c r="AF19" s="504"/>
      <c r="AG19" s="505"/>
      <c r="AH19" s="506"/>
      <c r="AI19" s="507"/>
    </row>
    <row r="20" spans="1:37" ht="21.95" customHeight="1">
      <c r="A20" s="500">
        <v>8500</v>
      </c>
      <c r="B20" s="186" t="s">
        <v>188</v>
      </c>
      <c r="C20" s="768">
        <v>1</v>
      </c>
      <c r="D20" s="768">
        <v>1</v>
      </c>
      <c r="E20" s="768">
        <v>1</v>
      </c>
      <c r="F20" s="768">
        <v>1</v>
      </c>
      <c r="G20" s="768" t="s">
        <v>481</v>
      </c>
      <c r="H20" s="768" t="s">
        <v>482</v>
      </c>
      <c r="I20" s="768" t="s">
        <v>482</v>
      </c>
      <c r="J20" s="768" t="s">
        <v>481</v>
      </c>
      <c r="K20" s="768" t="s">
        <v>481</v>
      </c>
      <c r="L20" s="768" t="s">
        <v>481</v>
      </c>
      <c r="M20" s="1007" t="s">
        <v>490</v>
      </c>
      <c r="N20" s="1007" t="s">
        <v>490</v>
      </c>
      <c r="O20" s="768" t="s">
        <v>490</v>
      </c>
      <c r="P20" s="768" t="s">
        <v>490</v>
      </c>
      <c r="Q20" s="768" t="s">
        <v>491</v>
      </c>
      <c r="R20" s="768" t="s">
        <v>491</v>
      </c>
      <c r="S20" s="768" t="s">
        <v>491</v>
      </c>
      <c r="T20" s="768" t="s">
        <v>485</v>
      </c>
      <c r="U20" s="768" t="s">
        <v>485</v>
      </c>
      <c r="V20" s="768"/>
      <c r="W20" s="768"/>
      <c r="X20" s="768" t="s">
        <v>491</v>
      </c>
      <c r="Y20" s="768" t="s">
        <v>491</v>
      </c>
      <c r="Z20" s="768" t="s">
        <v>491</v>
      </c>
      <c r="AA20" s="768" t="s">
        <v>491</v>
      </c>
      <c r="AB20" s="768" t="s">
        <v>491</v>
      </c>
      <c r="AC20" s="768"/>
      <c r="AD20" s="768"/>
      <c r="AE20" s="768" t="s">
        <v>491</v>
      </c>
      <c r="AF20" s="768" t="s">
        <v>491</v>
      </c>
      <c r="AG20" s="768"/>
      <c r="AH20" s="924">
        <v>103.25</v>
      </c>
      <c r="AI20" s="925">
        <v>37</v>
      </c>
    </row>
    <row r="21" spans="1:37" ht="21.95" customHeight="1">
      <c r="A21" s="500">
        <v>8500</v>
      </c>
      <c r="B21" s="153" t="s">
        <v>492</v>
      </c>
      <c r="C21" s="768" t="s">
        <v>485</v>
      </c>
      <c r="D21" s="768" t="s">
        <v>485</v>
      </c>
      <c r="E21" s="768" t="s">
        <v>485</v>
      </c>
      <c r="F21" s="768" t="s">
        <v>485</v>
      </c>
      <c r="G21" s="768">
        <v>1</v>
      </c>
      <c r="H21" s="768"/>
      <c r="I21" s="768"/>
      <c r="J21" s="768" t="s">
        <v>485</v>
      </c>
      <c r="K21" s="768" t="s">
        <v>491</v>
      </c>
      <c r="L21" s="768" t="s">
        <v>491</v>
      </c>
      <c r="M21" s="768">
        <v>1</v>
      </c>
      <c r="N21" s="768">
        <v>1</v>
      </c>
      <c r="O21" s="768"/>
      <c r="P21" s="768"/>
      <c r="Q21" s="768" t="s">
        <v>491</v>
      </c>
      <c r="R21" s="768" t="s">
        <v>491</v>
      </c>
      <c r="S21" s="768" t="s">
        <v>491</v>
      </c>
      <c r="T21" s="768">
        <v>3</v>
      </c>
      <c r="U21" s="768">
        <v>3</v>
      </c>
      <c r="V21" s="768"/>
      <c r="W21" s="768" t="s">
        <v>484</v>
      </c>
      <c r="X21" s="768" t="s">
        <v>481</v>
      </c>
      <c r="Y21" s="768" t="s">
        <v>481</v>
      </c>
      <c r="Z21" s="768" t="s">
        <v>485</v>
      </c>
      <c r="AA21" s="768" t="s">
        <v>485</v>
      </c>
      <c r="AB21" s="768" t="s">
        <v>485</v>
      </c>
      <c r="AC21" s="768"/>
      <c r="AD21" s="768"/>
      <c r="AE21" s="768" t="s">
        <v>485</v>
      </c>
      <c r="AF21" s="768" t="s">
        <v>485</v>
      </c>
      <c r="AG21" s="768"/>
      <c r="AH21" s="924">
        <v>80</v>
      </c>
      <c r="AI21" s="925">
        <v>37</v>
      </c>
    </row>
    <row r="22" spans="1:37" ht="21.95" customHeight="1" thickBot="1">
      <c r="A22" s="500"/>
      <c r="B22" s="153"/>
      <c r="C22" s="768"/>
      <c r="D22" s="768"/>
      <c r="E22" s="768"/>
      <c r="F22" s="768"/>
      <c r="G22" s="768"/>
      <c r="H22" s="768"/>
      <c r="I22" s="768"/>
      <c r="J22" s="768"/>
      <c r="K22" s="768"/>
      <c r="L22" s="768"/>
      <c r="M22" s="768"/>
      <c r="N22" s="768"/>
      <c r="O22" s="768"/>
      <c r="P22" s="768"/>
      <c r="Q22" s="768"/>
      <c r="R22" s="768"/>
      <c r="S22" s="768"/>
      <c r="T22" s="768"/>
      <c r="U22" s="768"/>
      <c r="V22" s="768"/>
      <c r="W22" s="768"/>
      <c r="X22" s="768"/>
      <c r="Y22" s="768"/>
      <c r="Z22" s="768"/>
      <c r="AA22" s="768"/>
      <c r="AB22" s="768"/>
      <c r="AC22" s="768"/>
      <c r="AD22" s="768"/>
      <c r="AE22" s="768"/>
      <c r="AF22" s="768"/>
      <c r="AG22" s="768"/>
      <c r="AH22" s="514"/>
      <c r="AI22" s="515"/>
    </row>
    <row r="23" spans="1:37" ht="21.95" customHeight="1">
      <c r="A23" s="516"/>
      <c r="C23" s="517"/>
      <c r="D23" s="517"/>
      <c r="E23" s="517"/>
      <c r="F23" s="517"/>
      <c r="G23" s="517"/>
      <c r="H23" s="517"/>
      <c r="I23" s="517"/>
      <c r="J23" s="517"/>
      <c r="K23" s="517"/>
      <c r="L23" s="517"/>
      <c r="M23" s="517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17"/>
      <c r="Y23" s="517"/>
      <c r="Z23" s="517"/>
      <c r="AA23" s="517"/>
      <c r="AB23" s="517"/>
      <c r="AC23" s="517"/>
      <c r="AD23" s="517"/>
      <c r="AE23" s="517"/>
      <c r="AF23" s="517"/>
      <c r="AG23" s="517"/>
    </row>
    <row r="24" spans="1:37" ht="21.95" customHeight="1">
      <c r="A24" s="516"/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</row>
    <row r="25" spans="1:37" ht="21.95" customHeight="1">
      <c r="A25" s="516"/>
      <c r="C25" s="517"/>
      <c r="D25" s="517"/>
      <c r="E25" s="517"/>
      <c r="F25" s="517"/>
      <c r="G25" s="517"/>
      <c r="H25" s="517"/>
      <c r="I25" s="517"/>
      <c r="J25" s="517"/>
      <c r="K25" s="517"/>
      <c r="L25" s="517"/>
      <c r="M25" s="517"/>
      <c r="N25" s="517"/>
      <c r="O25" s="517"/>
      <c r="P25" s="517"/>
      <c r="Q25" s="517"/>
      <c r="R25" s="517"/>
      <c r="S25" s="517"/>
      <c r="T25" s="517"/>
      <c r="U25" s="517"/>
      <c r="V25" s="517"/>
      <c r="W25" s="517"/>
      <c r="X25" s="517"/>
      <c r="Y25" s="517"/>
      <c r="Z25" s="517"/>
      <c r="AA25" s="517"/>
      <c r="AB25" s="517"/>
      <c r="AC25" s="517"/>
      <c r="AD25" s="517"/>
      <c r="AE25" s="517"/>
      <c r="AF25" s="517"/>
      <c r="AG25" s="517"/>
    </row>
    <row r="26" spans="1:37" ht="21.95" customHeight="1">
      <c r="A26" s="516"/>
      <c r="C26" s="517"/>
      <c r="D26" s="517"/>
      <c r="E26" s="517"/>
      <c r="F26" s="517"/>
      <c r="G26" s="517"/>
      <c r="H26" s="517"/>
      <c r="I26" s="517"/>
      <c r="J26" s="517"/>
      <c r="K26" s="517"/>
      <c r="L26" s="517"/>
      <c r="M26" s="517"/>
      <c r="N26" s="517"/>
      <c r="O26" s="517"/>
      <c r="P26" s="517"/>
      <c r="Q26" s="517"/>
      <c r="R26" s="517"/>
      <c r="S26" s="517"/>
      <c r="T26" s="517"/>
      <c r="U26" s="517"/>
      <c r="V26" s="517"/>
      <c r="W26" s="517"/>
      <c r="X26" s="517"/>
      <c r="Y26" s="517"/>
      <c r="Z26" s="517"/>
      <c r="AA26" s="517"/>
      <c r="AB26" s="517"/>
      <c r="AC26" s="517"/>
      <c r="AD26" s="517"/>
      <c r="AE26" s="517"/>
      <c r="AF26" s="517"/>
      <c r="AG26" s="517"/>
    </row>
    <row r="27" spans="1:37" ht="21.95" customHeight="1">
      <c r="A27" s="516"/>
      <c r="C27" s="517"/>
      <c r="D27" s="517"/>
      <c r="E27" s="517"/>
      <c r="F27" s="517"/>
      <c r="G27" s="517"/>
      <c r="H27" s="517"/>
      <c r="I27" s="517"/>
      <c r="J27" s="517"/>
      <c r="K27" s="517"/>
      <c r="L27" s="517"/>
      <c r="M27" s="517"/>
      <c r="N27" s="517"/>
      <c r="O27" s="517"/>
      <c r="P27" s="517"/>
      <c r="Q27" s="517"/>
      <c r="R27" s="517"/>
      <c r="S27" s="517"/>
      <c r="T27" s="517"/>
      <c r="U27" s="517"/>
      <c r="V27" s="517"/>
      <c r="W27" s="517"/>
      <c r="X27" s="517"/>
      <c r="Y27" s="517"/>
      <c r="Z27" s="517"/>
      <c r="AA27" s="517"/>
      <c r="AB27" s="517"/>
      <c r="AC27" s="517"/>
      <c r="AD27" s="517"/>
      <c r="AE27" s="517"/>
      <c r="AF27" s="517"/>
      <c r="AG27" s="517"/>
    </row>
    <row r="28" spans="1:37" ht="21.95" customHeight="1">
      <c r="A28" s="516"/>
      <c r="C28" s="517"/>
      <c r="D28" s="517"/>
      <c r="E28" s="517"/>
      <c r="F28" s="517"/>
      <c r="G28" s="517"/>
      <c r="H28" s="517"/>
      <c r="I28" s="517"/>
      <c r="J28" s="517"/>
      <c r="K28" s="517"/>
      <c r="L28" s="517"/>
      <c r="M28" s="517"/>
      <c r="N28" s="517"/>
      <c r="O28" s="517"/>
      <c r="P28" s="517"/>
      <c r="Q28" s="517"/>
      <c r="R28" s="517"/>
      <c r="S28" s="517"/>
      <c r="T28" s="517"/>
      <c r="U28" s="517"/>
      <c r="V28" s="517"/>
      <c r="W28" s="517"/>
      <c r="X28" s="517"/>
      <c r="Y28" s="517"/>
      <c r="Z28" s="517"/>
      <c r="AA28" s="517"/>
      <c r="AB28" s="517"/>
      <c r="AC28" s="517"/>
      <c r="AD28" s="517"/>
      <c r="AE28" s="517"/>
      <c r="AF28" s="517"/>
      <c r="AG28" s="517"/>
    </row>
    <row r="29" spans="1:37" ht="21.95" customHeight="1">
      <c r="A29" s="516"/>
      <c r="C29" s="517"/>
      <c r="D29" s="517"/>
      <c r="E29" s="517"/>
      <c r="F29" s="517"/>
      <c r="G29" s="517"/>
      <c r="H29" s="517"/>
      <c r="I29" s="517"/>
      <c r="J29" s="517"/>
      <c r="K29" s="517"/>
      <c r="L29" s="517"/>
      <c r="M29" s="517"/>
      <c r="N29" s="517"/>
      <c r="O29" s="517"/>
      <c r="P29" s="517"/>
      <c r="Q29" s="517"/>
      <c r="R29" s="517"/>
      <c r="S29" s="517"/>
      <c r="T29" s="517"/>
      <c r="U29" s="517"/>
      <c r="V29" s="517"/>
      <c r="W29" s="517"/>
      <c r="X29" s="517"/>
      <c r="Y29" s="517"/>
      <c r="Z29" s="517"/>
      <c r="AA29" s="517"/>
      <c r="AB29" s="517"/>
      <c r="AC29" s="517"/>
      <c r="AD29" s="517"/>
      <c r="AE29" s="517"/>
      <c r="AF29" s="517"/>
      <c r="AG29" s="517"/>
    </row>
    <row r="30" spans="1:37" ht="21.95" customHeight="1" thickBot="1">
      <c r="A30" s="1" t="s">
        <v>494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495</v>
      </c>
      <c r="B31" s="518"/>
      <c r="C31" s="518"/>
      <c r="D31" s="425" t="s">
        <v>496</v>
      </c>
      <c r="E31" s="519"/>
      <c r="F31" s="519"/>
      <c r="G31" s="519"/>
      <c r="H31" s="519"/>
      <c r="I31" s="519"/>
      <c r="J31" s="519"/>
      <c r="K31" s="519"/>
      <c r="L31" s="519"/>
      <c r="M31" s="520" t="s">
        <v>497</v>
      </c>
      <c r="N31" s="519"/>
      <c r="O31" s="519"/>
      <c r="P31" s="519"/>
      <c r="Q31" s="519"/>
      <c r="R31" s="519"/>
      <c r="S31" s="521"/>
      <c r="T31" s="521" t="s">
        <v>498</v>
      </c>
      <c r="U31" s="519"/>
      <c r="V31" s="519"/>
      <c r="W31" s="519"/>
      <c r="X31" s="519"/>
      <c r="Y31" s="519"/>
      <c r="Z31" s="238"/>
      <c r="AA31" s="522" t="s">
        <v>499</v>
      </c>
      <c r="AB31" s="51"/>
      <c r="AC31" s="51"/>
      <c r="AD31" s="51"/>
      <c r="AE31" s="51"/>
      <c r="AF31" s="51"/>
      <c r="AG31" s="523"/>
      <c r="AK31" s="1"/>
    </row>
    <row r="32" spans="1:37" ht="21.95" customHeight="1">
      <c r="A32" s="524" t="s">
        <v>500</v>
      </c>
      <c r="B32" s="135"/>
      <c r="C32" s="135"/>
      <c r="D32" s="495" t="s">
        <v>501</v>
      </c>
      <c r="E32" s="491"/>
      <c r="F32" s="157"/>
      <c r="G32" s="157"/>
      <c r="H32" s="157"/>
      <c r="I32" s="157"/>
      <c r="J32" s="157"/>
      <c r="K32" s="157"/>
      <c r="L32" s="489"/>
      <c r="M32" s="525" t="s">
        <v>502</v>
      </c>
      <c r="N32" s="135"/>
      <c r="O32" s="526"/>
      <c r="P32" s="135"/>
      <c r="Q32" s="135"/>
      <c r="R32" s="135"/>
      <c r="S32" s="527"/>
      <c r="T32" s="495" t="s">
        <v>503</v>
      </c>
      <c r="U32" s="157"/>
      <c r="V32" s="491"/>
      <c r="W32" s="157"/>
      <c r="X32" s="157"/>
      <c r="Y32" s="157"/>
      <c r="Z32" s="489"/>
      <c r="AA32" s="1" t="s">
        <v>504</v>
      </c>
      <c r="AD32" s="496"/>
      <c r="AG32" s="528"/>
      <c r="AK32" s="1"/>
    </row>
    <row r="33" spans="1:38" ht="21.95" customHeight="1">
      <c r="A33" s="529" t="s">
        <v>505</v>
      </c>
      <c r="B33" s="157"/>
      <c r="C33" s="157"/>
      <c r="D33" s="157"/>
      <c r="E33" s="157"/>
      <c r="F33" s="157"/>
      <c r="G33" s="489"/>
      <c r="H33" s="495" t="s">
        <v>506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0" t="s">
        <v>507</v>
      </c>
      <c r="AA33" s="526"/>
      <c r="AB33" s="135"/>
      <c r="AC33" s="135"/>
      <c r="AD33" s="135"/>
      <c r="AE33" s="135"/>
      <c r="AF33" s="135"/>
      <c r="AG33" s="531"/>
      <c r="AK33" s="312"/>
    </row>
    <row r="34" spans="1:38" ht="21.95" customHeight="1" thickBot="1">
      <c r="A34" s="532" t="s">
        <v>508</v>
      </c>
      <c r="B34" s="53"/>
      <c r="C34" s="53"/>
      <c r="D34" s="53"/>
      <c r="E34" s="53"/>
      <c r="F34" s="53"/>
      <c r="G34" s="533"/>
      <c r="H34" s="534" t="s">
        <v>509</v>
      </c>
      <c r="I34" s="533"/>
      <c r="J34" s="53"/>
      <c r="K34" s="53"/>
      <c r="L34" s="53"/>
      <c r="M34" s="53"/>
      <c r="N34" s="53"/>
      <c r="O34" s="53"/>
      <c r="P34" s="53"/>
      <c r="Q34" s="535"/>
      <c r="R34" s="535"/>
      <c r="S34" s="535"/>
      <c r="T34" s="53"/>
      <c r="U34" s="534" t="s">
        <v>510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6"/>
      <c r="AK34" s="1"/>
    </row>
    <row r="35" spans="1:38" ht="21.95" customHeight="1" thickBot="1">
      <c r="B35" s="537" t="s">
        <v>474</v>
      </c>
      <c r="C35" s="538"/>
      <c r="D35" s="538"/>
      <c r="E35" s="538"/>
      <c r="F35" s="538"/>
      <c r="G35" s="538"/>
      <c r="H35" s="538"/>
      <c r="I35" s="538"/>
      <c r="J35" s="538"/>
      <c r="K35" s="538"/>
      <c r="L35" s="538"/>
      <c r="M35" s="538"/>
      <c r="N35" s="538"/>
      <c r="O35" s="538"/>
      <c r="P35" s="538"/>
      <c r="Q35" s="538"/>
      <c r="R35" s="538"/>
      <c r="S35" s="538"/>
      <c r="T35" s="538"/>
      <c r="U35" s="538"/>
      <c r="V35" s="538"/>
      <c r="W35" s="538"/>
      <c r="X35" s="538"/>
      <c r="Y35" s="538"/>
      <c r="Z35" s="538"/>
      <c r="AA35" s="538"/>
      <c r="AB35" s="538"/>
      <c r="AC35" s="538"/>
      <c r="AD35" s="538"/>
      <c r="AE35" s="538"/>
      <c r="AF35" s="538"/>
      <c r="AG35" s="538"/>
      <c r="AH35" s="1"/>
    </row>
    <row r="36" spans="1:38" ht="21.95" customHeight="1" thickBot="1">
      <c r="A36" s="539" t="s">
        <v>475</v>
      </c>
      <c r="B36" s="182" t="s">
        <v>476</v>
      </c>
      <c r="C36" s="787">
        <v>1</v>
      </c>
      <c r="D36" s="787">
        <v>2</v>
      </c>
      <c r="E36" s="787">
        <v>3</v>
      </c>
      <c r="F36" s="787">
        <v>4</v>
      </c>
      <c r="G36" s="787">
        <v>5</v>
      </c>
      <c r="H36" s="788">
        <v>6</v>
      </c>
      <c r="I36" s="830">
        <v>7</v>
      </c>
      <c r="J36" s="766">
        <v>8</v>
      </c>
      <c r="K36" s="787">
        <v>9</v>
      </c>
      <c r="L36" s="787">
        <v>10</v>
      </c>
      <c r="M36" s="787">
        <v>11</v>
      </c>
      <c r="N36" s="787">
        <v>12</v>
      </c>
      <c r="O36" s="788">
        <v>13</v>
      </c>
      <c r="P36" s="830">
        <v>14</v>
      </c>
      <c r="Q36" s="766">
        <v>15</v>
      </c>
      <c r="R36" s="787">
        <v>16</v>
      </c>
      <c r="S36" s="787">
        <v>17</v>
      </c>
      <c r="T36" s="787">
        <v>18</v>
      </c>
      <c r="U36" s="787">
        <v>19</v>
      </c>
      <c r="V36" s="830">
        <v>20</v>
      </c>
      <c r="W36" s="830">
        <v>21</v>
      </c>
      <c r="X36" s="766">
        <v>22</v>
      </c>
      <c r="Y36" s="787">
        <v>23</v>
      </c>
      <c r="Z36" s="787">
        <v>24</v>
      </c>
      <c r="AA36" s="787">
        <v>25</v>
      </c>
      <c r="AB36" s="787">
        <v>26</v>
      </c>
      <c r="AC36" s="788">
        <v>27</v>
      </c>
      <c r="AD36" s="830">
        <v>28</v>
      </c>
      <c r="AE36" s="766">
        <v>29</v>
      </c>
      <c r="AF36" s="787">
        <v>30</v>
      </c>
      <c r="AG36" s="787"/>
      <c r="AH36" s="498" t="s">
        <v>477</v>
      </c>
      <c r="AI36" s="499" t="s">
        <v>478</v>
      </c>
      <c r="AL36" t="s">
        <v>28</v>
      </c>
    </row>
    <row r="37" spans="1:38" ht="21.95" customHeight="1">
      <c r="A37" s="540">
        <v>1</v>
      </c>
      <c r="B37" s="45" t="s">
        <v>511</v>
      </c>
      <c r="C37" s="763">
        <v>10</v>
      </c>
      <c r="D37" s="763">
        <v>10</v>
      </c>
      <c r="E37" s="763">
        <v>10</v>
      </c>
      <c r="F37" s="763">
        <v>10</v>
      </c>
      <c r="G37" s="763">
        <v>10</v>
      </c>
      <c r="H37" s="763" t="s">
        <v>514</v>
      </c>
      <c r="I37" s="763" t="s">
        <v>514</v>
      </c>
      <c r="J37" s="763" t="s">
        <v>481</v>
      </c>
      <c r="K37" s="763" t="s">
        <v>481</v>
      </c>
      <c r="L37" s="763" t="s">
        <v>481</v>
      </c>
      <c r="M37" s="763" t="s">
        <v>481</v>
      </c>
      <c r="N37" s="763" t="s">
        <v>481</v>
      </c>
      <c r="O37" s="763" t="s">
        <v>515</v>
      </c>
      <c r="P37" s="763" t="s">
        <v>515</v>
      </c>
      <c r="Q37" s="1069">
        <v>7</v>
      </c>
      <c r="R37" s="1069">
        <v>7</v>
      </c>
      <c r="S37" s="1069">
        <v>7</v>
      </c>
      <c r="T37" s="763">
        <v>7</v>
      </c>
      <c r="U37" s="1069">
        <v>7</v>
      </c>
      <c r="V37" s="763"/>
      <c r="W37" s="763"/>
      <c r="X37" s="763">
        <v>4</v>
      </c>
      <c r="Y37" s="763">
        <v>4</v>
      </c>
      <c r="Z37" s="763">
        <v>4</v>
      </c>
      <c r="AA37" s="763">
        <v>4</v>
      </c>
      <c r="AB37" s="763">
        <v>4</v>
      </c>
      <c r="AC37" s="763"/>
      <c r="AD37" s="763"/>
      <c r="AE37" s="763">
        <v>3</v>
      </c>
      <c r="AF37" s="763">
        <v>3</v>
      </c>
      <c r="AG37" s="773"/>
      <c r="AH37" s="924">
        <v>91.5</v>
      </c>
      <c r="AI37" s="925">
        <v>37</v>
      </c>
    </row>
    <row r="38" spans="1:38" ht="21.95" customHeight="1">
      <c r="A38" s="541">
        <v>6</v>
      </c>
      <c r="B38" s="153" t="s">
        <v>650</v>
      </c>
      <c r="C38" s="970">
        <v>11</v>
      </c>
      <c r="D38" s="970">
        <v>11</v>
      </c>
      <c r="E38" s="970">
        <v>11</v>
      </c>
      <c r="F38" s="970">
        <v>11</v>
      </c>
      <c r="G38" s="970">
        <v>11</v>
      </c>
      <c r="H38" s="970" t="s">
        <v>517</v>
      </c>
      <c r="I38" s="970" t="s">
        <v>517</v>
      </c>
      <c r="J38" s="987" t="s">
        <v>481</v>
      </c>
      <c r="K38" s="987" t="s">
        <v>481</v>
      </c>
      <c r="L38" s="987" t="s">
        <v>481</v>
      </c>
      <c r="M38" s="987" t="s">
        <v>481</v>
      </c>
      <c r="N38" s="987" t="s">
        <v>481</v>
      </c>
      <c r="O38" s="987"/>
      <c r="P38" s="987"/>
      <c r="Q38" s="970">
        <v>8</v>
      </c>
      <c r="R38" s="970">
        <v>8</v>
      </c>
      <c r="S38" s="970">
        <v>8</v>
      </c>
      <c r="T38" s="970">
        <v>8</v>
      </c>
      <c r="U38" s="970">
        <v>8</v>
      </c>
      <c r="V38" s="970" t="s">
        <v>513</v>
      </c>
      <c r="W38" s="970" t="s">
        <v>513</v>
      </c>
      <c r="X38" s="768" t="s">
        <v>481</v>
      </c>
      <c r="Y38" s="768" t="s">
        <v>481</v>
      </c>
      <c r="Z38" s="768" t="s">
        <v>481</v>
      </c>
      <c r="AA38" s="768" t="s">
        <v>481</v>
      </c>
      <c r="AB38" s="768" t="s">
        <v>481</v>
      </c>
      <c r="AC38" s="768"/>
      <c r="AD38" s="768"/>
      <c r="AE38" s="1158">
        <v>1</v>
      </c>
      <c r="AF38" s="1158">
        <v>1</v>
      </c>
      <c r="AG38" s="774"/>
      <c r="AH38" s="924">
        <v>121</v>
      </c>
      <c r="AI38" s="925">
        <v>37</v>
      </c>
    </row>
    <row r="39" spans="1:38" ht="21.95" customHeight="1" thickBot="1">
      <c r="A39" s="543">
        <v>11</v>
      </c>
      <c r="B39" s="794" t="s">
        <v>518</v>
      </c>
      <c r="C39" s="761">
        <v>9</v>
      </c>
      <c r="D39" s="761">
        <v>9</v>
      </c>
      <c r="E39" s="761">
        <v>9</v>
      </c>
      <c r="F39" s="761">
        <v>9</v>
      </c>
      <c r="G39" s="761">
        <v>9</v>
      </c>
      <c r="H39" s="761" t="s">
        <v>519</v>
      </c>
      <c r="I39" s="761" t="s">
        <v>514</v>
      </c>
      <c r="J39" s="761" t="s">
        <v>481</v>
      </c>
      <c r="K39" s="761" t="s">
        <v>481</v>
      </c>
      <c r="L39" s="761" t="s">
        <v>481</v>
      </c>
      <c r="M39" s="761" t="s">
        <v>481</v>
      </c>
      <c r="N39" s="761" t="s">
        <v>481</v>
      </c>
      <c r="O39" s="761"/>
      <c r="P39" s="761"/>
      <c r="Q39" s="1037">
        <v>6</v>
      </c>
      <c r="R39" s="1037">
        <v>6</v>
      </c>
      <c r="S39" s="1037">
        <v>6</v>
      </c>
      <c r="T39" s="1037">
        <v>6</v>
      </c>
      <c r="U39" s="1037">
        <v>6</v>
      </c>
      <c r="V39" s="761" t="s">
        <v>512</v>
      </c>
      <c r="W39" s="761" t="s">
        <v>513</v>
      </c>
      <c r="X39" s="761" t="s">
        <v>481</v>
      </c>
      <c r="Y39" s="761" t="s">
        <v>481</v>
      </c>
      <c r="Z39" s="761" t="s">
        <v>481</v>
      </c>
      <c r="AA39" s="761" t="s">
        <v>481</v>
      </c>
      <c r="AB39" s="761" t="s">
        <v>481</v>
      </c>
      <c r="AC39" s="761"/>
      <c r="AD39" s="761"/>
      <c r="AE39" s="1037">
        <v>5</v>
      </c>
      <c r="AF39" s="1037">
        <v>5</v>
      </c>
      <c r="AG39" s="775"/>
      <c r="AH39" s="924">
        <v>83</v>
      </c>
      <c r="AI39" s="925">
        <v>37</v>
      </c>
    </row>
    <row r="40" spans="1:38" ht="21.95" customHeight="1" thickBot="1">
      <c r="A40" s="540">
        <v>2</v>
      </c>
      <c r="B40" s="45" t="s">
        <v>520</v>
      </c>
      <c r="C40" s="763" t="s">
        <v>481</v>
      </c>
      <c r="D40" s="763" t="s">
        <v>481</v>
      </c>
      <c r="E40" s="763" t="s">
        <v>481</v>
      </c>
      <c r="F40" s="776" t="s">
        <v>481</v>
      </c>
      <c r="G40" s="776" t="s">
        <v>481</v>
      </c>
      <c r="H40" s="763" t="s">
        <v>515</v>
      </c>
      <c r="I40" s="763" t="s">
        <v>515</v>
      </c>
      <c r="J40" s="763">
        <v>7</v>
      </c>
      <c r="K40" s="763">
        <v>7</v>
      </c>
      <c r="L40" s="763">
        <v>7</v>
      </c>
      <c r="M40" s="763">
        <v>7</v>
      </c>
      <c r="N40" s="763">
        <v>7</v>
      </c>
      <c r="O40" s="763"/>
      <c r="P40" s="763"/>
      <c r="Q40" s="974">
        <v>4</v>
      </c>
      <c r="R40" s="974">
        <v>4</v>
      </c>
      <c r="S40" s="974">
        <v>4</v>
      </c>
      <c r="T40" s="1089">
        <v>4</v>
      </c>
      <c r="U40" s="1089">
        <v>4</v>
      </c>
      <c r="V40" s="974"/>
      <c r="W40" s="974"/>
      <c r="X40" s="974">
        <v>3</v>
      </c>
      <c r="Y40" s="974">
        <v>3</v>
      </c>
      <c r="Z40" s="974">
        <v>3</v>
      </c>
      <c r="AA40" s="974">
        <v>3</v>
      </c>
      <c r="AB40" s="974">
        <v>3</v>
      </c>
      <c r="AC40" s="974"/>
      <c r="AD40" s="974"/>
      <c r="AE40" s="1156">
        <v>11</v>
      </c>
      <c r="AF40" s="1156">
        <v>11</v>
      </c>
      <c r="AG40" s="763"/>
      <c r="AH40" s="924">
        <v>60</v>
      </c>
      <c r="AI40" s="925">
        <v>37</v>
      </c>
    </row>
    <row r="41" spans="1:38" ht="21.95" customHeight="1" thickBot="1">
      <c r="A41" s="541">
        <v>7</v>
      </c>
      <c r="B41" s="153" t="s">
        <v>522</v>
      </c>
      <c r="C41" s="768" t="s">
        <v>481</v>
      </c>
      <c r="D41" s="768" t="s">
        <v>481</v>
      </c>
      <c r="E41" s="768" t="s">
        <v>481</v>
      </c>
      <c r="F41" s="768" t="s">
        <v>481</v>
      </c>
      <c r="G41" s="768" t="s">
        <v>481</v>
      </c>
      <c r="H41" s="768"/>
      <c r="I41" s="768"/>
      <c r="J41" s="970">
        <v>8</v>
      </c>
      <c r="K41" s="970">
        <v>8</v>
      </c>
      <c r="L41" s="970">
        <v>8</v>
      </c>
      <c r="M41" s="970">
        <v>8</v>
      </c>
      <c r="N41" s="970">
        <v>8</v>
      </c>
      <c r="O41" s="970" t="s">
        <v>513</v>
      </c>
      <c r="P41" s="970" t="s">
        <v>513</v>
      </c>
      <c r="Q41" s="970" t="s">
        <v>481</v>
      </c>
      <c r="R41" s="970" t="s">
        <v>481</v>
      </c>
      <c r="S41" s="970" t="s">
        <v>481</v>
      </c>
      <c r="T41" s="970" t="s">
        <v>481</v>
      </c>
      <c r="U41" s="970" t="s">
        <v>481</v>
      </c>
      <c r="V41" s="970"/>
      <c r="W41" s="970"/>
      <c r="X41" s="970">
        <v>1</v>
      </c>
      <c r="Y41" s="970">
        <v>1</v>
      </c>
      <c r="Z41" s="970">
        <v>1</v>
      </c>
      <c r="AA41" s="970">
        <v>1</v>
      </c>
      <c r="AB41" s="970">
        <v>1</v>
      </c>
      <c r="AC41" s="970"/>
      <c r="AD41" s="970"/>
      <c r="AE41" s="763">
        <v>9</v>
      </c>
      <c r="AF41" s="768">
        <v>9</v>
      </c>
      <c r="AG41" s="774"/>
      <c r="AH41" s="924">
        <v>80</v>
      </c>
      <c r="AI41" s="925">
        <v>37</v>
      </c>
    </row>
    <row r="42" spans="1:38" ht="21.95" customHeight="1" thickBot="1">
      <c r="A42" s="543">
        <v>12</v>
      </c>
      <c r="B42" s="544" t="s">
        <v>523</v>
      </c>
      <c r="C42" s="761" t="s">
        <v>481</v>
      </c>
      <c r="D42" s="761" t="s">
        <v>481</v>
      </c>
      <c r="E42" s="761" t="s">
        <v>481</v>
      </c>
      <c r="F42" s="761" t="s">
        <v>481</v>
      </c>
      <c r="G42" s="761" t="s">
        <v>481</v>
      </c>
      <c r="H42" s="761"/>
      <c r="I42" s="761"/>
      <c r="J42" s="761">
        <v>6</v>
      </c>
      <c r="K42" s="761">
        <v>6</v>
      </c>
      <c r="L42" s="761">
        <v>6</v>
      </c>
      <c r="M42" s="761">
        <v>6</v>
      </c>
      <c r="N42" s="761">
        <v>6</v>
      </c>
      <c r="O42" s="761" t="s">
        <v>512</v>
      </c>
      <c r="P42" s="761" t="s">
        <v>513</v>
      </c>
      <c r="Q42" s="761" t="s">
        <v>481</v>
      </c>
      <c r="R42" s="761" t="s">
        <v>481</v>
      </c>
      <c r="S42" s="761" t="s">
        <v>481</v>
      </c>
      <c r="T42" s="761" t="s">
        <v>481</v>
      </c>
      <c r="U42" s="761" t="s">
        <v>481</v>
      </c>
      <c r="V42" s="761"/>
      <c r="W42" s="761"/>
      <c r="X42" s="1037">
        <v>5</v>
      </c>
      <c r="Y42" s="1037">
        <v>5</v>
      </c>
      <c r="Z42" s="1037">
        <v>5</v>
      </c>
      <c r="AA42" s="1037">
        <v>5</v>
      </c>
      <c r="AB42" s="1037">
        <v>5</v>
      </c>
      <c r="AC42" s="761"/>
      <c r="AD42" s="761"/>
      <c r="AE42" s="763">
        <v>10</v>
      </c>
      <c r="AF42" s="761">
        <v>10</v>
      </c>
      <c r="AG42" s="775"/>
      <c r="AH42" s="924">
        <v>126</v>
      </c>
      <c r="AI42" s="925">
        <v>37</v>
      </c>
    </row>
    <row r="43" spans="1:38" ht="21.95" customHeight="1">
      <c r="A43" s="545">
        <v>3</v>
      </c>
      <c r="B43" s="836" t="s">
        <v>524</v>
      </c>
      <c r="C43" s="764">
        <v>7</v>
      </c>
      <c r="D43" s="764">
        <v>7</v>
      </c>
      <c r="E43" s="764">
        <v>7</v>
      </c>
      <c r="F43" s="764">
        <v>7</v>
      </c>
      <c r="G43" s="764">
        <v>7</v>
      </c>
      <c r="H43" s="764"/>
      <c r="I43" s="764"/>
      <c r="J43" s="764">
        <v>4</v>
      </c>
      <c r="K43" s="764">
        <v>4</v>
      </c>
      <c r="L43" s="764">
        <v>4</v>
      </c>
      <c r="M43" s="764">
        <v>4</v>
      </c>
      <c r="N43" s="764">
        <v>4</v>
      </c>
      <c r="O43" s="764"/>
      <c r="P43" s="764"/>
      <c r="Q43" s="764">
        <v>3</v>
      </c>
      <c r="R43" s="767">
        <v>3</v>
      </c>
      <c r="S43" s="764">
        <v>3</v>
      </c>
      <c r="T43" s="764">
        <v>3</v>
      </c>
      <c r="U43" s="764">
        <v>3</v>
      </c>
      <c r="V43" s="764"/>
      <c r="W43" s="764"/>
      <c r="X43" s="764">
        <v>11</v>
      </c>
      <c r="Y43" s="764">
        <v>11</v>
      </c>
      <c r="Z43" s="764">
        <v>11</v>
      </c>
      <c r="AA43" s="764">
        <v>11</v>
      </c>
      <c r="AB43" s="764">
        <v>11</v>
      </c>
      <c r="AC43" s="764" t="s">
        <v>517</v>
      </c>
      <c r="AD43" s="764" t="s">
        <v>517</v>
      </c>
      <c r="AE43" s="764" t="s">
        <v>481</v>
      </c>
      <c r="AF43" s="764" t="s">
        <v>481</v>
      </c>
      <c r="AG43" s="777"/>
      <c r="AH43" s="924">
        <v>93</v>
      </c>
      <c r="AI43" s="925">
        <v>37</v>
      </c>
    </row>
    <row r="44" spans="1:38" ht="21.95" customHeight="1">
      <c r="A44" s="541">
        <v>8</v>
      </c>
      <c r="B44" s="319" t="s">
        <v>525</v>
      </c>
      <c r="C44" s="768">
        <v>8</v>
      </c>
      <c r="D44" s="768">
        <v>8</v>
      </c>
      <c r="E44" s="768">
        <v>8</v>
      </c>
      <c r="F44" s="768">
        <v>8</v>
      </c>
      <c r="G44" s="778">
        <v>8</v>
      </c>
      <c r="H44" s="768" t="s">
        <v>513</v>
      </c>
      <c r="I44" s="768" t="s">
        <v>513</v>
      </c>
      <c r="J44" s="768" t="s">
        <v>481</v>
      </c>
      <c r="K44" s="768" t="s">
        <v>481</v>
      </c>
      <c r="L44" s="768" t="s">
        <v>481</v>
      </c>
      <c r="M44" s="768" t="s">
        <v>481</v>
      </c>
      <c r="N44" s="768" t="s">
        <v>481</v>
      </c>
      <c r="O44" s="768"/>
      <c r="P44" s="768"/>
      <c r="Q44" s="1042">
        <v>1</v>
      </c>
      <c r="R44" s="1038">
        <v>1</v>
      </c>
      <c r="S44" s="1161">
        <v>1</v>
      </c>
      <c r="T44" s="1038">
        <v>1</v>
      </c>
      <c r="U44" s="1038">
        <v>1</v>
      </c>
      <c r="V44" s="1038"/>
      <c r="W44" s="1038"/>
      <c r="X44" s="1038">
        <v>9</v>
      </c>
      <c r="Y44" s="1038">
        <v>9</v>
      </c>
      <c r="Z44" s="1038">
        <v>9</v>
      </c>
      <c r="AA44" s="1038">
        <v>9</v>
      </c>
      <c r="AB44" s="1038">
        <v>9</v>
      </c>
      <c r="AC44" s="1038" t="s">
        <v>519</v>
      </c>
      <c r="AD44" s="1038" t="s">
        <v>514</v>
      </c>
      <c r="AE44" s="768" t="s">
        <v>481</v>
      </c>
      <c r="AF44" s="768" t="s">
        <v>481</v>
      </c>
      <c r="AG44" s="768"/>
      <c r="AH44" s="924">
        <v>100.5</v>
      </c>
      <c r="AI44" s="925">
        <v>12.5</v>
      </c>
    </row>
    <row r="45" spans="1:38" ht="21.95" customHeight="1" thickBot="1">
      <c r="A45" s="543">
        <v>13</v>
      </c>
      <c r="B45" s="52" t="s">
        <v>526</v>
      </c>
      <c r="C45" s="1068">
        <v>6</v>
      </c>
      <c r="D45" s="1068">
        <v>6</v>
      </c>
      <c r="E45" s="1068">
        <v>6</v>
      </c>
      <c r="F45" s="1068">
        <v>6</v>
      </c>
      <c r="G45" s="1068">
        <v>6</v>
      </c>
      <c r="H45" s="1068" t="s">
        <v>512</v>
      </c>
      <c r="I45" s="1068" t="s">
        <v>513</v>
      </c>
      <c r="J45" s="1068" t="s">
        <v>481</v>
      </c>
      <c r="K45" s="1068" t="s">
        <v>481</v>
      </c>
      <c r="L45" s="1068" t="s">
        <v>481</v>
      </c>
      <c r="M45" s="1068" t="s">
        <v>481</v>
      </c>
      <c r="N45" s="1068" t="s">
        <v>481</v>
      </c>
      <c r="O45" s="1068"/>
      <c r="P45" s="1068"/>
      <c r="Q45" s="1068">
        <v>4</v>
      </c>
      <c r="R45" s="1084">
        <v>4</v>
      </c>
      <c r="S45" s="1068">
        <v>4</v>
      </c>
      <c r="T45" s="1068">
        <v>4</v>
      </c>
      <c r="U45" s="1068">
        <v>4</v>
      </c>
      <c r="V45" s="1068"/>
      <c r="W45" s="1068"/>
      <c r="X45" s="1068">
        <v>10</v>
      </c>
      <c r="Y45" s="1068">
        <v>10</v>
      </c>
      <c r="Z45" s="1068">
        <v>10</v>
      </c>
      <c r="AA45" s="1068">
        <v>10</v>
      </c>
      <c r="AB45" s="1068">
        <v>10</v>
      </c>
      <c r="AC45" s="1068" t="s">
        <v>514</v>
      </c>
      <c r="AD45" s="1068" t="s">
        <v>514</v>
      </c>
      <c r="AE45" s="1068" t="s">
        <v>481</v>
      </c>
      <c r="AF45" s="1068" t="s">
        <v>481</v>
      </c>
      <c r="AG45" s="761"/>
      <c r="AH45" s="924">
        <v>150.5</v>
      </c>
      <c r="AI45" s="925">
        <v>37</v>
      </c>
    </row>
    <row r="46" spans="1:38" ht="21.95" customHeight="1" thickBot="1">
      <c r="A46" s="545">
        <v>4</v>
      </c>
      <c r="B46" s="319" t="s">
        <v>527</v>
      </c>
      <c r="C46" s="977">
        <v>4</v>
      </c>
      <c r="D46" s="977">
        <v>4</v>
      </c>
      <c r="E46" s="977">
        <v>4</v>
      </c>
      <c r="F46" s="977">
        <v>4</v>
      </c>
      <c r="G46" s="768">
        <v>4</v>
      </c>
      <c r="H46" s="768"/>
      <c r="I46" s="768"/>
      <c r="J46" s="964">
        <v>3</v>
      </c>
      <c r="K46" s="964">
        <v>3</v>
      </c>
      <c r="L46" s="964">
        <v>3</v>
      </c>
      <c r="M46" s="964">
        <v>3</v>
      </c>
      <c r="N46" s="964">
        <v>3</v>
      </c>
      <c r="O46" s="764"/>
      <c r="P46" s="764"/>
      <c r="Q46" s="764">
        <v>11</v>
      </c>
      <c r="R46" s="764">
        <v>11</v>
      </c>
      <c r="S46" s="764">
        <v>11</v>
      </c>
      <c r="T46" s="764">
        <v>11</v>
      </c>
      <c r="U46" s="764">
        <v>11</v>
      </c>
      <c r="V46" s="764" t="s">
        <v>517</v>
      </c>
      <c r="W46" s="764" t="s">
        <v>517</v>
      </c>
      <c r="X46" s="764" t="s">
        <v>481</v>
      </c>
      <c r="Y46" s="764" t="s">
        <v>481</v>
      </c>
      <c r="Z46" s="764" t="s">
        <v>481</v>
      </c>
      <c r="AA46" s="764" t="s">
        <v>481</v>
      </c>
      <c r="AB46" s="764" t="s">
        <v>481</v>
      </c>
      <c r="AC46" s="764"/>
      <c r="AD46" s="764"/>
      <c r="AE46" s="763">
        <v>8</v>
      </c>
      <c r="AF46" s="764">
        <v>8</v>
      </c>
      <c r="AG46" s="771"/>
      <c r="AH46" s="924">
        <v>62</v>
      </c>
      <c r="AI46" s="925">
        <v>37</v>
      </c>
    </row>
    <row r="47" spans="1:38" ht="21.95" customHeight="1" thickBot="1">
      <c r="A47" s="541">
        <v>9</v>
      </c>
      <c r="B47" s="319" t="s">
        <v>528</v>
      </c>
      <c r="C47" s="768" t="s">
        <v>481</v>
      </c>
      <c r="D47" s="768" t="s">
        <v>481</v>
      </c>
      <c r="E47" s="768" t="s">
        <v>481</v>
      </c>
      <c r="F47" s="768" t="s">
        <v>481</v>
      </c>
      <c r="G47" s="768" t="s">
        <v>481</v>
      </c>
      <c r="H47" s="768"/>
      <c r="I47" s="768"/>
      <c r="J47" s="768">
        <v>1</v>
      </c>
      <c r="K47" s="768">
        <v>1</v>
      </c>
      <c r="L47" s="768">
        <v>1</v>
      </c>
      <c r="M47" s="768">
        <v>1</v>
      </c>
      <c r="N47" s="768">
        <v>1</v>
      </c>
      <c r="O47" s="768"/>
      <c r="P47" s="768"/>
      <c r="Q47" s="768">
        <v>9</v>
      </c>
      <c r="R47" s="768">
        <v>9</v>
      </c>
      <c r="S47" s="768">
        <v>9</v>
      </c>
      <c r="T47" s="768">
        <v>9</v>
      </c>
      <c r="U47" s="768">
        <v>9</v>
      </c>
      <c r="V47" s="768" t="s">
        <v>519</v>
      </c>
      <c r="W47" s="768" t="s">
        <v>514</v>
      </c>
      <c r="X47" s="768" t="s">
        <v>481</v>
      </c>
      <c r="Y47" s="768" t="s">
        <v>481</v>
      </c>
      <c r="Z47" s="768" t="s">
        <v>481</v>
      </c>
      <c r="AA47" s="768" t="s">
        <v>481</v>
      </c>
      <c r="AB47" s="768" t="s">
        <v>481</v>
      </c>
      <c r="AC47" s="768"/>
      <c r="AD47" s="768"/>
      <c r="AE47" s="763">
        <v>6</v>
      </c>
      <c r="AF47" s="768">
        <v>6</v>
      </c>
      <c r="AG47" s="769"/>
      <c r="AH47" s="924">
        <v>128</v>
      </c>
      <c r="AI47" s="925">
        <v>37</v>
      </c>
    </row>
    <row r="48" spans="1:38" ht="21.95" customHeight="1" thickBot="1">
      <c r="A48" s="543">
        <v>14</v>
      </c>
      <c r="B48" s="544" t="s">
        <v>529</v>
      </c>
      <c r="C48" s="967" t="s">
        <v>481</v>
      </c>
      <c r="D48" s="967" t="s">
        <v>481</v>
      </c>
      <c r="E48" s="972" t="s">
        <v>481</v>
      </c>
      <c r="F48" s="972" t="s">
        <v>481</v>
      </c>
      <c r="G48" s="972" t="s">
        <v>481</v>
      </c>
      <c r="H48" s="972"/>
      <c r="I48" s="972"/>
      <c r="J48" s="985">
        <v>3</v>
      </c>
      <c r="K48" s="985">
        <v>3</v>
      </c>
      <c r="L48" s="1037">
        <v>5</v>
      </c>
      <c r="M48" s="1037">
        <v>5</v>
      </c>
      <c r="N48" s="1037">
        <v>5</v>
      </c>
      <c r="O48" s="761"/>
      <c r="P48" s="761"/>
      <c r="Q48" s="761">
        <v>10</v>
      </c>
      <c r="R48" s="761">
        <v>10</v>
      </c>
      <c r="S48" s="761">
        <v>10</v>
      </c>
      <c r="T48" s="761">
        <v>10</v>
      </c>
      <c r="U48" s="761">
        <v>10</v>
      </c>
      <c r="V48" s="761" t="s">
        <v>514</v>
      </c>
      <c r="W48" s="761" t="s">
        <v>514</v>
      </c>
      <c r="X48" s="761" t="s">
        <v>481</v>
      </c>
      <c r="Y48" s="761" t="s">
        <v>481</v>
      </c>
      <c r="Z48" s="761" t="s">
        <v>481</v>
      </c>
      <c r="AA48" s="761" t="s">
        <v>481</v>
      </c>
      <c r="AB48" s="761" t="s">
        <v>481</v>
      </c>
      <c r="AC48" s="761" t="s">
        <v>515</v>
      </c>
      <c r="AD48" s="761" t="s">
        <v>515</v>
      </c>
      <c r="AE48" s="763">
        <v>7</v>
      </c>
      <c r="AF48" s="761">
        <v>7</v>
      </c>
      <c r="AG48" s="780"/>
      <c r="AH48" s="924">
        <v>129</v>
      </c>
      <c r="AI48" s="925">
        <v>37</v>
      </c>
    </row>
    <row r="49" spans="1:35" ht="21.95" customHeight="1">
      <c r="A49" s="540">
        <v>5</v>
      </c>
      <c r="B49" s="542" t="s">
        <v>530</v>
      </c>
      <c r="C49" s="974">
        <v>3</v>
      </c>
      <c r="D49" s="974">
        <v>3</v>
      </c>
      <c r="E49" s="974">
        <v>3</v>
      </c>
      <c r="F49" s="974">
        <v>3</v>
      </c>
      <c r="G49" s="974">
        <v>3</v>
      </c>
      <c r="H49" s="974"/>
      <c r="I49" s="974"/>
      <c r="J49" s="763">
        <v>11</v>
      </c>
      <c r="K49" s="763">
        <v>11</v>
      </c>
      <c r="L49" s="763">
        <v>11</v>
      </c>
      <c r="M49" s="763">
        <v>11</v>
      </c>
      <c r="N49" s="763">
        <v>11</v>
      </c>
      <c r="O49" s="763" t="s">
        <v>517</v>
      </c>
      <c r="P49" s="763" t="s">
        <v>517</v>
      </c>
      <c r="Q49" s="763" t="s">
        <v>481</v>
      </c>
      <c r="R49" s="763" t="s">
        <v>481</v>
      </c>
      <c r="S49" s="768" t="s">
        <v>481</v>
      </c>
      <c r="T49" s="768" t="s">
        <v>481</v>
      </c>
      <c r="U49" s="768" t="s">
        <v>481</v>
      </c>
      <c r="V49" s="768"/>
      <c r="W49" s="768"/>
      <c r="X49" s="768">
        <v>8</v>
      </c>
      <c r="Y49" s="768">
        <v>8</v>
      </c>
      <c r="Z49" s="768">
        <v>8</v>
      </c>
      <c r="AA49" s="768">
        <v>8</v>
      </c>
      <c r="AB49" s="768">
        <v>8</v>
      </c>
      <c r="AC49" s="768" t="s">
        <v>513</v>
      </c>
      <c r="AD49" s="768" t="s">
        <v>513</v>
      </c>
      <c r="AE49" s="781" t="s">
        <v>481</v>
      </c>
      <c r="AF49" s="763" t="s">
        <v>481</v>
      </c>
      <c r="AG49" s="781"/>
      <c r="AH49" s="924">
        <v>70</v>
      </c>
      <c r="AI49" s="925">
        <v>37</v>
      </c>
    </row>
    <row r="50" spans="1:35" ht="21.95" customHeight="1">
      <c r="A50" s="541">
        <v>10</v>
      </c>
      <c r="B50" s="319" t="s">
        <v>531</v>
      </c>
      <c r="C50" s="977">
        <v>1</v>
      </c>
      <c r="D50" s="977">
        <v>1</v>
      </c>
      <c r="E50" s="977">
        <v>1</v>
      </c>
      <c r="F50" s="977">
        <v>1</v>
      </c>
      <c r="G50" s="977">
        <v>1</v>
      </c>
      <c r="H50" s="768"/>
      <c r="I50" s="768"/>
      <c r="J50" s="768">
        <v>9</v>
      </c>
      <c r="K50" s="768">
        <v>9</v>
      </c>
      <c r="L50" s="768">
        <v>9</v>
      </c>
      <c r="M50" s="768">
        <v>9</v>
      </c>
      <c r="N50" s="768">
        <v>9</v>
      </c>
      <c r="O50" s="768" t="s">
        <v>519</v>
      </c>
      <c r="P50" s="768" t="s">
        <v>514</v>
      </c>
      <c r="Q50" s="768" t="s">
        <v>481</v>
      </c>
      <c r="R50" s="768" t="s">
        <v>481</v>
      </c>
      <c r="S50" s="768" t="s">
        <v>481</v>
      </c>
      <c r="T50" s="768" t="s">
        <v>481</v>
      </c>
      <c r="U50" s="768" t="s">
        <v>481</v>
      </c>
      <c r="V50" s="768"/>
      <c r="W50" s="768"/>
      <c r="X50" s="768">
        <v>6</v>
      </c>
      <c r="Y50" s="768">
        <v>6</v>
      </c>
      <c r="Z50" s="768">
        <v>6</v>
      </c>
      <c r="AA50" s="768">
        <v>6</v>
      </c>
      <c r="AB50" s="768">
        <v>6</v>
      </c>
      <c r="AC50" s="768" t="s">
        <v>512</v>
      </c>
      <c r="AD50" s="768" t="s">
        <v>513</v>
      </c>
      <c r="AE50" s="769" t="s">
        <v>481</v>
      </c>
      <c r="AF50" s="768" t="s">
        <v>481</v>
      </c>
      <c r="AG50" s="769"/>
      <c r="AH50" s="924">
        <v>116</v>
      </c>
      <c r="AI50" s="925">
        <v>37</v>
      </c>
    </row>
    <row r="51" spans="1:35" ht="21.95" customHeight="1" thickBot="1">
      <c r="A51" s="543">
        <v>15</v>
      </c>
      <c r="B51" s="52" t="s">
        <v>532</v>
      </c>
      <c r="C51" s="967">
        <v>5</v>
      </c>
      <c r="D51" s="967">
        <v>5</v>
      </c>
      <c r="E51" s="967">
        <v>5</v>
      </c>
      <c r="F51" s="967">
        <v>5</v>
      </c>
      <c r="G51" s="967">
        <v>5</v>
      </c>
      <c r="H51" s="967"/>
      <c r="I51" s="967"/>
      <c r="J51" s="761">
        <v>10</v>
      </c>
      <c r="K51" s="761">
        <v>10</v>
      </c>
      <c r="L51" s="761">
        <v>10</v>
      </c>
      <c r="M51" s="761">
        <v>10</v>
      </c>
      <c r="N51" s="761">
        <v>10</v>
      </c>
      <c r="O51" s="761" t="s">
        <v>514</v>
      </c>
      <c r="P51" s="761" t="s">
        <v>514</v>
      </c>
      <c r="Q51" s="761" t="s">
        <v>481</v>
      </c>
      <c r="R51" s="761" t="s">
        <v>481</v>
      </c>
      <c r="S51" s="761" t="s">
        <v>481</v>
      </c>
      <c r="T51" s="761" t="s">
        <v>481</v>
      </c>
      <c r="U51" s="761" t="s">
        <v>481</v>
      </c>
      <c r="V51" s="761" t="s">
        <v>515</v>
      </c>
      <c r="W51" s="761" t="s">
        <v>515</v>
      </c>
      <c r="X51" s="761">
        <v>7</v>
      </c>
      <c r="Y51" s="761">
        <v>7</v>
      </c>
      <c r="Z51" s="761">
        <v>7</v>
      </c>
      <c r="AA51" s="761">
        <v>7</v>
      </c>
      <c r="AB51" s="761">
        <v>7</v>
      </c>
      <c r="AC51" s="761"/>
      <c r="AD51" s="761"/>
      <c r="AE51" s="1160">
        <v>4</v>
      </c>
      <c r="AF51" s="1037">
        <v>4</v>
      </c>
      <c r="AG51" s="780"/>
      <c r="AH51" s="924">
        <v>94</v>
      </c>
      <c r="AI51" s="925">
        <v>37</v>
      </c>
    </row>
    <row r="52" spans="1:35" ht="21.95" customHeight="1">
      <c r="A52" s="516"/>
      <c r="C52" s="538"/>
      <c r="D52" s="538"/>
      <c r="E52" s="538"/>
      <c r="F52" s="538"/>
      <c r="G52" s="538"/>
      <c r="H52" s="538"/>
      <c r="I52" s="538"/>
      <c r="J52" s="538"/>
      <c r="K52" s="538"/>
      <c r="L52" s="538"/>
      <c r="M52" s="538"/>
      <c r="N52" s="538"/>
      <c r="O52" s="538"/>
      <c r="P52" s="538"/>
      <c r="Q52" s="538"/>
      <c r="R52" s="538"/>
      <c r="S52" s="538"/>
      <c r="T52" s="538"/>
      <c r="U52" s="538"/>
      <c r="V52" s="538"/>
      <c r="W52" s="538"/>
      <c r="X52" s="538"/>
      <c r="Y52" s="538"/>
      <c r="Z52" s="538"/>
      <c r="AA52" s="538"/>
      <c r="AB52" s="538"/>
      <c r="AC52" s="538"/>
      <c r="AD52" s="538"/>
      <c r="AE52" s="538"/>
      <c r="AF52" s="538"/>
      <c r="AG52" s="538"/>
      <c r="AH52" s="1"/>
    </row>
    <row r="53" spans="1:35" ht="21.95" customHeight="1">
      <c r="A53" s="516"/>
      <c r="C53" s="538"/>
      <c r="D53" s="538"/>
      <c r="E53" s="538"/>
      <c r="F53" s="538"/>
      <c r="G53" s="538"/>
      <c r="H53" s="538"/>
      <c r="I53" s="538"/>
      <c r="J53" s="538"/>
      <c r="K53" s="538"/>
      <c r="L53" s="538"/>
      <c r="M53" s="538"/>
      <c r="N53" s="538"/>
      <c r="O53" s="538"/>
      <c r="P53" s="538"/>
      <c r="Q53" s="538"/>
      <c r="R53" s="538"/>
      <c r="S53" s="538"/>
      <c r="T53" s="538"/>
      <c r="U53" s="538"/>
      <c r="V53" s="538"/>
      <c r="W53" s="538"/>
      <c r="X53" s="538"/>
      <c r="Y53" s="538"/>
      <c r="Z53" s="538"/>
      <c r="AA53" s="538"/>
      <c r="AB53" s="538"/>
      <c r="AC53" s="538"/>
      <c r="AD53" s="538"/>
      <c r="AE53" s="538"/>
      <c r="AF53" s="538"/>
      <c r="AG53" s="538"/>
      <c r="AH53" s="1"/>
    </row>
    <row r="54" spans="1:35" ht="21.95" customHeight="1">
      <c r="A54" s="516"/>
      <c r="C54" s="538"/>
      <c r="D54" s="538"/>
      <c r="E54" s="538"/>
      <c r="F54" s="538"/>
      <c r="G54" s="538"/>
      <c r="H54" s="538"/>
      <c r="I54" s="538"/>
      <c r="J54" s="538"/>
      <c r="K54" s="538"/>
      <c r="L54" s="538"/>
      <c r="M54" s="538"/>
      <c r="N54" s="538"/>
      <c r="O54" s="538"/>
      <c r="P54" s="538"/>
      <c r="Q54" s="538"/>
      <c r="R54" s="538"/>
      <c r="S54" s="538"/>
      <c r="T54" s="538"/>
      <c r="U54" s="538"/>
      <c r="V54" s="538"/>
      <c r="W54" s="538"/>
      <c r="X54" s="538"/>
      <c r="Y54" s="538"/>
      <c r="Z54" s="538"/>
      <c r="AA54" s="538"/>
      <c r="AB54" s="538"/>
      <c r="AC54" s="538"/>
      <c r="AD54" s="538"/>
      <c r="AE54" s="538"/>
      <c r="AF54" s="538"/>
      <c r="AG54" s="538"/>
      <c r="AH54" s="1"/>
    </row>
    <row r="55" spans="1:35" ht="21.95" customHeight="1" thickBot="1">
      <c r="A55" s="554"/>
      <c r="C55" s="555"/>
      <c r="D55" s="555"/>
      <c r="E55" s="555"/>
      <c r="F55" s="555"/>
      <c r="G55" s="555"/>
      <c r="H55" s="555"/>
      <c r="I55" s="555"/>
      <c r="J55" s="555"/>
      <c r="K55" s="555"/>
      <c r="L55" s="555"/>
      <c r="M55" s="555"/>
      <c r="N55" s="555"/>
      <c r="O55" s="555"/>
      <c r="P55" s="555"/>
      <c r="Q55" s="555"/>
      <c r="R55" s="555"/>
      <c r="S55" s="555"/>
      <c r="T55" s="555"/>
      <c r="U55" s="555"/>
      <c r="V55" s="555"/>
      <c r="W55" s="555"/>
      <c r="X55" s="555"/>
      <c r="Y55" s="555"/>
      <c r="Z55" s="555"/>
      <c r="AA55" s="555"/>
      <c r="AB55" s="555"/>
      <c r="AC55" s="555"/>
      <c r="AD55" s="555"/>
      <c r="AE55" s="555"/>
      <c r="AF55" s="555"/>
      <c r="AG55" s="555"/>
      <c r="AH55" s="556"/>
      <c r="AI55" s="556"/>
    </row>
    <row r="56" spans="1:35" ht="21.95" customHeight="1">
      <c r="A56" s="361"/>
      <c r="B56" s="23" t="s">
        <v>533</v>
      </c>
      <c r="C56" s="7"/>
      <c r="D56" s="414" t="s">
        <v>2</v>
      </c>
      <c r="E56" s="547"/>
      <c r="F56" s="7"/>
      <c r="G56" s="6" t="s">
        <v>3</v>
      </c>
      <c r="H56" s="548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49"/>
      <c r="R56" s="118"/>
      <c r="S56" s="6" t="s">
        <v>7</v>
      </c>
      <c r="T56" s="550"/>
      <c r="U56" s="118"/>
      <c r="V56" s="6" t="s">
        <v>8</v>
      </c>
      <c r="W56" s="549"/>
      <c r="X56" s="349" t="s">
        <v>9</v>
      </c>
      <c r="Y56" s="557"/>
      <c r="Z56" s="557"/>
      <c r="AA56" s="558"/>
      <c r="AB56" s="27" t="s">
        <v>10</v>
      </c>
      <c r="AC56" s="551"/>
      <c r="AD56" s="551"/>
      <c r="AE56" s="559"/>
      <c r="AF56" s="559"/>
      <c r="AG56" s="560"/>
    </row>
    <row r="57" spans="1:35" ht="21.95" customHeight="1">
      <c r="A57" s="361"/>
      <c r="B57" s="306" t="s">
        <v>534</v>
      </c>
      <c r="C57" s="561" t="s">
        <v>535</v>
      </c>
      <c r="D57" s="483"/>
      <c r="E57" s="484"/>
      <c r="F57" s="561" t="s">
        <v>535</v>
      </c>
      <c r="G57" s="483"/>
      <c r="H57" s="484"/>
      <c r="I57" s="561" t="s">
        <v>535</v>
      </c>
      <c r="J57" s="483"/>
      <c r="K57" s="484"/>
      <c r="L57" s="561" t="s">
        <v>535</v>
      </c>
      <c r="M57" s="483"/>
      <c r="N57" s="484"/>
      <c r="O57" s="561" t="s">
        <v>116</v>
      </c>
      <c r="P57" s="483"/>
      <c r="Q57" s="484"/>
      <c r="R57" s="561"/>
      <c r="S57" s="483"/>
      <c r="T57" s="484"/>
      <c r="U57" s="561"/>
      <c r="V57" s="483"/>
      <c r="W57" s="484"/>
      <c r="X57" s="561"/>
      <c r="Y57" s="483"/>
      <c r="Z57" s="483"/>
      <c r="AA57" s="483"/>
      <c r="AB57" s="476"/>
      <c r="AC57" s="483"/>
      <c r="AD57" s="483"/>
      <c r="AE57" s="483"/>
      <c r="AF57" s="483"/>
      <c r="AG57" s="562"/>
    </row>
    <row r="58" spans="1:35" ht="21.95" customHeight="1">
      <c r="A58" s="361"/>
      <c r="B58" s="306" t="s">
        <v>536</v>
      </c>
      <c r="C58" s="561" t="s">
        <v>147</v>
      </c>
      <c r="D58" s="483"/>
      <c r="E58" s="484"/>
      <c r="F58" s="561" t="s">
        <v>147</v>
      </c>
      <c r="G58" s="483"/>
      <c r="H58" s="484"/>
      <c r="I58" s="561" t="s">
        <v>147</v>
      </c>
      <c r="J58" s="483"/>
      <c r="K58" s="484"/>
      <c r="L58" s="561" t="s">
        <v>147</v>
      </c>
      <c r="M58" s="483"/>
      <c r="N58" s="484"/>
      <c r="O58" s="561" t="s">
        <v>537</v>
      </c>
      <c r="P58" s="483"/>
      <c r="Q58" s="484"/>
      <c r="R58" s="561"/>
      <c r="S58" s="483"/>
      <c r="T58" s="484"/>
      <c r="U58" s="561"/>
      <c r="V58" s="483"/>
      <c r="W58" s="484"/>
      <c r="X58" s="561"/>
      <c r="Y58" s="483"/>
      <c r="Z58" s="483"/>
      <c r="AA58" s="483"/>
      <c r="AB58" s="476"/>
      <c r="AC58" s="483"/>
      <c r="AD58" s="483"/>
      <c r="AE58" s="483"/>
      <c r="AF58" s="483"/>
      <c r="AG58" s="562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 thickBot="1">
      <c r="A60" s="861" t="s">
        <v>475</v>
      </c>
      <c r="B60" s="862" t="s">
        <v>476</v>
      </c>
      <c r="C60" s="863">
        <v>1</v>
      </c>
      <c r="D60" s="863">
        <v>2</v>
      </c>
      <c r="E60" s="863">
        <v>3</v>
      </c>
      <c r="F60" s="863">
        <v>4</v>
      </c>
      <c r="G60" s="863">
        <v>5</v>
      </c>
      <c r="H60" s="880">
        <v>6</v>
      </c>
      <c r="I60" s="880">
        <v>7</v>
      </c>
      <c r="J60" s="863">
        <v>8</v>
      </c>
      <c r="K60" s="863">
        <v>9</v>
      </c>
      <c r="L60" s="863">
        <v>10</v>
      </c>
      <c r="M60" s="863">
        <v>11</v>
      </c>
      <c r="N60" s="863">
        <v>12</v>
      </c>
      <c r="O60" s="880">
        <v>13</v>
      </c>
      <c r="P60" s="880">
        <v>14</v>
      </c>
      <c r="Q60" s="863">
        <v>15</v>
      </c>
      <c r="R60" s="863">
        <v>16</v>
      </c>
      <c r="S60" s="863">
        <v>17</v>
      </c>
      <c r="T60" s="863">
        <v>18</v>
      </c>
      <c r="U60" s="863">
        <v>19</v>
      </c>
      <c r="V60" s="880">
        <v>20</v>
      </c>
      <c r="W60" s="880">
        <v>21</v>
      </c>
      <c r="X60" s="863">
        <v>22</v>
      </c>
      <c r="Y60" s="863">
        <v>23</v>
      </c>
      <c r="Z60" s="863">
        <v>24</v>
      </c>
      <c r="AA60" s="863">
        <v>25</v>
      </c>
      <c r="AB60" s="863">
        <v>26</v>
      </c>
      <c r="AC60" s="880">
        <v>27</v>
      </c>
      <c r="AD60" s="880">
        <v>28</v>
      </c>
      <c r="AE60" s="863">
        <v>29</v>
      </c>
      <c r="AF60" s="863">
        <v>30</v>
      </c>
      <c r="AG60" s="863"/>
      <c r="AH60" s="864" t="s">
        <v>477</v>
      </c>
      <c r="AI60" s="865" t="s">
        <v>478</v>
      </c>
    </row>
    <row r="61" spans="1:35" ht="21.95" customHeight="1">
      <c r="A61" s="860">
        <v>8520</v>
      </c>
      <c r="B61" s="860" t="s">
        <v>538</v>
      </c>
      <c r="C61" s="764" t="s">
        <v>539</v>
      </c>
      <c r="D61" s="764" t="s">
        <v>539</v>
      </c>
      <c r="E61" s="764" t="s">
        <v>539</v>
      </c>
      <c r="F61" s="764" t="s">
        <v>539</v>
      </c>
      <c r="G61" s="764" t="s">
        <v>539</v>
      </c>
      <c r="H61" s="764"/>
      <c r="I61" s="764"/>
      <c r="J61" s="764" t="s">
        <v>539</v>
      </c>
      <c r="K61" s="764" t="s">
        <v>539</v>
      </c>
      <c r="L61" s="764" t="s">
        <v>539</v>
      </c>
      <c r="M61" s="764" t="s">
        <v>539</v>
      </c>
      <c r="N61" s="764" t="s">
        <v>539</v>
      </c>
      <c r="O61" s="764"/>
      <c r="P61" s="764"/>
      <c r="Q61" s="764" t="s">
        <v>539</v>
      </c>
      <c r="R61" s="764" t="s">
        <v>539</v>
      </c>
      <c r="S61" s="764" t="s">
        <v>539</v>
      </c>
      <c r="T61" s="764" t="s">
        <v>539</v>
      </c>
      <c r="U61" s="764" t="s">
        <v>539</v>
      </c>
      <c r="V61" s="764"/>
      <c r="W61" s="764"/>
      <c r="X61" s="764" t="s">
        <v>539</v>
      </c>
      <c r="Y61" s="764" t="s">
        <v>539</v>
      </c>
      <c r="Z61" s="764" t="s">
        <v>539</v>
      </c>
      <c r="AA61" s="764" t="s">
        <v>539</v>
      </c>
      <c r="AB61" s="764" t="s">
        <v>539</v>
      </c>
      <c r="AC61" s="764"/>
      <c r="AD61" s="764"/>
      <c r="AE61" s="764" t="s">
        <v>539</v>
      </c>
      <c r="AF61" s="764" t="s">
        <v>539</v>
      </c>
      <c r="AG61" s="764"/>
      <c r="AH61" s="510">
        <v>75.75</v>
      </c>
      <c r="AI61" s="511">
        <v>31</v>
      </c>
    </row>
    <row r="62" spans="1:35" ht="21.95" customHeight="1" thickBot="1">
      <c r="A62" s="866">
        <v>8521</v>
      </c>
      <c r="B62" s="866"/>
      <c r="C62" s="867" t="s">
        <v>540</v>
      </c>
      <c r="D62" s="867" t="s">
        <v>540</v>
      </c>
      <c r="E62" s="867" t="s">
        <v>540</v>
      </c>
      <c r="F62" s="867" t="s">
        <v>540</v>
      </c>
      <c r="G62" s="867" t="s">
        <v>540</v>
      </c>
      <c r="H62" s="867"/>
      <c r="I62" s="867"/>
      <c r="J62" s="867" t="s">
        <v>540</v>
      </c>
      <c r="K62" s="867" t="s">
        <v>540</v>
      </c>
      <c r="L62" s="867" t="s">
        <v>540</v>
      </c>
      <c r="M62" s="867" t="s">
        <v>540</v>
      </c>
      <c r="N62" s="867" t="s">
        <v>540</v>
      </c>
      <c r="O62" s="867"/>
      <c r="P62" s="867"/>
      <c r="Q62" s="867" t="s">
        <v>540</v>
      </c>
      <c r="R62" s="867" t="s">
        <v>540</v>
      </c>
      <c r="S62" s="867" t="s">
        <v>540</v>
      </c>
      <c r="T62" s="867" t="s">
        <v>540</v>
      </c>
      <c r="U62" s="867" t="s">
        <v>540</v>
      </c>
      <c r="V62" s="867"/>
      <c r="W62" s="867"/>
      <c r="X62" s="867" t="s">
        <v>540</v>
      </c>
      <c r="Y62" s="867" t="s">
        <v>540</v>
      </c>
      <c r="Z62" s="867" t="s">
        <v>540</v>
      </c>
      <c r="AA62" s="867" t="s">
        <v>540</v>
      </c>
      <c r="AB62" s="867" t="s">
        <v>540</v>
      </c>
      <c r="AC62" s="867"/>
      <c r="AD62" s="867"/>
      <c r="AE62" s="1073" t="s">
        <v>540</v>
      </c>
      <c r="AF62" s="1073" t="s">
        <v>540</v>
      </c>
      <c r="AG62" s="867"/>
      <c r="AH62" s="868">
        <v>185</v>
      </c>
      <c r="AI62" s="869">
        <v>37</v>
      </c>
    </row>
    <row r="63" spans="1:35" ht="21.95" customHeight="1">
      <c r="A63" s="361"/>
      <c r="B63" s="361"/>
      <c r="C63" s="538"/>
      <c r="D63" s="517"/>
      <c r="E63" s="517"/>
      <c r="F63" s="517"/>
      <c r="G63" s="517"/>
      <c r="H63" s="517"/>
      <c r="I63" s="517"/>
      <c r="J63" s="517"/>
      <c r="K63" s="517"/>
      <c r="L63" s="517"/>
      <c r="M63" s="517"/>
      <c r="N63" s="517"/>
      <c r="O63" s="517"/>
      <c r="P63" s="517"/>
      <c r="Q63" s="517"/>
      <c r="R63" s="517"/>
      <c r="S63" s="517"/>
      <c r="T63" s="517"/>
      <c r="U63" s="517"/>
      <c r="V63" s="517"/>
      <c r="W63" s="517"/>
      <c r="X63" s="517"/>
      <c r="Y63" s="517"/>
      <c r="Z63" s="517"/>
      <c r="AA63" s="517"/>
      <c r="AB63" s="517"/>
      <c r="AC63" s="517"/>
      <c r="AD63" s="517"/>
      <c r="AE63" s="517"/>
      <c r="AF63" s="517"/>
      <c r="AG63" s="517"/>
      <c r="AH63" s="556"/>
      <c r="AI63" s="556"/>
    </row>
    <row r="64" spans="1:35" ht="21.95" customHeight="1">
      <c r="A64" s="361"/>
      <c r="B64" s="361"/>
      <c r="C64" s="538"/>
      <c r="D64" s="517"/>
      <c r="E64" s="517"/>
      <c r="F64" s="517"/>
      <c r="G64" s="517"/>
      <c r="H64" s="517"/>
      <c r="I64" s="517"/>
      <c r="J64" s="517"/>
      <c r="K64" s="517"/>
      <c r="L64" s="517"/>
      <c r="M64" s="517"/>
      <c r="N64" s="517"/>
      <c r="O64" s="517"/>
      <c r="P64" s="517"/>
      <c r="Q64" s="517"/>
      <c r="R64" s="517"/>
      <c r="S64" s="517"/>
      <c r="T64" s="517"/>
      <c r="U64" s="517"/>
      <c r="V64" s="517"/>
      <c r="W64" s="517"/>
      <c r="X64" s="517"/>
      <c r="Y64" s="517"/>
      <c r="Z64" s="517"/>
      <c r="AA64" s="517"/>
      <c r="AB64" s="517"/>
      <c r="AC64" s="517"/>
      <c r="AD64" s="517"/>
      <c r="AE64" s="517"/>
      <c r="AF64" s="517"/>
      <c r="AG64" s="517"/>
      <c r="AH64" s="556"/>
      <c r="AI64" s="556"/>
    </row>
    <row r="65" spans="1:36" ht="21.95" customHeight="1">
      <c r="A65" s="361"/>
      <c r="B65" s="361"/>
      <c r="C65" s="538"/>
      <c r="D65" s="517"/>
      <c r="E65" s="517"/>
      <c r="F65" s="517"/>
      <c r="G65" s="517"/>
      <c r="H65" s="517"/>
      <c r="I65" s="517"/>
      <c r="J65" s="517"/>
      <c r="K65" s="517"/>
      <c r="L65" s="517"/>
      <c r="M65" s="517"/>
      <c r="N65" s="517"/>
      <c r="O65" s="517"/>
      <c r="P65" s="517"/>
      <c r="Q65" s="517"/>
      <c r="R65" s="517"/>
      <c r="S65" s="517"/>
      <c r="T65" s="517"/>
      <c r="U65" s="517"/>
      <c r="V65" s="517"/>
      <c r="W65" s="517"/>
      <c r="X65" s="517"/>
      <c r="Y65" s="517"/>
      <c r="Z65" s="517"/>
      <c r="AA65" s="517"/>
      <c r="AB65" s="517"/>
      <c r="AC65" s="517"/>
      <c r="AD65" s="517"/>
      <c r="AE65" s="517"/>
      <c r="AF65" s="517"/>
      <c r="AG65" s="517"/>
      <c r="AH65" s="556"/>
      <c r="AI65" s="556"/>
    </row>
    <row r="66" spans="1:36" ht="21.95" customHeight="1" thickBot="1">
      <c r="A66" s="1" t="s">
        <v>541</v>
      </c>
      <c r="D66" s="361"/>
      <c r="E66" s="361"/>
      <c r="F66" s="361"/>
      <c r="G66" s="546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36" ht="21.95" customHeight="1">
      <c r="A67" s="1"/>
      <c r="B67" s="23" t="s">
        <v>542</v>
      </c>
      <c r="C67" s="7"/>
      <c r="D67" s="522" t="s">
        <v>2</v>
      </c>
      <c r="E67" s="51"/>
      <c r="F67" s="548"/>
      <c r="G67" s="7"/>
      <c r="H67" s="522" t="s">
        <v>3</v>
      </c>
      <c r="I67" s="51"/>
      <c r="J67" s="548"/>
      <c r="K67" s="7"/>
      <c r="L67" s="522" t="s">
        <v>4</v>
      </c>
      <c r="M67" s="51"/>
      <c r="N67" s="548"/>
      <c r="O67" s="7"/>
      <c r="P67" s="522" t="s">
        <v>5</v>
      </c>
      <c r="Q67" s="51"/>
      <c r="R67" s="548"/>
      <c r="S67" s="7"/>
      <c r="T67" s="522" t="s">
        <v>6</v>
      </c>
      <c r="U67" s="51"/>
      <c r="V67" s="548"/>
      <c r="W67" s="27"/>
      <c r="X67" s="713" t="s">
        <v>7</v>
      </c>
      <c r="Y67" s="519"/>
      <c r="Z67" s="238"/>
      <c r="AA67" s="7"/>
      <c r="AB67" s="522" t="s">
        <v>8</v>
      </c>
      <c r="AC67" s="51"/>
      <c r="AD67" s="51"/>
      <c r="AE67" s="349" t="s">
        <v>9</v>
      </c>
      <c r="AF67" s="51"/>
      <c r="AG67" s="51"/>
      <c r="AH67" s="51"/>
      <c r="AI67" s="523"/>
    </row>
    <row r="68" spans="1:36" ht="21.95" customHeight="1">
      <c r="A68" s="1"/>
      <c r="B68" s="129" t="s">
        <v>324</v>
      </c>
      <c r="C68" s="563" t="s">
        <v>735</v>
      </c>
      <c r="E68" s="157"/>
      <c r="F68" s="564"/>
      <c r="G68" s="563" t="s">
        <v>735</v>
      </c>
      <c r="H68" s="157"/>
      <c r="I68" s="157"/>
      <c r="J68" s="564"/>
      <c r="K68" s="563" t="s">
        <v>735</v>
      </c>
      <c r="L68" s="157"/>
      <c r="M68" s="157"/>
      <c r="N68" s="564"/>
      <c r="O68" s="563" t="s">
        <v>544</v>
      </c>
      <c r="P68" s="157"/>
      <c r="Q68" s="157"/>
      <c r="R68" s="564"/>
      <c r="S68" s="563" t="s">
        <v>736</v>
      </c>
      <c r="T68" s="157"/>
      <c r="U68" s="157"/>
      <c r="V68" s="565"/>
      <c r="W68" s="714"/>
      <c r="X68" s="715"/>
      <c r="Y68" s="715"/>
      <c r="Z68" s="716"/>
      <c r="AA68" s="565"/>
      <c r="AB68" s="157"/>
      <c r="AC68" s="157"/>
      <c r="AD68" s="565"/>
      <c r="AE68" s="121">
        <v>37</v>
      </c>
      <c r="AG68" s="157"/>
      <c r="AH68" s="565"/>
      <c r="AI68" s="490"/>
    </row>
    <row r="69" spans="1:36" ht="21.95" customHeight="1">
      <c r="A69" s="1"/>
      <c r="B69" s="129" t="s">
        <v>325</v>
      </c>
      <c r="C69" s="563" t="s">
        <v>546</v>
      </c>
      <c r="D69" s="157"/>
      <c r="E69" s="157"/>
      <c r="F69" s="564"/>
      <c r="G69" s="563" t="s">
        <v>546</v>
      </c>
      <c r="H69" s="157"/>
      <c r="I69" s="157"/>
      <c r="J69" s="564"/>
      <c r="K69" s="563" t="s">
        <v>546</v>
      </c>
      <c r="L69" s="157"/>
      <c r="M69" s="157"/>
      <c r="N69" s="564"/>
      <c r="O69" s="563" t="s">
        <v>547</v>
      </c>
      <c r="P69" s="157"/>
      <c r="Q69" s="157"/>
      <c r="R69" s="564"/>
      <c r="S69" s="563" t="s">
        <v>548</v>
      </c>
      <c r="T69" s="157"/>
      <c r="U69" s="157"/>
      <c r="V69" s="564"/>
      <c r="W69" s="604" t="s">
        <v>549</v>
      </c>
      <c r="X69" s="55"/>
      <c r="Y69" s="55"/>
      <c r="Z69" s="55"/>
      <c r="AA69" s="563" t="s">
        <v>550</v>
      </c>
      <c r="AB69" s="563"/>
      <c r="AC69" s="563"/>
      <c r="AD69" s="563"/>
      <c r="AE69" s="155">
        <v>68.25</v>
      </c>
      <c r="AF69" s="157"/>
      <c r="AG69" s="567"/>
      <c r="AH69" s="568"/>
      <c r="AI69" s="569"/>
    </row>
    <row r="70" spans="1:36" ht="21.95" customHeight="1">
      <c r="A70" s="1"/>
      <c r="B70" s="129" t="s">
        <v>326</v>
      </c>
      <c r="C70" s="712" t="s">
        <v>167</v>
      </c>
      <c r="D70" s="157"/>
      <c r="E70" s="157"/>
      <c r="F70" s="564"/>
      <c r="G70" s="157" t="s">
        <v>167</v>
      </c>
      <c r="H70" s="157"/>
      <c r="I70" s="157"/>
      <c r="J70" s="564"/>
      <c r="K70" s="157" t="s">
        <v>167</v>
      </c>
      <c r="L70" s="157"/>
      <c r="M70" s="157"/>
      <c r="N70" s="564"/>
      <c r="O70" s="157" t="s">
        <v>167</v>
      </c>
      <c r="P70" s="157"/>
      <c r="Q70" s="157"/>
      <c r="R70" s="564"/>
      <c r="S70" s="157" t="s">
        <v>167</v>
      </c>
      <c r="T70" s="157"/>
      <c r="U70" s="157"/>
      <c r="V70" s="564"/>
      <c r="W70" s="563"/>
      <c r="X70" s="157"/>
      <c r="Y70" s="157"/>
      <c r="Z70" s="564"/>
      <c r="AA70" s="563"/>
      <c r="AB70" s="157"/>
      <c r="AC70" s="157"/>
      <c r="AD70" s="565"/>
      <c r="AE70" s="566">
        <v>0</v>
      </c>
      <c r="AF70" s="567"/>
      <c r="AG70" s="157"/>
      <c r="AH70" s="565"/>
      <c r="AI70" s="490"/>
    </row>
    <row r="71" spans="1:36" ht="21.95" customHeight="1" thickBot="1">
      <c r="A71" s="1"/>
      <c r="B71" s="47"/>
      <c r="C71" s="570"/>
      <c r="D71" s="53"/>
      <c r="E71" s="53"/>
      <c r="F71" s="571"/>
      <c r="G71" s="570"/>
      <c r="H71" s="53"/>
      <c r="I71" s="53"/>
      <c r="J71" s="571"/>
      <c r="K71" s="570"/>
      <c r="L71" s="53"/>
      <c r="M71" s="53"/>
      <c r="N71" s="571"/>
      <c r="O71" s="570"/>
      <c r="P71" s="53"/>
      <c r="Q71" s="53"/>
      <c r="R71" s="571"/>
      <c r="S71" s="570"/>
      <c r="T71" s="53"/>
      <c r="U71" s="53"/>
      <c r="V71" s="571"/>
      <c r="W71" s="53"/>
      <c r="X71" s="53"/>
      <c r="Y71" s="53"/>
      <c r="Z71" s="53"/>
      <c r="AA71" s="53"/>
      <c r="AB71" s="53"/>
      <c r="AC71" s="53"/>
      <c r="AD71" s="53"/>
      <c r="AE71" s="572"/>
      <c r="AF71" s="53"/>
      <c r="AG71" s="53"/>
      <c r="AH71" s="573"/>
      <c r="AI71" s="536"/>
    </row>
    <row r="72" spans="1:36" ht="21.95" customHeight="1" thickBot="1">
      <c r="A72" s="574"/>
      <c r="B72" s="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</row>
    <row r="73" spans="1:36" ht="21.95" customHeight="1" thickBot="1">
      <c r="A73" s="861"/>
      <c r="B73" s="862" t="s">
        <v>476</v>
      </c>
      <c r="C73" s="863">
        <v>1</v>
      </c>
      <c r="D73" s="863">
        <v>2</v>
      </c>
      <c r="E73" s="863">
        <v>3</v>
      </c>
      <c r="F73" s="863">
        <v>4</v>
      </c>
      <c r="G73" s="863">
        <v>5</v>
      </c>
      <c r="H73" s="880">
        <v>6</v>
      </c>
      <c r="I73" s="880">
        <v>7</v>
      </c>
      <c r="J73" s="863">
        <v>8</v>
      </c>
      <c r="K73" s="863">
        <v>9</v>
      </c>
      <c r="L73" s="863">
        <v>10</v>
      </c>
      <c r="M73" s="863">
        <v>11</v>
      </c>
      <c r="N73" s="863">
        <v>12</v>
      </c>
      <c r="O73" s="880">
        <v>13</v>
      </c>
      <c r="P73" s="880">
        <v>14</v>
      </c>
      <c r="Q73" s="863">
        <v>15</v>
      </c>
      <c r="R73" s="863">
        <v>16</v>
      </c>
      <c r="S73" s="863">
        <v>17</v>
      </c>
      <c r="T73" s="863">
        <v>18</v>
      </c>
      <c r="U73" s="863">
        <v>19</v>
      </c>
      <c r="V73" s="880">
        <v>20</v>
      </c>
      <c r="W73" s="880">
        <v>21</v>
      </c>
      <c r="X73" s="863">
        <v>22</v>
      </c>
      <c r="Y73" s="863">
        <v>23</v>
      </c>
      <c r="Z73" s="863">
        <v>24</v>
      </c>
      <c r="AA73" s="863">
        <v>25</v>
      </c>
      <c r="AB73" s="863">
        <v>26</v>
      </c>
      <c r="AC73" s="880">
        <v>27</v>
      </c>
      <c r="AD73" s="880">
        <v>28</v>
      </c>
      <c r="AE73" s="863">
        <v>29</v>
      </c>
      <c r="AF73" s="863">
        <v>30</v>
      </c>
      <c r="AG73" s="943"/>
      <c r="AH73" s="864" t="s">
        <v>477</v>
      </c>
      <c r="AI73" s="865" t="s">
        <v>478</v>
      </c>
    </row>
    <row r="74" spans="1:36" ht="21.95" customHeight="1">
      <c r="A74" s="870">
        <v>1</v>
      </c>
      <c r="B74" s="836" t="s">
        <v>551</v>
      </c>
      <c r="C74" s="976" t="s">
        <v>481</v>
      </c>
      <c r="D74" s="976" t="s">
        <v>481</v>
      </c>
      <c r="E74" s="976" t="s">
        <v>481</v>
      </c>
      <c r="F74" s="976" t="s">
        <v>481</v>
      </c>
      <c r="G74" s="976" t="s">
        <v>481</v>
      </c>
      <c r="H74" s="976"/>
      <c r="I74" s="976"/>
      <c r="J74" s="1014" t="s">
        <v>552</v>
      </c>
      <c r="K74" s="871" t="s">
        <v>552</v>
      </c>
      <c r="L74" s="871" t="s">
        <v>552</v>
      </c>
      <c r="M74" s="871" t="s">
        <v>552</v>
      </c>
      <c r="N74" s="871" t="s">
        <v>552</v>
      </c>
      <c r="O74" s="871"/>
      <c r="P74" s="871"/>
      <c r="Q74" s="871" t="s">
        <v>553</v>
      </c>
      <c r="R74" s="871" t="s">
        <v>553</v>
      </c>
      <c r="S74" s="871" t="s">
        <v>553</v>
      </c>
      <c r="T74" s="871" t="s">
        <v>554</v>
      </c>
      <c r="U74" s="871" t="s">
        <v>554</v>
      </c>
      <c r="V74" s="871" t="s">
        <v>555</v>
      </c>
      <c r="W74" s="871" t="s">
        <v>555</v>
      </c>
      <c r="X74" s="871" t="s">
        <v>481</v>
      </c>
      <c r="Y74" s="871" t="s">
        <v>481</v>
      </c>
      <c r="Z74" s="871" t="s">
        <v>481</v>
      </c>
      <c r="AA74" s="871" t="s">
        <v>481</v>
      </c>
      <c r="AB74" s="1263" t="s">
        <v>481</v>
      </c>
      <c r="AC74" s="871"/>
      <c r="AD74" s="871"/>
      <c r="AE74" s="871" t="s">
        <v>552</v>
      </c>
      <c r="AF74" s="871" t="s">
        <v>552</v>
      </c>
      <c r="AG74" s="872"/>
      <c r="AH74" s="510">
        <v>19.5</v>
      </c>
      <c r="AI74" s="511">
        <v>37</v>
      </c>
    </row>
    <row r="75" spans="1:36" ht="21.95" customHeight="1">
      <c r="A75" s="575">
        <v>2</v>
      </c>
      <c r="B75" s="542" t="s">
        <v>556</v>
      </c>
      <c r="C75" s="762" t="s">
        <v>552</v>
      </c>
      <c r="D75" s="762" t="s">
        <v>552</v>
      </c>
      <c r="E75" s="762" t="s">
        <v>552</v>
      </c>
      <c r="F75" s="762" t="s">
        <v>552</v>
      </c>
      <c r="G75" s="762" t="s">
        <v>552</v>
      </c>
      <c r="H75" s="762"/>
      <c r="I75" s="762"/>
      <c r="J75" s="762" t="s">
        <v>553</v>
      </c>
      <c r="K75" s="762" t="s">
        <v>553</v>
      </c>
      <c r="L75" s="762" t="s">
        <v>553</v>
      </c>
      <c r="M75" s="762" t="s">
        <v>554</v>
      </c>
      <c r="N75" s="762" t="s">
        <v>554</v>
      </c>
      <c r="O75" s="1027" t="s">
        <v>555</v>
      </c>
      <c r="P75" s="1027" t="s">
        <v>555</v>
      </c>
      <c r="Q75" s="1025" t="s">
        <v>481</v>
      </c>
      <c r="R75" s="1025" t="s">
        <v>481</v>
      </c>
      <c r="S75" s="1025" t="s">
        <v>481</v>
      </c>
      <c r="T75" s="1025" t="s">
        <v>481</v>
      </c>
      <c r="U75" s="1025" t="s">
        <v>481</v>
      </c>
      <c r="V75" s="762"/>
      <c r="W75" s="762"/>
      <c r="X75" s="762" t="s">
        <v>552</v>
      </c>
      <c r="Y75" s="762" t="s">
        <v>552</v>
      </c>
      <c r="Z75" s="762" t="s">
        <v>552</v>
      </c>
      <c r="AA75" s="762" t="s">
        <v>552</v>
      </c>
      <c r="AB75" s="762" t="s">
        <v>552</v>
      </c>
      <c r="AC75" s="762"/>
      <c r="AD75" s="762"/>
      <c r="AE75" s="1025" t="s">
        <v>553</v>
      </c>
      <c r="AF75" s="762" t="s">
        <v>553</v>
      </c>
      <c r="AG75" s="553"/>
      <c r="AH75" s="924">
        <v>82</v>
      </c>
      <c r="AI75" s="925">
        <v>37</v>
      </c>
    </row>
    <row r="76" spans="1:36" ht="21.95" customHeight="1" thickBot="1">
      <c r="A76" s="873">
        <v>3</v>
      </c>
      <c r="B76" s="874" t="s">
        <v>558</v>
      </c>
      <c r="C76" s="1021" t="s">
        <v>553</v>
      </c>
      <c r="D76" s="1021" t="s">
        <v>553</v>
      </c>
      <c r="E76" s="875" t="s">
        <v>553</v>
      </c>
      <c r="F76" s="875" t="s">
        <v>554</v>
      </c>
      <c r="G76" s="875" t="s">
        <v>554</v>
      </c>
      <c r="H76" s="875" t="s">
        <v>555</v>
      </c>
      <c r="I76" s="875" t="s">
        <v>555</v>
      </c>
      <c r="J76" s="875" t="s">
        <v>481</v>
      </c>
      <c r="K76" s="875" t="s">
        <v>481</v>
      </c>
      <c r="L76" s="875" t="s">
        <v>481</v>
      </c>
      <c r="M76" s="875" t="s">
        <v>481</v>
      </c>
      <c r="N76" s="875" t="s">
        <v>481</v>
      </c>
      <c r="O76" s="875"/>
      <c r="P76" s="875"/>
      <c r="Q76" s="875" t="s">
        <v>552</v>
      </c>
      <c r="R76" s="875" t="s">
        <v>552</v>
      </c>
      <c r="S76" s="875" t="s">
        <v>552</v>
      </c>
      <c r="T76" s="1008" t="s">
        <v>552</v>
      </c>
      <c r="U76" s="1008" t="s">
        <v>552</v>
      </c>
      <c r="V76" s="875"/>
      <c r="W76" s="875"/>
      <c r="X76" s="1045" t="s">
        <v>553</v>
      </c>
      <c r="Y76" s="1045" t="s">
        <v>553</v>
      </c>
      <c r="Z76" s="875" t="s">
        <v>553</v>
      </c>
      <c r="AA76" s="875" t="s">
        <v>554</v>
      </c>
      <c r="AB76" s="875" t="s">
        <v>554</v>
      </c>
      <c r="AC76" s="875" t="s">
        <v>555</v>
      </c>
      <c r="AD76" s="875" t="s">
        <v>555</v>
      </c>
      <c r="AE76" s="875" t="s">
        <v>481</v>
      </c>
      <c r="AF76" s="875" t="s">
        <v>481</v>
      </c>
      <c r="AG76" s="876"/>
      <c r="AH76" s="868">
        <v>107.75</v>
      </c>
      <c r="AI76" s="869">
        <v>37</v>
      </c>
    </row>
    <row r="77" spans="1:36" ht="21.95" customHeight="1"/>
    <row r="78" spans="1:36" ht="21.95" customHeight="1" thickBot="1">
      <c r="A78" s="312" t="s">
        <v>559</v>
      </c>
      <c r="C78" s="555"/>
      <c r="D78" s="555"/>
      <c r="E78" s="555"/>
      <c r="F78" s="555"/>
      <c r="G78" s="555"/>
      <c r="H78" s="555"/>
      <c r="I78" s="555"/>
      <c r="J78" s="555"/>
      <c r="K78" s="555"/>
      <c r="L78" s="555"/>
      <c r="M78" s="555"/>
      <c r="N78" s="555"/>
      <c r="O78" s="555"/>
      <c r="P78" s="555"/>
      <c r="Q78" s="555"/>
      <c r="R78" s="555"/>
      <c r="S78" s="555"/>
      <c r="T78" s="555"/>
      <c r="U78" s="555"/>
      <c r="V78" s="555"/>
      <c r="W78" s="555"/>
      <c r="X78" s="555"/>
      <c r="Y78" s="555"/>
      <c r="Z78" s="555"/>
      <c r="AA78" s="555"/>
      <c r="AB78" s="555"/>
      <c r="AC78" s="555"/>
      <c r="AD78" s="555"/>
      <c r="AE78" s="555"/>
      <c r="AF78" s="555"/>
      <c r="AH78" s="556"/>
      <c r="AI78" s="556"/>
    </row>
    <row r="79" spans="1:36" ht="21.95" customHeight="1">
      <c r="A79" s="576"/>
      <c r="B79" s="23" t="s">
        <v>542</v>
      </c>
      <c r="C79" s="7"/>
      <c r="D79" s="522" t="s">
        <v>2</v>
      </c>
      <c r="E79" s="51"/>
      <c r="F79" s="548"/>
      <c r="G79" s="7"/>
      <c r="H79" s="522" t="s">
        <v>3</v>
      </c>
      <c r="I79" s="51"/>
      <c r="J79" s="548"/>
      <c r="K79" s="7"/>
      <c r="L79" s="522" t="s">
        <v>4</v>
      </c>
      <c r="M79" s="51"/>
      <c r="N79" s="548"/>
      <c r="O79" s="7"/>
      <c r="P79" s="522" t="s">
        <v>5</v>
      </c>
      <c r="Q79" s="51"/>
      <c r="R79" s="548"/>
      <c r="S79" s="7"/>
      <c r="T79" s="522" t="s">
        <v>6</v>
      </c>
      <c r="U79" s="51"/>
      <c r="V79" s="548"/>
      <c r="W79" s="27"/>
      <c r="X79" s="713" t="s">
        <v>7</v>
      </c>
      <c r="Y79" s="519"/>
      <c r="Z79" s="238"/>
      <c r="AA79" s="7"/>
      <c r="AB79" s="522" t="s">
        <v>8</v>
      </c>
      <c r="AC79" s="51"/>
      <c r="AD79" s="51"/>
      <c r="AE79" s="349" t="s">
        <v>9</v>
      </c>
      <c r="AF79" s="51"/>
      <c r="AG79" s="51"/>
      <c r="AH79" s="51"/>
      <c r="AI79" s="523"/>
      <c r="AJ79" t="s">
        <v>28</v>
      </c>
    </row>
    <row r="80" spans="1:36" ht="21.95" customHeight="1">
      <c r="B80" s="129" t="s">
        <v>324</v>
      </c>
      <c r="C80" s="589" t="s">
        <v>560</v>
      </c>
      <c r="E80" s="157"/>
      <c r="F80" s="564"/>
      <c r="G80" s="563" t="s">
        <v>561</v>
      </c>
      <c r="H80" s="483" t="s">
        <v>562</v>
      </c>
      <c r="I80" s="157"/>
      <c r="J80" s="564"/>
      <c r="K80" s="589" t="s">
        <v>560</v>
      </c>
      <c r="L80" s="483"/>
      <c r="M80" s="483"/>
      <c r="N80" s="588"/>
      <c r="O80" s="589" t="s">
        <v>563</v>
      </c>
      <c r="P80" s="483"/>
      <c r="Q80" s="483"/>
      <c r="R80" s="588"/>
      <c r="S80" s="589" t="s">
        <v>738</v>
      </c>
      <c r="T80" s="483"/>
      <c r="U80" s="483"/>
      <c r="V80" s="477"/>
      <c r="W80" s="714"/>
      <c r="X80" s="715"/>
      <c r="Y80" s="715"/>
      <c r="Z80" s="716"/>
      <c r="AA80" s="565"/>
      <c r="AB80" s="157"/>
      <c r="AC80" s="157"/>
      <c r="AD80" s="565"/>
      <c r="AE80" s="121">
        <v>37</v>
      </c>
      <c r="AG80" s="157"/>
      <c r="AH80" s="565"/>
      <c r="AI80" s="490"/>
    </row>
    <row r="81" spans="1:35" ht="21.95" customHeight="1">
      <c r="B81" s="129" t="s">
        <v>325</v>
      </c>
      <c r="C81" s="589" t="s">
        <v>565</v>
      </c>
      <c r="E81" s="157"/>
      <c r="F81" s="564"/>
      <c r="G81" s="589" t="s">
        <v>565</v>
      </c>
      <c r="I81" s="157"/>
      <c r="J81" s="564"/>
      <c r="K81" s="589" t="s">
        <v>565</v>
      </c>
      <c r="L81" s="157"/>
      <c r="M81" s="157"/>
      <c r="N81" s="564"/>
      <c r="O81" s="589" t="s">
        <v>566</v>
      </c>
      <c r="P81" s="157"/>
      <c r="Q81" s="157"/>
      <c r="R81" s="564"/>
      <c r="S81" s="563" t="s">
        <v>567</v>
      </c>
      <c r="T81" s="157"/>
      <c r="U81" s="157"/>
      <c r="V81" s="564"/>
      <c r="W81" s="604" t="s">
        <v>291</v>
      </c>
      <c r="X81" s="55"/>
      <c r="Y81" s="55"/>
      <c r="Z81" s="55"/>
      <c r="AA81" s="563" t="s">
        <v>28</v>
      </c>
      <c r="AB81" s="563"/>
      <c r="AC81" s="563"/>
      <c r="AD81" s="563"/>
      <c r="AE81" s="155">
        <v>37</v>
      </c>
      <c r="AF81" s="157"/>
      <c r="AG81" s="567"/>
      <c r="AH81" s="568"/>
      <c r="AI81" s="569"/>
    </row>
    <row r="82" spans="1:35" ht="21.95" customHeight="1">
      <c r="B82" s="129" t="s">
        <v>326</v>
      </c>
      <c r="C82" s="834" t="s">
        <v>568</v>
      </c>
      <c r="D82" s="157"/>
      <c r="E82" s="157"/>
      <c r="F82" s="564"/>
      <c r="G82" s="157" t="s">
        <v>569</v>
      </c>
      <c r="H82" s="157"/>
      <c r="I82" s="157"/>
      <c r="J82" s="564"/>
      <c r="K82" s="835" t="s">
        <v>570</v>
      </c>
      <c r="L82" s="157"/>
      <c r="M82" s="157"/>
      <c r="N82" s="564"/>
      <c r="O82" s="835" t="s">
        <v>571</v>
      </c>
      <c r="P82" s="157"/>
      <c r="Q82" s="157"/>
      <c r="R82" s="564"/>
      <c r="S82" s="835" t="s">
        <v>571</v>
      </c>
      <c r="T82" s="157"/>
      <c r="U82" s="157"/>
      <c r="V82" s="564"/>
      <c r="W82" s="563"/>
      <c r="X82" s="157"/>
      <c r="Y82" s="157"/>
      <c r="Z82" s="564"/>
      <c r="AA82" s="563"/>
      <c r="AB82" s="157"/>
      <c r="AC82" s="157"/>
      <c r="AD82" s="565"/>
      <c r="AE82" s="566">
        <v>36</v>
      </c>
      <c r="AF82" s="567"/>
      <c r="AG82" s="157"/>
      <c r="AH82" s="565"/>
      <c r="AI82" s="490"/>
    </row>
    <row r="83" spans="1:35" ht="21.95" customHeight="1" thickBot="1">
      <c r="B83" s="47"/>
      <c r="C83" s="570"/>
      <c r="D83" s="53"/>
      <c r="E83" s="53"/>
      <c r="F83" s="571"/>
      <c r="G83" s="570"/>
      <c r="H83" s="53"/>
      <c r="I83" s="53"/>
      <c r="J83" s="571"/>
      <c r="K83" s="570"/>
      <c r="L83" s="53"/>
      <c r="M83" s="53"/>
      <c r="N83" s="571"/>
      <c r="O83" s="570"/>
      <c r="P83" s="53"/>
      <c r="Q83" s="53"/>
      <c r="R83" s="571"/>
      <c r="S83" s="570"/>
      <c r="T83" s="53"/>
      <c r="U83" s="53"/>
      <c r="V83" s="571"/>
      <c r="W83" s="53"/>
      <c r="X83" s="53"/>
      <c r="Y83" s="53"/>
      <c r="Z83" s="53"/>
      <c r="AA83" s="53"/>
      <c r="AB83" s="53"/>
      <c r="AC83" s="53"/>
      <c r="AD83" s="53"/>
      <c r="AE83" s="572"/>
      <c r="AF83" s="53"/>
      <c r="AG83" s="53"/>
      <c r="AH83" s="573"/>
      <c r="AI83" s="536"/>
    </row>
    <row r="84" spans="1:35" ht="21.95" customHeight="1" thickBot="1"/>
    <row r="85" spans="1:35" ht="21.95" customHeight="1" thickBot="1">
      <c r="A85" s="861"/>
      <c r="B85" s="862" t="s">
        <v>476</v>
      </c>
      <c r="C85" s="863">
        <v>1</v>
      </c>
      <c r="D85" s="863">
        <v>2</v>
      </c>
      <c r="E85" s="863">
        <v>3</v>
      </c>
      <c r="F85" s="863">
        <v>4</v>
      </c>
      <c r="G85" s="863">
        <v>5</v>
      </c>
      <c r="H85" s="880">
        <v>6</v>
      </c>
      <c r="I85" s="880">
        <v>7</v>
      </c>
      <c r="J85" s="863">
        <v>8</v>
      </c>
      <c r="K85" s="863">
        <v>9</v>
      </c>
      <c r="L85" s="863">
        <v>10</v>
      </c>
      <c r="M85" s="863">
        <v>11</v>
      </c>
      <c r="N85" s="863">
        <v>12</v>
      </c>
      <c r="O85" s="880">
        <v>13</v>
      </c>
      <c r="P85" s="880">
        <v>14</v>
      </c>
      <c r="Q85" s="863">
        <v>15</v>
      </c>
      <c r="R85" s="863">
        <v>16</v>
      </c>
      <c r="S85" s="863">
        <v>17</v>
      </c>
      <c r="T85" s="863">
        <v>18</v>
      </c>
      <c r="U85" s="863">
        <v>19</v>
      </c>
      <c r="V85" s="880">
        <v>20</v>
      </c>
      <c r="W85" s="880">
        <v>21</v>
      </c>
      <c r="X85" s="863">
        <v>22</v>
      </c>
      <c r="Y85" s="863">
        <v>23</v>
      </c>
      <c r="Z85" s="863">
        <v>24</v>
      </c>
      <c r="AA85" s="863">
        <v>25</v>
      </c>
      <c r="AB85" s="863">
        <v>26</v>
      </c>
      <c r="AC85" s="880">
        <v>27</v>
      </c>
      <c r="AD85" s="880">
        <v>28</v>
      </c>
      <c r="AE85" s="863">
        <v>29</v>
      </c>
      <c r="AF85" s="863">
        <v>30</v>
      </c>
      <c r="AG85" s="863"/>
      <c r="AH85" s="864" t="s">
        <v>477</v>
      </c>
      <c r="AI85" s="865" t="s">
        <v>478</v>
      </c>
    </row>
    <row r="86" spans="1:35" ht="21.95" customHeight="1" thickBot="1">
      <c r="A86" s="870">
        <v>1</v>
      </c>
      <c r="B86" s="54" t="s">
        <v>572</v>
      </c>
      <c r="C86" s="871" t="s">
        <v>554</v>
      </c>
      <c r="D86" s="871" t="s">
        <v>554</v>
      </c>
      <c r="E86" s="871" t="s">
        <v>607</v>
      </c>
      <c r="F86" s="871" t="s">
        <v>553</v>
      </c>
      <c r="G86" s="871" t="s">
        <v>553</v>
      </c>
      <c r="H86" s="871"/>
      <c r="I86" s="871"/>
      <c r="J86" s="871" t="s">
        <v>561</v>
      </c>
      <c r="K86" s="871" t="s">
        <v>561</v>
      </c>
      <c r="L86" s="871" t="s">
        <v>561</v>
      </c>
      <c r="M86" s="871" t="s">
        <v>561</v>
      </c>
      <c r="N86" s="871" t="s">
        <v>561</v>
      </c>
      <c r="O86" s="871"/>
      <c r="P86" s="871"/>
      <c r="Q86" s="871" t="s">
        <v>573</v>
      </c>
      <c r="R86" s="871" t="s">
        <v>573</v>
      </c>
      <c r="S86" s="871" t="s">
        <v>573</v>
      </c>
      <c r="T86" s="871" t="s">
        <v>573</v>
      </c>
      <c r="U86" s="871" t="s">
        <v>573</v>
      </c>
      <c r="V86" s="871"/>
      <c r="W86" s="871"/>
      <c r="X86" s="1041" t="s">
        <v>554</v>
      </c>
      <c r="Y86" s="1041" t="s">
        <v>554</v>
      </c>
      <c r="Z86" s="1041" t="s">
        <v>554</v>
      </c>
      <c r="AA86" s="1041" t="s">
        <v>553</v>
      </c>
      <c r="AB86" s="1041" t="s">
        <v>553</v>
      </c>
      <c r="AC86" s="871"/>
      <c r="AD86" s="871"/>
      <c r="AE86" s="871" t="s">
        <v>561</v>
      </c>
      <c r="AF86" s="871" t="s">
        <v>561</v>
      </c>
      <c r="AG86" s="871"/>
      <c r="AH86" s="510">
        <v>130.5</v>
      </c>
      <c r="AI86" s="511">
        <v>37</v>
      </c>
    </row>
    <row r="87" spans="1:35" ht="21.95" customHeight="1" thickBot="1">
      <c r="A87" s="575">
        <v>2</v>
      </c>
      <c r="B87" s="853" t="s">
        <v>574</v>
      </c>
      <c r="C87" s="762" t="s">
        <v>561</v>
      </c>
      <c r="D87" s="762" t="s">
        <v>561</v>
      </c>
      <c r="E87" s="762" t="s">
        <v>561</v>
      </c>
      <c r="F87" s="762" t="s">
        <v>561</v>
      </c>
      <c r="G87" s="762" t="s">
        <v>561</v>
      </c>
      <c r="H87" s="762"/>
      <c r="I87" s="762"/>
      <c r="J87" s="875" t="s">
        <v>573</v>
      </c>
      <c r="K87" s="875" t="s">
        <v>573</v>
      </c>
      <c r="L87" s="875" t="s">
        <v>573</v>
      </c>
      <c r="M87" s="875" t="s">
        <v>573</v>
      </c>
      <c r="N87" s="875" t="s">
        <v>573</v>
      </c>
      <c r="O87" s="762"/>
      <c r="P87" s="762"/>
      <c r="Q87" s="875" t="s">
        <v>554</v>
      </c>
      <c r="R87" s="875" t="s">
        <v>554</v>
      </c>
      <c r="S87" s="875" t="s">
        <v>554</v>
      </c>
      <c r="T87" s="875" t="s">
        <v>553</v>
      </c>
      <c r="U87" s="875" t="s">
        <v>553</v>
      </c>
      <c r="V87" s="762"/>
      <c r="W87" s="762"/>
      <c r="X87" s="762" t="s">
        <v>561</v>
      </c>
      <c r="Y87" s="1178" t="s">
        <v>561</v>
      </c>
      <c r="Z87" s="1178" t="s">
        <v>561</v>
      </c>
      <c r="AA87" s="875" t="s">
        <v>561</v>
      </c>
      <c r="AB87" s="875" t="s">
        <v>561</v>
      </c>
      <c r="AC87" s="762"/>
      <c r="AD87" s="762"/>
      <c r="AE87" s="763">
        <v>4</v>
      </c>
      <c r="AF87" s="762" t="s">
        <v>573</v>
      </c>
      <c r="AG87" s="762"/>
      <c r="AH87" s="924">
        <v>122.25</v>
      </c>
      <c r="AI87" s="925">
        <v>37</v>
      </c>
    </row>
    <row r="88" spans="1:35" ht="21.95" customHeight="1" thickBot="1">
      <c r="A88" s="877">
        <v>3</v>
      </c>
      <c r="B88" s="878" t="s">
        <v>575</v>
      </c>
      <c r="C88" s="875" t="s">
        <v>573</v>
      </c>
      <c r="D88" s="875" t="s">
        <v>573</v>
      </c>
      <c r="E88" s="875" t="s">
        <v>554</v>
      </c>
      <c r="F88" s="875" t="s">
        <v>573</v>
      </c>
      <c r="G88" s="875" t="s">
        <v>573</v>
      </c>
      <c r="H88" s="875"/>
      <c r="I88" s="875"/>
      <c r="J88" s="875" t="s">
        <v>554</v>
      </c>
      <c r="K88" s="875" t="s">
        <v>554</v>
      </c>
      <c r="L88" s="875" t="s">
        <v>554</v>
      </c>
      <c r="M88" s="875" t="s">
        <v>553</v>
      </c>
      <c r="N88" s="875" t="s">
        <v>553</v>
      </c>
      <c r="O88" s="875"/>
      <c r="P88" s="875"/>
      <c r="Q88" s="867">
        <v>4</v>
      </c>
      <c r="R88" s="867">
        <v>4</v>
      </c>
      <c r="S88" s="867">
        <v>4</v>
      </c>
      <c r="T88" s="875" t="s">
        <v>561</v>
      </c>
      <c r="U88" s="875" t="s">
        <v>561</v>
      </c>
      <c r="V88" s="875"/>
      <c r="W88" s="875"/>
      <c r="X88" s="875" t="s">
        <v>573</v>
      </c>
      <c r="Y88" s="875" t="s">
        <v>573</v>
      </c>
      <c r="Z88" s="875" t="s">
        <v>573</v>
      </c>
      <c r="AA88" s="875" t="s">
        <v>573</v>
      </c>
      <c r="AB88" s="875" t="s">
        <v>573</v>
      </c>
      <c r="AC88" s="875"/>
      <c r="AD88" s="875"/>
      <c r="AE88" s="762" t="s">
        <v>554</v>
      </c>
      <c r="AF88" s="762" t="s">
        <v>554</v>
      </c>
      <c r="AG88" s="875"/>
      <c r="AH88" s="868">
        <v>128.69999999999999</v>
      </c>
      <c r="AI88" s="869">
        <v>37</v>
      </c>
    </row>
    <row r="89" spans="1:35" ht="21.95" customHeight="1">
      <c r="A89" s="576"/>
      <c r="B89" s="583"/>
      <c r="C89" s="583"/>
      <c r="D89" s="583"/>
      <c r="E89" s="583"/>
      <c r="F89" s="583"/>
      <c r="G89" s="583"/>
      <c r="H89" s="583"/>
      <c r="I89" s="555"/>
      <c r="J89" s="555"/>
      <c r="K89" s="555"/>
      <c r="L89" s="555"/>
      <c r="M89" s="555"/>
      <c r="N89" s="555"/>
      <c r="O89" s="555"/>
      <c r="P89" s="555"/>
      <c r="Q89" s="555"/>
      <c r="R89" s="555"/>
      <c r="S89" s="555"/>
      <c r="T89" s="555"/>
      <c r="U89" s="555"/>
      <c r="V89" s="555"/>
      <c r="W89" s="555"/>
      <c r="X89" s="555"/>
      <c r="Y89" s="555"/>
      <c r="Z89" s="555"/>
      <c r="AA89" s="555"/>
      <c r="AB89" s="555"/>
      <c r="AC89" s="555"/>
      <c r="AD89" s="555"/>
      <c r="AE89" s="555"/>
      <c r="AF89" s="555"/>
      <c r="AH89" s="556"/>
      <c r="AI89" s="556"/>
    </row>
    <row r="90" spans="1:35" ht="21.95" customHeight="1">
      <c r="A90" s="576"/>
      <c r="B90" s="583"/>
      <c r="C90" s="555"/>
      <c r="D90" s="555"/>
      <c r="E90" s="555"/>
      <c r="F90" s="555"/>
      <c r="G90" s="555"/>
      <c r="H90" s="555"/>
      <c r="I90" s="555"/>
      <c r="J90" s="555"/>
      <c r="K90" s="555"/>
      <c r="L90" s="555"/>
      <c r="M90" s="555"/>
      <c r="N90" s="555"/>
      <c r="O90" s="555"/>
      <c r="P90" s="555"/>
      <c r="Q90" s="555"/>
      <c r="R90" s="555"/>
      <c r="S90" s="555"/>
      <c r="T90" s="555"/>
      <c r="U90" s="555"/>
      <c r="V90" s="555"/>
      <c r="W90" s="555"/>
      <c r="X90" s="555"/>
      <c r="Y90" s="555"/>
      <c r="Z90" s="555"/>
      <c r="AA90" s="555"/>
      <c r="AB90" s="555"/>
      <c r="AC90" s="555"/>
      <c r="AD90" s="555"/>
      <c r="AE90" s="555"/>
      <c r="AF90" s="555"/>
      <c r="AG90" s="555"/>
      <c r="AH90" s="556"/>
      <c r="AI90" s="556"/>
    </row>
    <row r="91" spans="1:35" ht="21.95" customHeight="1" thickBot="1">
      <c r="A91" s="1" t="s">
        <v>576</v>
      </c>
      <c r="D91" s="361"/>
      <c r="E91" s="361"/>
      <c r="F91" s="361"/>
      <c r="G91" s="546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5" ht="21.95" customHeight="1">
      <c r="A92" s="1"/>
      <c r="B92" s="23" t="s">
        <v>577</v>
      </c>
      <c r="C92" s="7"/>
      <c r="D92" s="522" t="s">
        <v>2</v>
      </c>
      <c r="E92" s="51"/>
      <c r="F92" s="548"/>
      <c r="G92" s="7"/>
      <c r="H92" s="522" t="s">
        <v>3</v>
      </c>
      <c r="I92" s="51"/>
      <c r="J92" s="548"/>
      <c r="K92" s="7"/>
      <c r="L92" s="522" t="s">
        <v>4</v>
      </c>
      <c r="M92" s="51"/>
      <c r="N92" s="548"/>
      <c r="O92" s="7"/>
      <c r="P92" s="522" t="s">
        <v>5</v>
      </c>
      <c r="Q92" s="51"/>
      <c r="R92" s="548"/>
      <c r="S92" s="7"/>
      <c r="T92" s="522" t="s">
        <v>6</v>
      </c>
      <c r="U92" s="51"/>
      <c r="V92" s="548"/>
      <c r="W92" s="7"/>
      <c r="X92" s="522" t="s">
        <v>7</v>
      </c>
      <c r="Y92" s="51"/>
      <c r="Z92" s="548"/>
      <c r="AA92" s="7"/>
      <c r="AB92" s="522" t="s">
        <v>8</v>
      </c>
      <c r="AC92" s="51"/>
      <c r="AD92" s="51"/>
      <c r="AE92" s="425" t="s">
        <v>10</v>
      </c>
      <c r="AF92" s="51"/>
      <c r="AG92" s="51"/>
      <c r="AH92" s="51"/>
      <c r="AI92" s="523"/>
    </row>
    <row r="93" spans="1:35" ht="21.95" customHeight="1">
      <c r="A93" s="1"/>
      <c r="B93" s="129" t="s">
        <v>324</v>
      </c>
      <c r="C93" s="121" t="s">
        <v>578</v>
      </c>
      <c r="D93" s="157"/>
      <c r="E93" s="157"/>
      <c r="F93" s="564"/>
      <c r="G93" s="121" t="s">
        <v>578</v>
      </c>
      <c r="H93" s="157"/>
      <c r="I93" s="157"/>
      <c r="J93" s="564"/>
      <c r="K93" s="121" t="s">
        <v>578</v>
      </c>
      <c r="L93" s="157"/>
      <c r="M93" s="157"/>
      <c r="N93" s="564"/>
      <c r="O93" s="121" t="s">
        <v>579</v>
      </c>
      <c r="P93" s="157"/>
      <c r="Q93" s="157"/>
      <c r="R93" s="564"/>
      <c r="S93" s="121" t="s">
        <v>167</v>
      </c>
      <c r="T93" s="157"/>
      <c r="U93" s="157"/>
      <c r="V93" s="564"/>
      <c r="W93" s="795"/>
      <c r="X93" s="577"/>
      <c r="Y93" s="577"/>
      <c r="Z93" s="578"/>
      <c r="AA93" s="563"/>
      <c r="AB93" s="157"/>
      <c r="AC93" s="157"/>
      <c r="AD93" s="565"/>
      <c r="AE93" s="128">
        <v>27</v>
      </c>
      <c r="AF93" s="157"/>
      <c r="AG93" s="157" t="s">
        <v>28</v>
      </c>
      <c r="AH93" s="565"/>
      <c r="AI93" s="490"/>
    </row>
    <row r="94" spans="1:35" ht="21.95" customHeight="1">
      <c r="A94" s="1"/>
      <c r="B94" s="129" t="s">
        <v>325</v>
      </c>
      <c r="C94" s="121" t="s">
        <v>580</v>
      </c>
      <c r="D94" s="157"/>
      <c r="E94" s="157"/>
      <c r="F94" s="564"/>
      <c r="G94" s="121" t="s">
        <v>580</v>
      </c>
      <c r="H94" s="157"/>
      <c r="I94" s="157"/>
      <c r="J94" s="564"/>
      <c r="K94" s="121" t="s">
        <v>580</v>
      </c>
      <c r="L94" s="157"/>
      <c r="M94" s="157"/>
      <c r="N94" s="564"/>
      <c r="O94" s="121" t="s">
        <v>580</v>
      </c>
      <c r="P94" s="157"/>
      <c r="Q94" s="157"/>
      <c r="R94" s="564"/>
      <c r="S94" s="121" t="s">
        <v>578</v>
      </c>
      <c r="T94" s="157"/>
      <c r="U94" s="157"/>
      <c r="V94" s="564"/>
      <c r="W94" s="121"/>
      <c r="X94" s="157"/>
      <c r="Y94" s="157"/>
      <c r="Z94" s="564"/>
      <c r="AA94" s="157"/>
      <c r="AB94" s="157"/>
      <c r="AC94" s="157"/>
      <c r="AD94" s="565"/>
      <c r="AE94" s="128">
        <v>39</v>
      </c>
      <c r="AF94" s="157"/>
      <c r="AG94" s="157"/>
      <c r="AH94" s="565"/>
      <c r="AI94" s="490"/>
    </row>
    <row r="95" spans="1:35" ht="21.95" customHeight="1">
      <c r="A95" s="1"/>
      <c r="B95" s="129" t="s">
        <v>326</v>
      </c>
      <c r="C95" s="121" t="s">
        <v>580</v>
      </c>
      <c r="D95" s="157"/>
      <c r="E95" s="157"/>
      <c r="F95" s="564"/>
      <c r="G95" s="121" t="s">
        <v>580</v>
      </c>
      <c r="H95" s="157"/>
      <c r="I95" s="157"/>
      <c r="J95" s="564"/>
      <c r="K95" s="121" t="s">
        <v>580</v>
      </c>
      <c r="L95" s="157"/>
      <c r="M95" s="157"/>
      <c r="N95" s="564"/>
      <c r="O95" s="121" t="s">
        <v>580</v>
      </c>
      <c r="P95" s="157"/>
      <c r="Q95" s="157"/>
      <c r="R95" s="564"/>
      <c r="S95" s="121" t="s">
        <v>580</v>
      </c>
      <c r="T95" s="157"/>
      <c r="U95" s="157"/>
      <c r="V95" s="564"/>
      <c r="W95" s="584" t="s">
        <v>581</v>
      </c>
      <c r="X95" s="135"/>
      <c r="Y95" s="135"/>
      <c r="Z95" s="580"/>
      <c r="AA95" s="579"/>
      <c r="AB95" s="135"/>
      <c r="AC95" s="135"/>
      <c r="AD95" s="581"/>
      <c r="AE95" s="128">
        <v>45</v>
      </c>
      <c r="AF95" s="157"/>
      <c r="AG95" s="157"/>
      <c r="AH95" s="565"/>
      <c r="AI95" s="490"/>
    </row>
    <row r="96" spans="1:35" ht="21.95" customHeight="1" thickBot="1">
      <c r="A96" s="1"/>
      <c r="B96" s="16" t="s">
        <v>236</v>
      </c>
      <c r="C96" s="57"/>
      <c r="D96" s="53"/>
      <c r="E96" s="53"/>
      <c r="F96" s="571"/>
      <c r="G96" s="57"/>
      <c r="H96" s="53"/>
      <c r="I96" s="53"/>
      <c r="J96" s="571"/>
      <c r="K96" s="57"/>
      <c r="L96" s="53"/>
      <c r="M96" s="53"/>
      <c r="N96" s="571"/>
      <c r="O96" s="57"/>
      <c r="P96" s="53"/>
      <c r="Q96" s="53"/>
      <c r="R96" s="571"/>
      <c r="S96" s="57"/>
      <c r="T96" s="53"/>
      <c r="U96" s="53"/>
      <c r="V96" s="573"/>
      <c r="W96" s="57"/>
      <c r="X96" s="573"/>
      <c r="Y96" s="53"/>
      <c r="Z96" s="571"/>
      <c r="AA96" s="57"/>
      <c r="AB96" s="573"/>
      <c r="AC96" s="53"/>
      <c r="AD96" s="571"/>
      <c r="AE96" s="582"/>
      <c r="AF96" s="53"/>
      <c r="AG96" s="53"/>
      <c r="AH96" s="573"/>
      <c r="AI96" s="536"/>
    </row>
    <row r="97" spans="1:35" ht="21.95" customHeight="1" thickBot="1">
      <c r="A97" s="574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 thickBot="1">
      <c r="A98" s="861"/>
      <c r="B98" s="862" t="s">
        <v>476</v>
      </c>
      <c r="C98" s="863">
        <v>1</v>
      </c>
      <c r="D98" s="863">
        <v>2</v>
      </c>
      <c r="E98" s="863">
        <v>3</v>
      </c>
      <c r="F98" s="863">
        <v>4</v>
      </c>
      <c r="G98" s="863">
        <v>5</v>
      </c>
      <c r="H98" s="880">
        <v>6</v>
      </c>
      <c r="I98" s="880">
        <v>7</v>
      </c>
      <c r="J98" s="863">
        <v>8</v>
      </c>
      <c r="K98" s="863">
        <v>9</v>
      </c>
      <c r="L98" s="863">
        <v>10</v>
      </c>
      <c r="M98" s="863">
        <v>11</v>
      </c>
      <c r="N98" s="863">
        <v>12</v>
      </c>
      <c r="O98" s="880">
        <v>13</v>
      </c>
      <c r="P98" s="880">
        <v>14</v>
      </c>
      <c r="Q98" s="863">
        <v>15</v>
      </c>
      <c r="R98" s="863">
        <v>16</v>
      </c>
      <c r="S98" s="863">
        <v>17</v>
      </c>
      <c r="T98" s="863">
        <v>18</v>
      </c>
      <c r="U98" s="863">
        <v>19</v>
      </c>
      <c r="V98" s="880">
        <v>20</v>
      </c>
      <c r="W98" s="880">
        <v>21</v>
      </c>
      <c r="X98" s="863">
        <v>22</v>
      </c>
      <c r="Y98" s="863">
        <v>23</v>
      </c>
      <c r="Z98" s="863">
        <v>24</v>
      </c>
      <c r="AA98" s="863">
        <v>25</v>
      </c>
      <c r="AB98" s="863">
        <v>26</v>
      </c>
      <c r="AC98" s="880">
        <v>27</v>
      </c>
      <c r="AD98" s="880">
        <v>28</v>
      </c>
      <c r="AE98" s="863">
        <v>29</v>
      </c>
      <c r="AF98" s="863">
        <v>30</v>
      </c>
      <c r="AG98" s="863"/>
      <c r="AH98" s="864" t="s">
        <v>477</v>
      </c>
      <c r="AI98" s="865" t="s">
        <v>478</v>
      </c>
    </row>
    <row r="99" spans="1:35" ht="21.95" customHeight="1">
      <c r="A99" s="870">
        <v>1</v>
      </c>
      <c r="B99" s="879" t="s">
        <v>582</v>
      </c>
      <c r="C99" s="764" t="s">
        <v>583</v>
      </c>
      <c r="D99" s="983" t="s">
        <v>586</v>
      </c>
      <c r="E99" s="983" t="s">
        <v>586</v>
      </c>
      <c r="F99" s="764" t="s">
        <v>583</v>
      </c>
      <c r="G99" s="764" t="s">
        <v>583</v>
      </c>
      <c r="H99" s="764" t="s">
        <v>583</v>
      </c>
      <c r="I99" s="764"/>
      <c r="J99" s="983" t="s">
        <v>586</v>
      </c>
      <c r="K99" s="764" t="s">
        <v>584</v>
      </c>
      <c r="L99" s="764" t="s">
        <v>584</v>
      </c>
      <c r="M99" s="965" t="s">
        <v>584</v>
      </c>
      <c r="N99" s="764" t="s">
        <v>481</v>
      </c>
      <c r="O99" s="764"/>
      <c r="P99" s="764"/>
      <c r="Q99" s="764" t="s">
        <v>585</v>
      </c>
      <c r="R99" s="764" t="s">
        <v>585</v>
      </c>
      <c r="S99" s="764" t="s">
        <v>585</v>
      </c>
      <c r="T99" s="764" t="s">
        <v>585</v>
      </c>
      <c r="U99" s="965" t="s">
        <v>585</v>
      </c>
      <c r="V99" s="965"/>
      <c r="W99" s="965"/>
      <c r="X99" s="965" t="s">
        <v>583</v>
      </c>
      <c r="Y99" s="965" t="s">
        <v>583</v>
      </c>
      <c r="Z99" s="965" t="s">
        <v>583</v>
      </c>
      <c r="AA99" s="965" t="s">
        <v>583</v>
      </c>
      <c r="AB99" s="965" t="s">
        <v>583</v>
      </c>
      <c r="AC99" s="972" t="s">
        <v>583</v>
      </c>
      <c r="AD99" s="965"/>
      <c r="AE99" s="965" t="s">
        <v>584</v>
      </c>
      <c r="AF99" s="965" t="s">
        <v>584</v>
      </c>
      <c r="AG99" s="764"/>
      <c r="AH99" s="510">
        <v>100</v>
      </c>
      <c r="AI99" s="511">
        <v>37</v>
      </c>
    </row>
    <row r="100" spans="1:35" ht="21.95" customHeight="1" thickBot="1">
      <c r="A100" s="575">
        <v>2</v>
      </c>
      <c r="B100" s="857" t="s">
        <v>587</v>
      </c>
      <c r="C100" s="768" t="s">
        <v>584</v>
      </c>
      <c r="D100" s="768" t="s">
        <v>584</v>
      </c>
      <c r="E100" s="768" t="s">
        <v>584</v>
      </c>
      <c r="F100" s="768" t="s">
        <v>584</v>
      </c>
      <c r="G100" s="768" t="s">
        <v>481</v>
      </c>
      <c r="H100" s="768"/>
      <c r="I100" s="768"/>
      <c r="J100" s="768" t="s">
        <v>585</v>
      </c>
      <c r="K100" s="768" t="s">
        <v>585</v>
      </c>
      <c r="L100" s="768" t="s">
        <v>585</v>
      </c>
      <c r="M100" s="1131" t="s">
        <v>585</v>
      </c>
      <c r="N100" s="768" t="s">
        <v>585</v>
      </c>
      <c r="O100" s="768"/>
      <c r="P100" s="768"/>
      <c r="Q100" s="768" t="s">
        <v>583</v>
      </c>
      <c r="R100" s="768" t="s">
        <v>583</v>
      </c>
      <c r="S100" s="768" t="s">
        <v>583</v>
      </c>
      <c r="T100" s="768" t="s">
        <v>583</v>
      </c>
      <c r="U100" s="768" t="s">
        <v>583</v>
      </c>
      <c r="V100" s="768" t="s">
        <v>583</v>
      </c>
      <c r="W100" s="768"/>
      <c r="X100" s="1038" t="s">
        <v>584</v>
      </c>
      <c r="Y100" s="1038" t="s">
        <v>584</v>
      </c>
      <c r="Z100" s="1038" t="s">
        <v>584</v>
      </c>
      <c r="AA100" s="1038" t="s">
        <v>584</v>
      </c>
      <c r="AB100" s="768" t="s">
        <v>481</v>
      </c>
      <c r="AC100" s="768"/>
      <c r="AD100" s="768"/>
      <c r="AE100" s="768" t="s">
        <v>585</v>
      </c>
      <c r="AF100" s="768" t="s">
        <v>585</v>
      </c>
      <c r="AG100" s="768"/>
      <c r="AH100" s="924">
        <v>64</v>
      </c>
      <c r="AI100" s="925">
        <v>37</v>
      </c>
    </row>
    <row r="101" spans="1:35" ht="21.95" customHeight="1">
      <c r="A101" s="575">
        <v>3</v>
      </c>
      <c r="B101" s="857" t="s">
        <v>289</v>
      </c>
      <c r="C101" s="970" t="s">
        <v>585</v>
      </c>
      <c r="D101" s="970" t="s">
        <v>585</v>
      </c>
      <c r="E101" s="970" t="s">
        <v>585</v>
      </c>
      <c r="F101" s="970" t="s">
        <v>585</v>
      </c>
      <c r="G101" s="970" t="s">
        <v>585</v>
      </c>
      <c r="H101" s="970"/>
      <c r="I101" s="970"/>
      <c r="J101" s="970" t="s">
        <v>583</v>
      </c>
      <c r="K101" s="970" t="s">
        <v>583</v>
      </c>
      <c r="L101" s="970" t="s">
        <v>583</v>
      </c>
      <c r="M101" s="970" t="s">
        <v>583</v>
      </c>
      <c r="N101" s="970" t="s">
        <v>583</v>
      </c>
      <c r="O101" s="970" t="s">
        <v>583</v>
      </c>
      <c r="P101" s="970"/>
      <c r="Q101" s="970" t="s">
        <v>584</v>
      </c>
      <c r="R101" s="768" t="s">
        <v>584</v>
      </c>
      <c r="S101" s="768" t="s">
        <v>584</v>
      </c>
      <c r="T101" s="768" t="s">
        <v>584</v>
      </c>
      <c r="U101" s="768" t="s">
        <v>481</v>
      </c>
      <c r="V101" s="768"/>
      <c r="W101" s="768"/>
      <c r="X101" s="768" t="s">
        <v>585</v>
      </c>
      <c r="Y101" s="768" t="s">
        <v>585</v>
      </c>
      <c r="Z101" s="768" t="s">
        <v>585</v>
      </c>
      <c r="AA101" s="768" t="s">
        <v>585</v>
      </c>
      <c r="AB101" s="768" t="s">
        <v>585</v>
      </c>
      <c r="AC101" s="768"/>
      <c r="AD101" s="768"/>
      <c r="AE101" s="763" t="s">
        <v>583</v>
      </c>
      <c r="AF101" s="768" t="s">
        <v>583</v>
      </c>
      <c r="AG101" s="768"/>
      <c r="AH101" s="924">
        <v>90</v>
      </c>
      <c r="AI101" s="925">
        <v>37</v>
      </c>
    </row>
    <row r="102" spans="1:35" ht="21.95" customHeight="1">
      <c r="A102" s="575">
        <v>4</v>
      </c>
      <c r="B102" s="857"/>
      <c r="C102" s="768"/>
      <c r="D102" s="762"/>
      <c r="E102" s="768"/>
      <c r="F102" s="768"/>
      <c r="G102" s="768"/>
      <c r="H102" s="768"/>
      <c r="I102" s="768"/>
      <c r="J102" s="762"/>
      <c r="K102" s="762"/>
      <c r="L102" s="768"/>
      <c r="M102" s="768"/>
      <c r="N102" s="768"/>
      <c r="O102" s="768"/>
      <c r="P102" s="768"/>
      <c r="Q102" s="762"/>
      <c r="R102" s="762"/>
      <c r="S102" s="762"/>
      <c r="T102" s="762"/>
      <c r="U102" s="762"/>
      <c r="V102" s="762"/>
      <c r="W102" s="762"/>
      <c r="X102" s="768"/>
      <c r="Y102" s="762"/>
      <c r="Z102" s="768"/>
      <c r="AA102" s="768"/>
      <c r="AB102" s="768"/>
      <c r="AC102" s="768"/>
      <c r="AD102" s="768"/>
      <c r="AE102" s="768"/>
      <c r="AF102" s="762"/>
      <c r="AG102" s="768"/>
      <c r="AH102" s="924">
        <v>185</v>
      </c>
      <c r="AI102" s="925">
        <v>37</v>
      </c>
    </row>
    <row r="103" spans="1:35" ht="21.95" customHeight="1">
      <c r="A103" s="576"/>
      <c r="B103" s="583"/>
      <c r="C103" s="555"/>
      <c r="D103" s="538"/>
      <c r="E103" s="538"/>
      <c r="F103" s="538"/>
      <c r="G103" s="538"/>
      <c r="H103" s="538"/>
      <c r="I103" s="555"/>
      <c r="J103" s="555"/>
      <c r="K103" s="538"/>
      <c r="L103" s="538"/>
      <c r="M103" s="538"/>
      <c r="N103" s="538"/>
      <c r="O103" s="538"/>
      <c r="P103" s="538"/>
      <c r="Q103" s="555"/>
      <c r="R103" s="538"/>
      <c r="S103" s="817"/>
      <c r="T103" s="817"/>
      <c r="U103" s="817"/>
      <c r="V103" s="817"/>
      <c r="W103" s="555"/>
      <c r="X103" s="555"/>
      <c r="Y103" s="538"/>
      <c r="Z103" s="538"/>
      <c r="AA103" s="538"/>
      <c r="AB103" s="538"/>
      <c r="AC103" s="538"/>
      <c r="AD103" s="538"/>
      <c r="AE103" s="555"/>
      <c r="AF103" s="538"/>
      <c r="AG103" s="538"/>
      <c r="AH103" s="556"/>
      <c r="AI103" s="556"/>
    </row>
    <row r="104" spans="1:35" ht="21.95" customHeight="1" thickBot="1">
      <c r="A104" s="805" t="s">
        <v>588</v>
      </c>
      <c r="B104" s="538"/>
      <c r="C104" s="555"/>
      <c r="D104" s="538"/>
      <c r="E104" s="538"/>
      <c r="F104" s="538"/>
      <c r="G104" s="538"/>
      <c r="H104" s="538"/>
      <c r="I104" s="555"/>
      <c r="J104" s="555"/>
      <c r="K104" s="538"/>
      <c r="L104" s="538"/>
      <c r="M104" s="538"/>
      <c r="N104" s="538"/>
      <c r="O104" s="538"/>
      <c r="P104" s="538"/>
      <c r="Q104" s="555"/>
      <c r="R104" s="538"/>
      <c r="S104" s="538"/>
      <c r="T104" s="538"/>
      <c r="U104" s="538"/>
      <c r="V104" s="538"/>
      <c r="W104" s="555"/>
      <c r="X104" s="555"/>
      <c r="Y104" s="538"/>
      <c r="Z104" s="538"/>
      <c r="AA104" s="538"/>
      <c r="AB104" s="538"/>
      <c r="AC104" s="538"/>
      <c r="AD104" s="538"/>
      <c r="AE104" s="555"/>
      <c r="AF104" s="538"/>
      <c r="AG104" s="538"/>
      <c r="AH104" s="556"/>
      <c r="AI104" s="556"/>
    </row>
    <row r="105" spans="1:35" ht="21.95" customHeight="1">
      <c r="A105" s="576"/>
      <c r="B105" s="806" t="s">
        <v>589</v>
      </c>
      <c r="C105" s="814"/>
      <c r="D105" s="807" t="s">
        <v>2</v>
      </c>
      <c r="E105" s="808"/>
      <c r="F105" s="809"/>
      <c r="G105" s="810"/>
      <c r="H105" s="807" t="s">
        <v>3</v>
      </c>
      <c r="I105" s="808"/>
      <c r="J105" s="809"/>
      <c r="K105" s="810"/>
      <c r="L105" s="807" t="s">
        <v>4</v>
      </c>
      <c r="M105" s="808"/>
      <c r="N105" s="809"/>
      <c r="O105" s="810"/>
      <c r="P105" s="807" t="s">
        <v>5</v>
      </c>
      <c r="Q105" s="808"/>
      <c r="R105" s="809"/>
      <c r="S105" s="810"/>
      <c r="T105" s="807" t="s">
        <v>6</v>
      </c>
      <c r="U105" s="808"/>
      <c r="V105" s="809"/>
      <c r="W105" s="810"/>
      <c r="X105" s="807" t="s">
        <v>7</v>
      </c>
      <c r="Y105" s="808"/>
      <c r="Z105" s="809"/>
      <c r="AA105" s="810"/>
      <c r="AB105" s="807" t="s">
        <v>8</v>
      </c>
      <c r="AC105" s="808"/>
      <c r="AD105" s="808"/>
      <c r="AE105" s="811" t="s">
        <v>10</v>
      </c>
      <c r="AF105" s="808"/>
      <c r="AG105" s="808"/>
      <c r="AH105" s="808"/>
      <c r="AI105" s="812"/>
    </row>
    <row r="106" spans="1:35" ht="21.95" customHeight="1">
      <c r="A106" s="576"/>
      <c r="B106" s="832" t="s">
        <v>590</v>
      </c>
      <c r="C106" s="815" t="s">
        <v>591</v>
      </c>
      <c r="D106" s="831" t="s">
        <v>592</v>
      </c>
      <c r="E106" s="816"/>
      <c r="F106" s="813"/>
      <c r="G106" s="815"/>
      <c r="H106" s="831" t="s">
        <v>592</v>
      </c>
      <c r="I106" s="816"/>
      <c r="J106" s="813"/>
      <c r="K106" s="815"/>
      <c r="L106" s="831" t="s">
        <v>592</v>
      </c>
      <c r="M106" s="816"/>
      <c r="N106" s="813"/>
      <c r="O106" s="815"/>
      <c r="P106" s="831" t="s">
        <v>593</v>
      </c>
      <c r="Q106" s="816"/>
      <c r="R106" s="813"/>
      <c r="S106" s="815"/>
      <c r="T106" s="831" t="s">
        <v>594</v>
      </c>
      <c r="U106" s="816"/>
      <c r="V106" s="813"/>
      <c r="W106" s="815"/>
      <c r="X106" s="816"/>
      <c r="Y106" s="816"/>
      <c r="Z106" s="813"/>
      <c r="AA106" s="815"/>
      <c r="AB106" s="816"/>
      <c r="AC106" s="816"/>
      <c r="AD106" s="816"/>
      <c r="AE106" s="815"/>
      <c r="AF106" s="816"/>
      <c r="AG106" s="816"/>
      <c r="AH106" s="818"/>
      <c r="AI106" s="819"/>
    </row>
    <row r="107" spans="1:35" ht="21.95" customHeight="1">
      <c r="A107" s="576"/>
      <c r="B107" s="833" t="s">
        <v>595</v>
      </c>
      <c r="C107" s="815" t="s">
        <v>596</v>
      </c>
      <c r="D107" s="831" t="s">
        <v>592</v>
      </c>
      <c r="E107" s="816"/>
      <c r="F107" s="813"/>
      <c r="G107" s="815"/>
      <c r="H107" s="831" t="s">
        <v>592</v>
      </c>
      <c r="I107" s="816"/>
      <c r="J107" s="813"/>
      <c r="K107" s="815"/>
      <c r="L107" s="831" t="s">
        <v>592</v>
      </c>
      <c r="M107" s="816"/>
      <c r="N107" s="813"/>
      <c r="O107" s="815"/>
      <c r="P107" s="831" t="s">
        <v>593</v>
      </c>
      <c r="Q107" s="816"/>
      <c r="R107" s="813"/>
      <c r="S107" s="815"/>
      <c r="T107" s="831" t="s">
        <v>594</v>
      </c>
      <c r="U107" s="816"/>
      <c r="V107" s="813"/>
      <c r="W107" s="815"/>
      <c r="X107" s="816"/>
      <c r="Y107" s="816"/>
      <c r="Z107" s="813"/>
      <c r="AA107" s="815"/>
      <c r="AB107" s="816"/>
      <c r="AC107" s="816"/>
      <c r="AD107" s="816"/>
      <c r="AE107" s="815"/>
      <c r="AF107" s="816"/>
      <c r="AG107" s="816"/>
      <c r="AH107" s="818"/>
      <c r="AI107" s="819"/>
    </row>
    <row r="108" spans="1:35" ht="21.95" customHeight="1">
      <c r="A108" s="576"/>
      <c r="B108" s="833" t="s">
        <v>597</v>
      </c>
      <c r="C108" s="815" t="s">
        <v>598</v>
      </c>
      <c r="D108" s="831" t="s">
        <v>592</v>
      </c>
      <c r="E108" s="816"/>
      <c r="F108" s="813"/>
      <c r="G108" s="815"/>
      <c r="H108" s="831" t="s">
        <v>592</v>
      </c>
      <c r="I108" s="816"/>
      <c r="J108" s="813"/>
      <c r="K108" s="815"/>
      <c r="L108" s="831" t="s">
        <v>592</v>
      </c>
      <c r="M108" s="816"/>
      <c r="N108" s="813"/>
      <c r="O108" s="815"/>
      <c r="P108" s="831" t="s">
        <v>593</v>
      </c>
      <c r="Q108" s="816"/>
      <c r="R108" s="813"/>
      <c r="S108" s="815"/>
      <c r="T108" s="831" t="s">
        <v>594</v>
      </c>
      <c r="U108" s="816"/>
      <c r="V108" s="813"/>
      <c r="W108" s="815"/>
      <c r="X108" s="816"/>
      <c r="Y108" s="816"/>
      <c r="Z108" s="813"/>
      <c r="AA108" s="815"/>
      <c r="AB108" s="816"/>
      <c r="AC108" s="816"/>
      <c r="AD108" s="816"/>
      <c r="AE108" s="815"/>
      <c r="AF108" s="816"/>
      <c r="AG108" s="816"/>
      <c r="AH108" s="818"/>
      <c r="AI108" s="819"/>
    </row>
    <row r="109" spans="1:35" ht="21.95" customHeight="1">
      <c r="A109" s="576"/>
      <c r="B109" s="833" t="s">
        <v>599</v>
      </c>
      <c r="C109" s="815" t="s">
        <v>600</v>
      </c>
      <c r="D109" s="831" t="s">
        <v>592</v>
      </c>
      <c r="E109" s="816"/>
      <c r="F109" s="813"/>
      <c r="G109" s="815"/>
      <c r="H109" s="831" t="s">
        <v>592</v>
      </c>
      <c r="I109" s="816"/>
      <c r="J109" s="813"/>
      <c r="K109" s="815"/>
      <c r="L109" s="831" t="s">
        <v>592</v>
      </c>
      <c r="M109" s="816"/>
      <c r="N109" s="813"/>
      <c r="O109" s="815"/>
      <c r="P109" s="831" t="s">
        <v>593</v>
      </c>
      <c r="Q109" s="816"/>
      <c r="R109" s="813"/>
      <c r="S109" s="815"/>
      <c r="T109" s="831" t="s">
        <v>594</v>
      </c>
      <c r="U109" s="816"/>
      <c r="V109" s="813"/>
      <c r="W109" s="815"/>
      <c r="X109" s="816"/>
      <c r="Y109" s="816"/>
      <c r="Z109" s="813"/>
      <c r="AA109" s="815"/>
      <c r="AB109" s="816"/>
      <c r="AC109" s="816"/>
      <c r="AD109" s="816"/>
      <c r="AE109" s="815"/>
      <c r="AF109" s="816"/>
      <c r="AG109" s="816"/>
      <c r="AH109" s="818"/>
      <c r="AI109" s="819"/>
    </row>
    <row r="110" spans="1:35" ht="21.95" customHeight="1">
      <c r="A110" s="576"/>
      <c r="B110" s="833" t="s">
        <v>601</v>
      </c>
      <c r="C110" s="815" t="s">
        <v>602</v>
      </c>
      <c r="D110" s="831" t="s">
        <v>592</v>
      </c>
      <c r="E110" s="816"/>
      <c r="F110" s="813"/>
      <c r="G110" s="815"/>
      <c r="H110" s="831" t="s">
        <v>592</v>
      </c>
      <c r="I110" s="816"/>
      <c r="J110" s="813"/>
      <c r="K110" s="815"/>
      <c r="L110" s="831" t="s">
        <v>592</v>
      </c>
      <c r="M110" s="816"/>
      <c r="N110" s="813"/>
      <c r="O110" s="815"/>
      <c r="P110" s="831" t="s">
        <v>593</v>
      </c>
      <c r="Q110" s="816"/>
      <c r="R110" s="813"/>
      <c r="S110" s="815"/>
      <c r="T110" s="831" t="s">
        <v>594</v>
      </c>
      <c r="U110" s="816"/>
      <c r="V110" s="813"/>
      <c r="W110" s="815"/>
      <c r="X110" s="816"/>
      <c r="Y110" s="816"/>
      <c r="Z110" s="813"/>
      <c r="AA110" s="815"/>
      <c r="AB110" s="816"/>
      <c r="AC110" s="816"/>
      <c r="AD110" s="816"/>
      <c r="AE110" s="815"/>
      <c r="AF110" s="816"/>
      <c r="AG110" s="816"/>
      <c r="AH110" s="818"/>
      <c r="AI110" s="819"/>
    </row>
    <row r="111" spans="1:35" ht="21.95" customHeight="1">
      <c r="A111" s="576"/>
      <c r="B111" s="833" t="s">
        <v>603</v>
      </c>
      <c r="C111" s="815" t="s">
        <v>604</v>
      </c>
      <c r="D111" s="831" t="s">
        <v>592</v>
      </c>
      <c r="E111" s="816"/>
      <c r="F111" s="813"/>
      <c r="G111" s="815"/>
      <c r="H111" s="831" t="s">
        <v>592</v>
      </c>
      <c r="I111" s="816"/>
      <c r="J111" s="813"/>
      <c r="K111" s="815"/>
      <c r="L111" s="831" t="s">
        <v>592</v>
      </c>
      <c r="M111" s="816"/>
      <c r="N111" s="813"/>
      <c r="O111" s="815"/>
      <c r="P111" s="831" t="s">
        <v>593</v>
      </c>
      <c r="Q111" s="816"/>
      <c r="R111" s="813"/>
      <c r="S111" s="815"/>
      <c r="T111" s="831" t="s">
        <v>594</v>
      </c>
      <c r="U111" s="816"/>
      <c r="V111" s="813"/>
      <c r="W111" s="815"/>
      <c r="X111" s="816"/>
      <c r="Y111" s="816"/>
      <c r="Z111" s="813"/>
      <c r="AA111" s="815"/>
      <c r="AB111" s="816"/>
      <c r="AC111" s="816"/>
      <c r="AD111" s="816"/>
      <c r="AE111" s="815"/>
      <c r="AF111" s="816"/>
      <c r="AG111" s="816"/>
      <c r="AH111" s="818"/>
      <c r="AI111" s="819"/>
    </row>
    <row r="112" spans="1:35" ht="21.95" customHeight="1">
      <c r="A112" s="576"/>
      <c r="B112" s="833" t="s">
        <v>605</v>
      </c>
      <c r="C112" s="815" t="s">
        <v>606</v>
      </c>
      <c r="D112" s="831" t="s">
        <v>592</v>
      </c>
      <c r="E112" s="816"/>
      <c r="F112" s="813"/>
      <c r="G112" s="815"/>
      <c r="H112" s="831" t="s">
        <v>592</v>
      </c>
      <c r="I112" s="816"/>
      <c r="J112" s="813"/>
      <c r="K112" s="815"/>
      <c r="L112" s="831" t="s">
        <v>592</v>
      </c>
      <c r="M112" s="816"/>
      <c r="N112" s="813"/>
      <c r="O112" s="815"/>
      <c r="P112" s="831" t="s">
        <v>593</v>
      </c>
      <c r="Q112" s="816"/>
      <c r="R112" s="813"/>
      <c r="S112" s="815"/>
      <c r="T112" s="831" t="s">
        <v>594</v>
      </c>
      <c r="U112" s="816"/>
      <c r="V112" s="813"/>
      <c r="W112" s="815"/>
      <c r="X112" s="816"/>
      <c r="Y112" s="816"/>
      <c r="Z112" s="813"/>
      <c r="AA112" s="815"/>
      <c r="AB112" s="816"/>
      <c r="AC112" s="816"/>
      <c r="AD112" s="816"/>
      <c r="AE112" s="815"/>
      <c r="AF112" s="816"/>
      <c r="AG112" s="816"/>
      <c r="AH112" s="818"/>
      <c r="AI112" s="819"/>
    </row>
    <row r="113" spans="1:35" ht="21.95" customHeight="1">
      <c r="A113" s="576"/>
      <c r="B113" s="833" t="s">
        <v>605</v>
      </c>
      <c r="C113" s="815" t="s">
        <v>607</v>
      </c>
      <c r="D113" s="831" t="s">
        <v>592</v>
      </c>
      <c r="E113" s="816"/>
      <c r="F113" s="813"/>
      <c r="G113" s="815"/>
      <c r="H113" s="831" t="s">
        <v>592</v>
      </c>
      <c r="I113" s="816"/>
      <c r="J113" s="813"/>
      <c r="K113" s="815"/>
      <c r="L113" s="831" t="s">
        <v>592</v>
      </c>
      <c r="M113" s="816"/>
      <c r="N113" s="813"/>
      <c r="O113" s="815"/>
      <c r="P113" s="831" t="s">
        <v>593</v>
      </c>
      <c r="Q113" s="816"/>
      <c r="R113" s="813"/>
      <c r="S113" s="815"/>
      <c r="T113" s="831" t="s">
        <v>594</v>
      </c>
      <c r="U113" s="816"/>
      <c r="V113" s="813"/>
      <c r="W113" s="815"/>
      <c r="X113" s="816"/>
      <c r="Y113" s="816"/>
      <c r="Z113" s="813"/>
      <c r="AA113" s="815"/>
      <c r="AB113" s="816"/>
      <c r="AC113" s="816"/>
      <c r="AD113" s="816"/>
      <c r="AE113" s="815"/>
      <c r="AF113" s="816"/>
      <c r="AG113" s="816"/>
      <c r="AH113" s="818"/>
      <c r="AI113" s="819"/>
    </row>
    <row r="114" spans="1:35" ht="21.95" customHeight="1">
      <c r="A114" s="576"/>
      <c r="B114" s="833" t="s">
        <v>608</v>
      </c>
      <c r="C114" s="815" t="s">
        <v>609</v>
      </c>
      <c r="D114" s="831" t="s">
        <v>592</v>
      </c>
      <c r="E114" s="816"/>
      <c r="F114" s="813"/>
      <c r="G114" s="815"/>
      <c r="H114" s="831" t="s">
        <v>592</v>
      </c>
      <c r="I114" s="816"/>
      <c r="J114" s="813"/>
      <c r="K114" s="815"/>
      <c r="L114" s="831" t="s">
        <v>592</v>
      </c>
      <c r="M114" s="816"/>
      <c r="N114" s="813"/>
      <c r="O114" s="815"/>
      <c r="P114" s="831" t="s">
        <v>593</v>
      </c>
      <c r="Q114" s="816"/>
      <c r="R114" s="813"/>
      <c r="S114" s="815"/>
      <c r="T114" s="831" t="s">
        <v>594</v>
      </c>
      <c r="U114" s="816"/>
      <c r="V114" s="813"/>
      <c r="W114" s="815"/>
      <c r="X114" s="816"/>
      <c r="Y114" s="816"/>
      <c r="Z114" s="813"/>
      <c r="AA114" s="815"/>
      <c r="AB114" s="816"/>
      <c r="AC114" s="816"/>
      <c r="AD114" s="816"/>
      <c r="AE114" s="815"/>
      <c r="AF114" s="816"/>
      <c r="AG114" s="816"/>
      <c r="AH114" s="818"/>
      <c r="AI114" s="819"/>
    </row>
    <row r="115" spans="1:35" ht="21.95" customHeight="1">
      <c r="A115" s="576"/>
      <c r="B115" s="833" t="s">
        <v>610</v>
      </c>
      <c r="C115" s="815" t="s">
        <v>611</v>
      </c>
      <c r="D115" s="831" t="s">
        <v>592</v>
      </c>
      <c r="E115" s="816"/>
      <c r="F115" s="813"/>
      <c r="G115" s="815"/>
      <c r="H115" s="831" t="s">
        <v>592</v>
      </c>
      <c r="I115" s="816"/>
      <c r="J115" s="813"/>
      <c r="K115" s="815"/>
      <c r="L115" s="831" t="s">
        <v>592</v>
      </c>
      <c r="M115" s="816"/>
      <c r="N115" s="813"/>
      <c r="O115" s="815"/>
      <c r="P115" s="831" t="s">
        <v>593</v>
      </c>
      <c r="Q115" s="816"/>
      <c r="R115" s="813"/>
      <c r="S115" s="815"/>
      <c r="T115" s="831" t="s">
        <v>594</v>
      </c>
      <c r="U115" s="816"/>
      <c r="V115" s="813"/>
      <c r="W115" s="815"/>
      <c r="X115" s="816"/>
      <c r="Y115" s="816"/>
      <c r="Z115" s="813"/>
      <c r="AA115" s="815"/>
      <c r="AB115" s="816"/>
      <c r="AC115" s="816"/>
      <c r="AD115" s="816"/>
      <c r="AE115" s="815"/>
      <c r="AF115" s="816"/>
      <c r="AG115" s="816"/>
      <c r="AH115" s="818"/>
      <c r="AI115" s="819"/>
    </row>
    <row r="116" spans="1:35" ht="21.95" customHeight="1">
      <c r="A116" s="576"/>
      <c r="B116" s="833" t="s">
        <v>612</v>
      </c>
      <c r="C116" s="815" t="s">
        <v>613</v>
      </c>
      <c r="D116" s="831" t="s">
        <v>592</v>
      </c>
      <c r="E116" s="816"/>
      <c r="F116" s="813"/>
      <c r="G116" s="815"/>
      <c r="H116" s="831" t="s">
        <v>592</v>
      </c>
      <c r="I116" s="816"/>
      <c r="J116" s="813"/>
      <c r="K116" s="815"/>
      <c r="L116" s="831" t="s">
        <v>592</v>
      </c>
      <c r="M116" s="816"/>
      <c r="N116" s="813"/>
      <c r="O116" s="815"/>
      <c r="P116" s="831" t="s">
        <v>593</v>
      </c>
      <c r="Q116" s="816"/>
      <c r="R116" s="813"/>
      <c r="S116" s="815"/>
      <c r="T116" s="831" t="s">
        <v>594</v>
      </c>
      <c r="U116" s="816"/>
      <c r="V116" s="813"/>
      <c r="W116" s="815"/>
      <c r="X116" s="816"/>
      <c r="Y116" s="816"/>
      <c r="Z116" s="813"/>
      <c r="AA116" s="815"/>
      <c r="AB116" s="816"/>
      <c r="AC116" s="816"/>
      <c r="AD116" s="816"/>
      <c r="AE116" s="815"/>
      <c r="AF116" s="816"/>
      <c r="AG116" s="816"/>
      <c r="AH116" s="818"/>
      <c r="AI116" s="819"/>
    </row>
    <row r="117" spans="1:35" ht="21.95" customHeight="1" thickBot="1">
      <c r="A117" s="576"/>
      <c r="B117" s="583"/>
      <c r="C117" s="555"/>
      <c r="D117" s="538"/>
      <c r="E117" s="538"/>
      <c r="F117" s="538"/>
      <c r="G117" s="538"/>
      <c r="H117" s="538"/>
      <c r="I117" s="555"/>
      <c r="J117" s="555"/>
      <c r="K117" s="538"/>
      <c r="L117" s="538"/>
      <c r="M117" s="538"/>
      <c r="N117" s="538"/>
      <c r="O117" s="538"/>
      <c r="P117" s="538"/>
      <c r="Q117" s="555"/>
      <c r="R117" s="538"/>
      <c r="S117" s="538"/>
      <c r="T117" s="538"/>
      <c r="U117" s="538"/>
      <c r="V117" s="538"/>
      <c r="W117" s="555"/>
      <c r="X117" s="555"/>
      <c r="Y117" s="538"/>
      <c r="Z117" s="538"/>
      <c r="AA117" s="538"/>
      <c r="AB117" s="538"/>
      <c r="AC117" s="538"/>
      <c r="AD117" s="538"/>
      <c r="AE117" s="555"/>
      <c r="AF117" s="538"/>
      <c r="AG117" s="538"/>
      <c r="AH117" s="556"/>
      <c r="AI117" s="556"/>
    </row>
    <row r="118" spans="1:35" ht="21.95" customHeight="1" thickBot="1">
      <c r="A118" s="785"/>
      <c r="B118" s="883" t="s">
        <v>476</v>
      </c>
      <c r="C118" s="946">
        <v>1</v>
      </c>
      <c r="D118" s="863">
        <v>2</v>
      </c>
      <c r="E118" s="863">
        <v>3</v>
      </c>
      <c r="F118" s="863">
        <v>4</v>
      </c>
      <c r="G118" s="863">
        <v>5</v>
      </c>
      <c r="H118" s="880">
        <v>6</v>
      </c>
      <c r="I118" s="880">
        <v>7</v>
      </c>
      <c r="J118" s="863">
        <v>8</v>
      </c>
      <c r="K118" s="863">
        <v>9</v>
      </c>
      <c r="L118" s="863">
        <v>10</v>
      </c>
      <c r="M118" s="863">
        <v>11</v>
      </c>
      <c r="N118" s="863">
        <v>12</v>
      </c>
      <c r="O118" s="880">
        <v>13</v>
      </c>
      <c r="P118" s="880">
        <v>14</v>
      </c>
      <c r="Q118" s="863">
        <v>15</v>
      </c>
      <c r="R118" s="863">
        <v>16</v>
      </c>
      <c r="S118" s="863">
        <v>17</v>
      </c>
      <c r="T118" s="863">
        <v>18</v>
      </c>
      <c r="U118" s="863">
        <v>19</v>
      </c>
      <c r="V118" s="880">
        <v>20</v>
      </c>
      <c r="W118" s="880">
        <v>21</v>
      </c>
      <c r="X118" s="863">
        <v>22</v>
      </c>
      <c r="Y118" s="863">
        <v>23</v>
      </c>
      <c r="Z118" s="863">
        <v>24</v>
      </c>
      <c r="AA118" s="863">
        <v>25</v>
      </c>
      <c r="AB118" s="863">
        <v>26</v>
      </c>
      <c r="AC118" s="880">
        <v>27</v>
      </c>
      <c r="AD118" s="880">
        <v>28</v>
      </c>
      <c r="AE118" s="863">
        <v>29</v>
      </c>
      <c r="AF118" s="863">
        <v>30</v>
      </c>
      <c r="AG118" s="945"/>
      <c r="AH118" s="884" t="s">
        <v>477</v>
      </c>
      <c r="AI118" s="885" t="s">
        <v>478</v>
      </c>
    </row>
    <row r="119" spans="1:35" ht="21.95" customHeight="1">
      <c r="A119" s="576"/>
      <c r="B119" s="881" t="s">
        <v>614</v>
      </c>
      <c r="C119" s="999" t="s">
        <v>591</v>
      </c>
      <c r="D119" s="882" t="s">
        <v>591</v>
      </c>
      <c r="E119" s="882" t="s">
        <v>591</v>
      </c>
      <c r="F119" s="882" t="s">
        <v>591</v>
      </c>
      <c r="G119" s="882" t="s">
        <v>591</v>
      </c>
      <c r="H119" s="882"/>
      <c r="I119" s="882"/>
      <c r="J119" s="882" t="s">
        <v>591</v>
      </c>
      <c r="K119" s="882" t="s">
        <v>591</v>
      </c>
      <c r="L119" s="882" t="s">
        <v>591</v>
      </c>
      <c r="M119" s="882" t="s">
        <v>591</v>
      </c>
      <c r="N119" s="882" t="s">
        <v>591</v>
      </c>
      <c r="O119" s="882"/>
      <c r="P119" s="882"/>
      <c r="Q119" s="882" t="s">
        <v>591</v>
      </c>
      <c r="R119" s="882" t="s">
        <v>591</v>
      </c>
      <c r="S119" s="882" t="s">
        <v>591</v>
      </c>
      <c r="T119" s="882" t="s">
        <v>591</v>
      </c>
      <c r="U119" s="882" t="s">
        <v>591</v>
      </c>
      <c r="V119" s="882"/>
      <c r="W119" s="882"/>
      <c r="X119" s="882" t="s">
        <v>591</v>
      </c>
      <c r="Y119" s="882" t="s">
        <v>591</v>
      </c>
      <c r="Z119" s="882" t="s">
        <v>591</v>
      </c>
      <c r="AA119" s="882" t="s">
        <v>591</v>
      </c>
      <c r="AB119" s="882" t="s">
        <v>591</v>
      </c>
      <c r="AC119" s="882"/>
      <c r="AD119" s="882"/>
      <c r="AE119" s="882" t="s">
        <v>591</v>
      </c>
      <c r="AF119" s="882" t="s">
        <v>591</v>
      </c>
      <c r="AG119" s="882"/>
      <c r="AH119" s="510">
        <v>91.5</v>
      </c>
      <c r="AI119" s="511">
        <v>37</v>
      </c>
    </row>
    <row r="120" spans="1:35" ht="21.95" customHeight="1">
      <c r="A120" s="576"/>
      <c r="B120" s="804" t="s">
        <v>615</v>
      </c>
      <c r="C120" s="837" t="s">
        <v>591</v>
      </c>
      <c r="D120" s="837" t="s">
        <v>591</v>
      </c>
      <c r="E120" s="837" t="s">
        <v>591</v>
      </c>
      <c r="F120" s="837" t="s">
        <v>591</v>
      </c>
      <c r="G120" s="837" t="s">
        <v>591</v>
      </c>
      <c r="H120" s="837"/>
      <c r="I120" s="837"/>
      <c r="J120" s="969" t="s">
        <v>591</v>
      </c>
      <c r="K120" s="969" t="s">
        <v>591</v>
      </c>
      <c r="L120" s="969" t="s">
        <v>591</v>
      </c>
      <c r="M120" s="969" t="s">
        <v>591</v>
      </c>
      <c r="N120" s="969" t="s">
        <v>591</v>
      </c>
      <c r="O120" s="969"/>
      <c r="P120" s="969"/>
      <c r="Q120" s="969" t="s">
        <v>591</v>
      </c>
      <c r="R120" s="969" t="s">
        <v>591</v>
      </c>
      <c r="S120" s="969" t="s">
        <v>591</v>
      </c>
      <c r="T120" s="969" t="s">
        <v>591</v>
      </c>
      <c r="U120" s="969" t="s">
        <v>591</v>
      </c>
      <c r="V120" s="969"/>
      <c r="W120" s="969"/>
      <c r="X120" s="969" t="s">
        <v>591</v>
      </c>
      <c r="Y120" s="969" t="s">
        <v>591</v>
      </c>
      <c r="Z120" s="969" t="s">
        <v>591</v>
      </c>
      <c r="AA120" s="969" t="s">
        <v>591</v>
      </c>
      <c r="AB120" s="969" t="s">
        <v>591</v>
      </c>
      <c r="AC120" s="969"/>
      <c r="AD120" s="969"/>
      <c r="AE120" s="837" t="s">
        <v>591</v>
      </c>
      <c r="AF120" s="837" t="s">
        <v>591</v>
      </c>
      <c r="AG120" s="837"/>
      <c r="AH120" s="924">
        <v>66.75</v>
      </c>
      <c r="AI120" s="925">
        <v>37</v>
      </c>
    </row>
    <row r="121" spans="1:35" ht="21.95" customHeight="1">
      <c r="A121" s="576"/>
      <c r="B121" s="804" t="s">
        <v>616</v>
      </c>
      <c r="C121" s="837" t="s">
        <v>596</v>
      </c>
      <c r="D121" s="837" t="s">
        <v>596</v>
      </c>
      <c r="E121" s="837" t="s">
        <v>596</v>
      </c>
      <c r="F121" s="837" t="s">
        <v>596</v>
      </c>
      <c r="G121" s="837" t="s">
        <v>596</v>
      </c>
      <c r="H121" s="837"/>
      <c r="I121" s="837"/>
      <c r="J121" s="837" t="s">
        <v>596</v>
      </c>
      <c r="K121" s="837" t="s">
        <v>596</v>
      </c>
      <c r="L121" s="837" t="s">
        <v>596</v>
      </c>
      <c r="M121" s="837" t="s">
        <v>596</v>
      </c>
      <c r="N121" s="837" t="s">
        <v>596</v>
      </c>
      <c r="O121" s="837"/>
      <c r="P121" s="837"/>
      <c r="Q121" s="837" t="s">
        <v>596</v>
      </c>
      <c r="R121" s="837" t="s">
        <v>596</v>
      </c>
      <c r="S121" s="837" t="s">
        <v>596</v>
      </c>
      <c r="T121" s="837" t="s">
        <v>596</v>
      </c>
      <c r="U121" s="837" t="s">
        <v>596</v>
      </c>
      <c r="V121" s="837"/>
      <c r="W121" s="837"/>
      <c r="X121" s="837" t="s">
        <v>596</v>
      </c>
      <c r="Y121" s="837" t="s">
        <v>596</v>
      </c>
      <c r="Z121" s="837" t="s">
        <v>596</v>
      </c>
      <c r="AA121" s="837" t="s">
        <v>596</v>
      </c>
      <c r="AB121" s="837" t="s">
        <v>596</v>
      </c>
      <c r="AC121" s="837"/>
      <c r="AD121" s="837"/>
      <c r="AE121" s="837" t="s">
        <v>596</v>
      </c>
      <c r="AF121" s="837" t="s">
        <v>596</v>
      </c>
      <c r="AG121" s="837"/>
      <c r="AH121" s="924">
        <v>106</v>
      </c>
      <c r="AI121" s="925">
        <v>37</v>
      </c>
    </row>
    <row r="122" spans="1:35" ht="21.95" customHeight="1">
      <c r="A122" s="576"/>
      <c r="B122" s="804" t="s">
        <v>617</v>
      </c>
      <c r="C122" s="837" t="s">
        <v>598</v>
      </c>
      <c r="D122" s="837" t="s">
        <v>598</v>
      </c>
      <c r="E122" s="837" t="s">
        <v>598</v>
      </c>
      <c r="F122" s="837" t="s">
        <v>598</v>
      </c>
      <c r="G122" s="837" t="s">
        <v>598</v>
      </c>
      <c r="H122" s="837"/>
      <c r="I122" s="837"/>
      <c r="J122" s="837" t="s">
        <v>598</v>
      </c>
      <c r="K122" s="837" t="s">
        <v>598</v>
      </c>
      <c r="L122" s="837" t="s">
        <v>598</v>
      </c>
      <c r="M122" s="837" t="s">
        <v>598</v>
      </c>
      <c r="N122" s="837" t="s">
        <v>598</v>
      </c>
      <c r="O122" s="837"/>
      <c r="P122" s="837"/>
      <c r="Q122" s="969" t="s">
        <v>598</v>
      </c>
      <c r="R122" s="969" t="s">
        <v>598</v>
      </c>
      <c r="S122" s="969" t="s">
        <v>598</v>
      </c>
      <c r="T122" s="969" t="s">
        <v>598</v>
      </c>
      <c r="U122" s="969" t="s">
        <v>598</v>
      </c>
      <c r="V122" s="837"/>
      <c r="W122" s="837"/>
      <c r="X122" s="837" t="s">
        <v>598</v>
      </c>
      <c r="Y122" s="837" t="s">
        <v>598</v>
      </c>
      <c r="Z122" s="837" t="s">
        <v>598</v>
      </c>
      <c r="AA122" s="837" t="s">
        <v>598</v>
      </c>
      <c r="AB122" s="837" t="s">
        <v>598</v>
      </c>
      <c r="AC122" s="837"/>
      <c r="AD122" s="837"/>
      <c r="AE122" s="969" t="s">
        <v>598</v>
      </c>
      <c r="AF122" s="837" t="s">
        <v>598</v>
      </c>
      <c r="AG122" s="837"/>
      <c r="AH122" s="924">
        <v>103.5</v>
      </c>
      <c r="AI122" s="925">
        <v>37</v>
      </c>
    </row>
    <row r="123" spans="1:35" ht="21.95" customHeight="1">
      <c r="A123" s="576"/>
      <c r="B123" s="804" t="s">
        <v>619</v>
      </c>
      <c r="C123" s="837" t="s">
        <v>600</v>
      </c>
      <c r="D123" s="837" t="s">
        <v>600</v>
      </c>
      <c r="E123" s="837" t="s">
        <v>600</v>
      </c>
      <c r="F123" s="837" t="s">
        <v>600</v>
      </c>
      <c r="G123" s="837" t="s">
        <v>600</v>
      </c>
      <c r="H123" s="837"/>
      <c r="I123" s="837"/>
      <c r="J123" s="969" t="s">
        <v>600</v>
      </c>
      <c r="K123" s="969" t="s">
        <v>600</v>
      </c>
      <c r="L123" s="969" t="s">
        <v>600</v>
      </c>
      <c r="M123" s="969" t="s">
        <v>600</v>
      </c>
      <c r="N123" s="969" t="s">
        <v>600</v>
      </c>
      <c r="O123" s="969"/>
      <c r="P123" s="969"/>
      <c r="Q123" s="969" t="s">
        <v>600</v>
      </c>
      <c r="R123" s="969" t="s">
        <v>600</v>
      </c>
      <c r="S123" s="969" t="s">
        <v>600</v>
      </c>
      <c r="T123" s="969" t="s">
        <v>600</v>
      </c>
      <c r="U123" s="969" t="s">
        <v>600</v>
      </c>
      <c r="V123" s="969"/>
      <c r="W123" s="969"/>
      <c r="X123" s="969" t="s">
        <v>600</v>
      </c>
      <c r="Y123" s="969" t="s">
        <v>600</v>
      </c>
      <c r="Z123" s="969" t="s">
        <v>600</v>
      </c>
      <c r="AA123" s="969" t="s">
        <v>600</v>
      </c>
      <c r="AB123" s="969" t="s">
        <v>600</v>
      </c>
      <c r="AC123" s="969"/>
      <c r="AD123" s="969"/>
      <c r="AE123" s="837" t="s">
        <v>600</v>
      </c>
      <c r="AF123" s="837" t="s">
        <v>600</v>
      </c>
      <c r="AG123" s="837"/>
      <c r="AH123" s="924">
        <v>37</v>
      </c>
      <c r="AI123" s="925">
        <v>37</v>
      </c>
    </row>
    <row r="124" spans="1:35" ht="21.95" customHeight="1">
      <c r="A124" s="576"/>
      <c r="B124" s="804" t="s">
        <v>621</v>
      </c>
      <c r="C124" s="837" t="s">
        <v>602</v>
      </c>
      <c r="D124" s="837" t="s">
        <v>602</v>
      </c>
      <c r="E124" s="837" t="s">
        <v>602</v>
      </c>
      <c r="F124" s="837" t="s">
        <v>602</v>
      </c>
      <c r="G124" s="837" t="s">
        <v>602</v>
      </c>
      <c r="H124" s="837"/>
      <c r="I124" s="837"/>
      <c r="J124" s="837" t="s">
        <v>602</v>
      </c>
      <c r="K124" s="837" t="s">
        <v>602</v>
      </c>
      <c r="L124" s="837" t="s">
        <v>602</v>
      </c>
      <c r="M124" s="837" t="s">
        <v>602</v>
      </c>
      <c r="N124" s="837" t="s">
        <v>602</v>
      </c>
      <c r="O124" s="837"/>
      <c r="P124" s="837"/>
      <c r="Q124" s="837" t="s">
        <v>602</v>
      </c>
      <c r="R124" s="837" t="s">
        <v>602</v>
      </c>
      <c r="S124" s="837" t="s">
        <v>602</v>
      </c>
      <c r="T124" s="837" t="s">
        <v>602</v>
      </c>
      <c r="U124" s="837" t="s">
        <v>602</v>
      </c>
      <c r="V124" s="837"/>
      <c r="W124" s="837"/>
      <c r="X124" s="837" t="s">
        <v>602</v>
      </c>
      <c r="Y124" s="837" t="s">
        <v>602</v>
      </c>
      <c r="Z124" s="837" t="s">
        <v>602</v>
      </c>
      <c r="AA124" s="837" t="s">
        <v>602</v>
      </c>
      <c r="AB124" s="837" t="s">
        <v>602</v>
      </c>
      <c r="AC124" s="837"/>
      <c r="AD124" s="837"/>
      <c r="AE124" s="837" t="s">
        <v>602</v>
      </c>
      <c r="AF124" s="1023" t="s">
        <v>602</v>
      </c>
      <c r="AG124" s="837"/>
      <c r="AH124" s="924">
        <v>143.75</v>
      </c>
      <c r="AI124" s="925">
        <v>37</v>
      </c>
    </row>
    <row r="125" spans="1:35" ht="21.95" customHeight="1">
      <c r="A125" s="576"/>
      <c r="B125" s="804" t="s">
        <v>622</v>
      </c>
      <c r="C125" s="837" t="s">
        <v>604</v>
      </c>
      <c r="D125" s="837" t="s">
        <v>604</v>
      </c>
      <c r="E125" s="837" t="s">
        <v>604</v>
      </c>
      <c r="F125" s="837" t="s">
        <v>604</v>
      </c>
      <c r="G125" s="837" t="s">
        <v>604</v>
      </c>
      <c r="H125" s="837"/>
      <c r="I125" s="837"/>
      <c r="J125" s="837" t="s">
        <v>604</v>
      </c>
      <c r="K125" s="837" t="s">
        <v>604</v>
      </c>
      <c r="L125" s="837" t="s">
        <v>604</v>
      </c>
      <c r="M125" s="837" t="s">
        <v>604</v>
      </c>
      <c r="N125" s="837" t="s">
        <v>604</v>
      </c>
      <c r="O125" s="837"/>
      <c r="P125" s="837"/>
      <c r="Q125" s="837" t="s">
        <v>604</v>
      </c>
      <c r="R125" s="837" t="s">
        <v>604</v>
      </c>
      <c r="S125" s="837" t="s">
        <v>604</v>
      </c>
      <c r="T125" s="837" t="s">
        <v>604</v>
      </c>
      <c r="U125" s="837" t="s">
        <v>604</v>
      </c>
      <c r="V125" s="837"/>
      <c r="W125" s="837"/>
      <c r="X125" s="837" t="s">
        <v>604</v>
      </c>
      <c r="Y125" s="837" t="s">
        <v>604</v>
      </c>
      <c r="Z125" s="837" t="s">
        <v>604</v>
      </c>
      <c r="AA125" s="837" t="s">
        <v>604</v>
      </c>
      <c r="AB125" s="837" t="s">
        <v>604</v>
      </c>
      <c r="AC125" s="837"/>
      <c r="AD125" s="837"/>
      <c r="AE125" s="837" t="s">
        <v>604</v>
      </c>
      <c r="AF125" s="837" t="s">
        <v>604</v>
      </c>
      <c r="AG125" s="837"/>
      <c r="AH125" s="924">
        <v>81.5</v>
      </c>
      <c r="AI125" s="925">
        <v>37</v>
      </c>
    </row>
    <row r="126" spans="1:35" ht="21.95" customHeight="1">
      <c r="A126" s="576"/>
      <c r="B126" s="804" t="s">
        <v>623</v>
      </c>
      <c r="C126" s="969" t="s">
        <v>606</v>
      </c>
      <c r="D126" s="969" t="s">
        <v>606</v>
      </c>
      <c r="E126" s="969" t="s">
        <v>606</v>
      </c>
      <c r="F126" s="969" t="s">
        <v>606</v>
      </c>
      <c r="G126" s="969" t="s">
        <v>606</v>
      </c>
      <c r="H126" s="969"/>
      <c r="I126" s="969"/>
      <c r="J126" s="837" t="s">
        <v>606</v>
      </c>
      <c r="K126" s="837" t="s">
        <v>606</v>
      </c>
      <c r="L126" s="837" t="s">
        <v>606</v>
      </c>
      <c r="M126" s="837" t="s">
        <v>606</v>
      </c>
      <c r="N126" s="837" t="s">
        <v>606</v>
      </c>
      <c r="O126" s="837"/>
      <c r="P126" s="837"/>
      <c r="Q126" s="837" t="s">
        <v>606</v>
      </c>
      <c r="R126" s="837" t="s">
        <v>606</v>
      </c>
      <c r="S126" s="837" t="s">
        <v>606</v>
      </c>
      <c r="T126" s="837" t="s">
        <v>606</v>
      </c>
      <c r="U126" s="837" t="s">
        <v>606</v>
      </c>
      <c r="V126" s="837"/>
      <c r="W126" s="837"/>
      <c r="X126" s="837" t="s">
        <v>606</v>
      </c>
      <c r="Y126" s="837" t="s">
        <v>606</v>
      </c>
      <c r="Z126" s="1023" t="s">
        <v>606</v>
      </c>
      <c r="AA126" s="1023" t="s">
        <v>760</v>
      </c>
      <c r="AB126" s="837" t="s">
        <v>606</v>
      </c>
      <c r="AC126" s="837"/>
      <c r="AD126" s="837"/>
      <c r="AE126" s="837" t="s">
        <v>606</v>
      </c>
      <c r="AF126" s="837" t="s">
        <v>606</v>
      </c>
      <c r="AG126" s="837"/>
      <c r="AH126" s="924">
        <v>74</v>
      </c>
      <c r="AI126" s="925">
        <v>37</v>
      </c>
    </row>
    <row r="127" spans="1:35" ht="21.95" customHeight="1">
      <c r="A127" s="576"/>
      <c r="B127" s="804" t="s">
        <v>624</v>
      </c>
      <c r="C127" s="837" t="s">
        <v>607</v>
      </c>
      <c r="D127" s="837" t="s">
        <v>607</v>
      </c>
      <c r="E127" s="837" t="s">
        <v>607</v>
      </c>
      <c r="F127" s="837" t="s">
        <v>607</v>
      </c>
      <c r="G127" s="837" t="s">
        <v>607</v>
      </c>
      <c r="H127" s="837"/>
      <c r="I127" s="837"/>
      <c r="J127" s="837" t="s">
        <v>607</v>
      </c>
      <c r="K127" s="837" t="s">
        <v>607</v>
      </c>
      <c r="L127" s="837" t="s">
        <v>607</v>
      </c>
      <c r="M127" s="837" t="s">
        <v>607</v>
      </c>
      <c r="N127" s="837" t="s">
        <v>607</v>
      </c>
      <c r="O127" s="837"/>
      <c r="P127" s="837"/>
      <c r="Q127" s="837" t="s">
        <v>607</v>
      </c>
      <c r="R127" s="837" t="s">
        <v>607</v>
      </c>
      <c r="S127" s="837" t="s">
        <v>607</v>
      </c>
      <c r="T127" s="837" t="s">
        <v>607</v>
      </c>
      <c r="U127" s="837" t="s">
        <v>607</v>
      </c>
      <c r="V127" s="837"/>
      <c r="W127" s="837"/>
      <c r="X127" s="837" t="s">
        <v>607</v>
      </c>
      <c r="Y127" s="837" t="s">
        <v>607</v>
      </c>
      <c r="Z127" s="837" t="s">
        <v>607</v>
      </c>
      <c r="AA127" s="837" t="s">
        <v>607</v>
      </c>
      <c r="AB127" s="837" t="s">
        <v>607</v>
      </c>
      <c r="AC127" s="837"/>
      <c r="AD127" s="837"/>
      <c r="AE127" s="837" t="s">
        <v>607</v>
      </c>
      <c r="AF127" s="837" t="s">
        <v>607</v>
      </c>
      <c r="AG127" s="837"/>
      <c r="AH127" s="924">
        <v>81.25</v>
      </c>
      <c r="AI127" s="925">
        <v>37</v>
      </c>
    </row>
    <row r="128" spans="1:35" ht="21.95" customHeight="1">
      <c r="A128" s="576"/>
      <c r="B128" s="804" t="s">
        <v>626</v>
      </c>
      <c r="C128" s="837" t="s">
        <v>609</v>
      </c>
      <c r="D128" s="837" t="s">
        <v>609</v>
      </c>
      <c r="E128" s="837" t="s">
        <v>609</v>
      </c>
      <c r="F128" s="837" t="s">
        <v>609</v>
      </c>
      <c r="G128" s="1005" t="s">
        <v>609</v>
      </c>
      <c r="H128" s="837"/>
      <c r="I128" s="837"/>
      <c r="J128" s="969" t="s">
        <v>609</v>
      </c>
      <c r="K128" s="969" t="s">
        <v>609</v>
      </c>
      <c r="L128" s="969" t="s">
        <v>609</v>
      </c>
      <c r="M128" s="969" t="s">
        <v>609</v>
      </c>
      <c r="N128" s="969" t="s">
        <v>609</v>
      </c>
      <c r="O128" s="969"/>
      <c r="P128" s="969"/>
      <c r="Q128" s="969" t="s">
        <v>609</v>
      </c>
      <c r="R128" s="969" t="s">
        <v>609</v>
      </c>
      <c r="S128" s="969" t="s">
        <v>609</v>
      </c>
      <c r="T128" s="969" t="s">
        <v>609</v>
      </c>
      <c r="U128" s="969" t="s">
        <v>609</v>
      </c>
      <c r="V128" s="969"/>
      <c r="W128" s="969"/>
      <c r="X128" s="969" t="s">
        <v>609</v>
      </c>
      <c r="Y128" s="969" t="s">
        <v>609</v>
      </c>
      <c r="Z128" s="969" t="s">
        <v>609</v>
      </c>
      <c r="AA128" s="969" t="s">
        <v>609</v>
      </c>
      <c r="AB128" s="969" t="s">
        <v>609</v>
      </c>
      <c r="AC128" s="969"/>
      <c r="AD128" s="969"/>
      <c r="AE128" s="837" t="s">
        <v>609</v>
      </c>
      <c r="AF128" s="837" t="s">
        <v>609</v>
      </c>
      <c r="AG128" s="837"/>
      <c r="AH128" s="924">
        <v>69</v>
      </c>
      <c r="AI128" s="925">
        <v>37</v>
      </c>
    </row>
    <row r="129" spans="1:35" ht="21.95" customHeight="1">
      <c r="A129" s="576"/>
      <c r="B129" s="804" t="s">
        <v>627</v>
      </c>
      <c r="C129" s="969" t="s">
        <v>611</v>
      </c>
      <c r="D129" s="969" t="s">
        <v>611</v>
      </c>
      <c r="E129" s="969" t="s">
        <v>611</v>
      </c>
      <c r="F129" s="969" t="s">
        <v>611</v>
      </c>
      <c r="G129" s="1005" t="s">
        <v>611</v>
      </c>
      <c r="H129" s="837"/>
      <c r="I129" s="837"/>
      <c r="J129" s="837" t="s">
        <v>611</v>
      </c>
      <c r="K129" s="837" t="s">
        <v>611</v>
      </c>
      <c r="L129" s="837" t="s">
        <v>611</v>
      </c>
      <c r="M129" s="837" t="s">
        <v>611</v>
      </c>
      <c r="N129" s="837" t="s">
        <v>611</v>
      </c>
      <c r="O129" s="837"/>
      <c r="P129" s="837"/>
      <c r="Q129" s="837" t="s">
        <v>611</v>
      </c>
      <c r="R129" s="837" t="s">
        <v>611</v>
      </c>
      <c r="S129" s="837" t="s">
        <v>611</v>
      </c>
      <c r="T129" s="837" t="s">
        <v>628</v>
      </c>
      <c r="U129" s="837" t="s">
        <v>628</v>
      </c>
      <c r="V129" s="837"/>
      <c r="W129" s="837"/>
      <c r="X129" s="1005" t="s">
        <v>611</v>
      </c>
      <c r="Y129" s="837" t="s">
        <v>611</v>
      </c>
      <c r="Z129" s="837" t="s">
        <v>611</v>
      </c>
      <c r="AA129" s="837" t="s">
        <v>611</v>
      </c>
      <c r="AB129" s="837" t="s">
        <v>611</v>
      </c>
      <c r="AC129" s="837"/>
      <c r="AD129" s="837"/>
      <c r="AE129" s="837" t="s">
        <v>611</v>
      </c>
      <c r="AF129" s="837" t="s">
        <v>611</v>
      </c>
      <c r="AG129" s="837"/>
      <c r="AH129" s="924">
        <v>172.5</v>
      </c>
      <c r="AI129" s="925">
        <v>32</v>
      </c>
    </row>
    <row r="130" spans="1:35" ht="21.95" customHeight="1" thickBot="1">
      <c r="A130" s="576"/>
      <c r="B130" s="886" t="s">
        <v>629</v>
      </c>
      <c r="C130" s="991" t="s">
        <v>613</v>
      </c>
      <c r="D130" s="991" t="s">
        <v>613</v>
      </c>
      <c r="E130" s="991" t="s">
        <v>613</v>
      </c>
      <c r="F130" s="991" t="s">
        <v>613</v>
      </c>
      <c r="G130" s="991" t="s">
        <v>613</v>
      </c>
      <c r="H130" s="991"/>
      <c r="I130" s="991"/>
      <c r="J130" s="991" t="s">
        <v>613</v>
      </c>
      <c r="K130" s="991" t="s">
        <v>613</v>
      </c>
      <c r="L130" s="991" t="s">
        <v>613</v>
      </c>
      <c r="M130" s="991" t="s">
        <v>613</v>
      </c>
      <c r="N130" s="991" t="s">
        <v>613</v>
      </c>
      <c r="O130" s="991"/>
      <c r="P130" s="991"/>
      <c r="Q130" s="991" t="s">
        <v>613</v>
      </c>
      <c r="R130" s="991" t="s">
        <v>613</v>
      </c>
      <c r="S130" s="991" t="s">
        <v>613</v>
      </c>
      <c r="T130" s="991" t="s">
        <v>613</v>
      </c>
      <c r="U130" s="991" t="s">
        <v>613</v>
      </c>
      <c r="V130" s="991"/>
      <c r="W130" s="991"/>
      <c r="X130" s="992" t="s">
        <v>613</v>
      </c>
      <c r="Y130" s="992" t="s">
        <v>613</v>
      </c>
      <c r="Z130" s="992" t="s">
        <v>613</v>
      </c>
      <c r="AA130" s="992" t="s">
        <v>613</v>
      </c>
      <c r="AB130" s="992" t="s">
        <v>613</v>
      </c>
      <c r="AC130" s="887"/>
      <c r="AD130" s="887"/>
      <c r="AE130" s="887" t="s">
        <v>613</v>
      </c>
      <c r="AF130" s="887" t="s">
        <v>613</v>
      </c>
      <c r="AG130" s="887"/>
      <c r="AH130" s="868">
        <v>91.75</v>
      </c>
      <c r="AI130" s="869">
        <v>37</v>
      </c>
    </row>
    <row r="131" spans="1:35" ht="21.95" customHeight="1">
      <c r="A131" s="576"/>
      <c r="B131" s="847"/>
      <c r="C131" s="555"/>
      <c r="D131" s="555"/>
      <c r="E131" s="555"/>
      <c r="F131" s="555"/>
      <c r="G131" s="555"/>
      <c r="H131" s="555"/>
      <c r="I131" s="555"/>
      <c r="J131" s="555"/>
      <c r="K131" s="555"/>
      <c r="L131" s="555"/>
      <c r="M131" s="555"/>
      <c r="N131" s="555"/>
      <c r="O131" s="555"/>
      <c r="P131" s="555"/>
      <c r="Q131" s="555"/>
      <c r="R131" s="555"/>
      <c r="S131" s="555"/>
      <c r="T131" s="555"/>
      <c r="U131" s="555"/>
      <c r="V131" s="555"/>
      <c r="W131" s="555"/>
      <c r="X131" s="555"/>
      <c r="Y131" s="555"/>
      <c r="Z131" s="555"/>
      <c r="AA131" s="555"/>
      <c r="AB131" s="555"/>
      <c r="AC131" s="555"/>
      <c r="AD131" s="555"/>
      <c r="AE131" s="555"/>
      <c r="AF131" s="555"/>
      <c r="AG131" s="555"/>
      <c r="AH131" s="556"/>
      <c r="AI131" s="556"/>
    </row>
    <row r="132" spans="1:35" ht="21.95" customHeight="1" thickBot="1">
      <c r="A132" s="805" t="s">
        <v>630</v>
      </c>
      <c r="B132" s="538" t="s">
        <v>631</v>
      </c>
      <c r="C132" s="555"/>
      <c r="D132" s="538"/>
      <c r="E132" s="538"/>
      <c r="F132" s="538"/>
      <c r="G132" s="538"/>
      <c r="H132" s="538"/>
      <c r="I132" s="555"/>
      <c r="J132" s="555"/>
      <c r="K132" s="538"/>
      <c r="L132" s="538"/>
      <c r="M132" s="538"/>
      <c r="N132" s="538"/>
      <c r="O132" s="538"/>
      <c r="P132" s="538"/>
      <c r="Q132" s="555"/>
      <c r="R132" s="538"/>
      <c r="S132" s="538"/>
      <c r="T132" s="538"/>
      <c r="U132" s="538"/>
      <c r="V132" s="538"/>
      <c r="W132" s="555"/>
      <c r="X132" s="555"/>
      <c r="Y132" s="538"/>
      <c r="Z132" s="538"/>
      <c r="AA132" s="538"/>
      <c r="AB132" s="538"/>
      <c r="AC132" s="538"/>
      <c r="AD132" s="538"/>
      <c r="AE132" s="555"/>
      <c r="AF132" s="538"/>
      <c r="AG132" s="538"/>
      <c r="AH132" s="556"/>
      <c r="AI132" s="556"/>
    </row>
    <row r="133" spans="1:35" ht="21.95" customHeight="1">
      <c r="A133" s="576"/>
      <c r="B133" s="806" t="s">
        <v>589</v>
      </c>
      <c r="C133" s="814"/>
      <c r="D133" s="807" t="s">
        <v>2</v>
      </c>
      <c r="E133" s="808"/>
      <c r="F133" s="809"/>
      <c r="G133" s="810"/>
      <c r="H133" s="807" t="s">
        <v>3</v>
      </c>
      <c r="I133" s="808"/>
      <c r="J133" s="809"/>
      <c r="K133" s="810"/>
      <c r="L133" s="807" t="s">
        <v>4</v>
      </c>
      <c r="M133" s="808"/>
      <c r="N133" s="809"/>
      <c r="O133" s="810"/>
      <c r="P133" s="807" t="s">
        <v>5</v>
      </c>
      <c r="Q133" s="808"/>
      <c r="R133" s="809"/>
      <c r="S133" s="810"/>
      <c r="T133" s="807" t="s">
        <v>6</v>
      </c>
      <c r="U133" s="808"/>
      <c r="V133" s="809"/>
      <c r="W133" s="810"/>
      <c r="X133" s="807" t="s">
        <v>7</v>
      </c>
      <c r="Y133" s="808"/>
      <c r="Z133" s="809"/>
      <c r="AA133" s="810"/>
      <c r="AB133" s="807" t="s">
        <v>8</v>
      </c>
      <c r="AC133" s="808"/>
      <c r="AD133" s="808"/>
      <c r="AE133" s="811" t="s">
        <v>10</v>
      </c>
      <c r="AF133" s="808"/>
      <c r="AG133" s="808"/>
      <c r="AH133" s="808"/>
      <c r="AI133" s="812"/>
    </row>
    <row r="134" spans="1:35" ht="21.95" customHeight="1">
      <c r="A134" s="576"/>
      <c r="B134" s="832"/>
      <c r="C134" s="815"/>
      <c r="D134" s="831"/>
      <c r="E134" s="816"/>
      <c r="F134" s="813"/>
      <c r="G134" s="815"/>
      <c r="H134" s="831"/>
      <c r="I134" s="816"/>
      <c r="J134" s="813"/>
      <c r="K134" s="815"/>
      <c r="L134" s="831"/>
      <c r="M134" s="816"/>
      <c r="N134" s="813"/>
      <c r="O134" s="815"/>
      <c r="P134" s="831"/>
      <c r="Q134" s="816"/>
      <c r="R134" s="813"/>
      <c r="S134" s="815"/>
      <c r="T134" s="831"/>
      <c r="U134" s="816"/>
      <c r="V134" s="813"/>
      <c r="W134" s="815"/>
      <c r="X134" s="816"/>
      <c r="Y134" s="816"/>
      <c r="Z134" s="813"/>
      <c r="AA134" s="815"/>
      <c r="AB134" s="816"/>
      <c r="AC134" s="816"/>
      <c r="AD134" s="816"/>
      <c r="AE134" s="815"/>
      <c r="AF134" s="816"/>
      <c r="AG134" s="816"/>
      <c r="AH134" s="818"/>
      <c r="AI134" s="819"/>
    </row>
    <row r="135" spans="1:35" ht="21.95" customHeight="1">
      <c r="A135" s="576"/>
      <c r="B135" s="833"/>
      <c r="C135" s="815"/>
      <c r="D135" s="831"/>
      <c r="E135" s="816"/>
      <c r="F135" s="813"/>
      <c r="G135" s="815"/>
      <c r="H135" s="831"/>
      <c r="I135" s="816"/>
      <c r="J135" s="813"/>
      <c r="K135" s="815"/>
      <c r="L135" s="831"/>
      <c r="M135" s="816"/>
      <c r="N135" s="813"/>
      <c r="O135" s="815"/>
      <c r="P135" s="831"/>
      <c r="Q135" s="816"/>
      <c r="R135" s="813"/>
      <c r="S135" s="815"/>
      <c r="T135" s="831"/>
      <c r="U135" s="816"/>
      <c r="V135" s="813"/>
      <c r="W135" s="815"/>
      <c r="X135" s="816"/>
      <c r="Y135" s="816"/>
      <c r="Z135" s="813"/>
      <c r="AA135" s="815"/>
      <c r="AB135" s="816"/>
      <c r="AC135" s="816"/>
      <c r="AD135" s="816"/>
      <c r="AE135" s="815"/>
      <c r="AF135" s="816"/>
      <c r="AG135" s="816"/>
      <c r="AH135" s="818"/>
      <c r="AI135" s="819"/>
    </row>
    <row r="136" spans="1:35" ht="21.95" customHeight="1">
      <c r="A136" s="576"/>
      <c r="B136" s="833"/>
      <c r="C136" s="815"/>
      <c r="D136" s="831"/>
      <c r="E136" s="816"/>
      <c r="F136" s="813"/>
      <c r="G136" s="815"/>
      <c r="H136" s="831"/>
      <c r="I136" s="816"/>
      <c r="J136" s="813"/>
      <c r="K136" s="815"/>
      <c r="L136" s="831"/>
      <c r="M136" s="816"/>
      <c r="N136" s="813"/>
      <c r="O136" s="815"/>
      <c r="P136" s="831"/>
      <c r="Q136" s="816"/>
      <c r="R136" s="813"/>
      <c r="S136" s="815"/>
      <c r="T136" s="831"/>
      <c r="U136" s="816"/>
      <c r="V136" s="813"/>
      <c r="W136" s="815"/>
      <c r="X136" s="816"/>
      <c r="Y136" s="816"/>
      <c r="Z136" s="813"/>
      <c r="AA136" s="815"/>
      <c r="AB136" s="816"/>
      <c r="AC136" s="816"/>
      <c r="AD136" s="816"/>
      <c r="AE136" s="815"/>
      <c r="AF136" s="816"/>
      <c r="AG136" s="816"/>
      <c r="AH136" s="818"/>
      <c r="AI136" s="819"/>
    </row>
    <row r="137" spans="1:35" ht="21.75" customHeight="1" thickBot="1">
      <c r="A137" s="576"/>
      <c r="B137" s="847"/>
      <c r="C137" s="555"/>
      <c r="D137" s="555"/>
      <c r="E137" s="555"/>
      <c r="F137" s="555"/>
      <c r="G137" s="555"/>
      <c r="H137" s="555"/>
      <c r="I137" s="555"/>
      <c r="J137" s="555"/>
      <c r="K137" s="555"/>
      <c r="L137" s="555"/>
      <c r="M137" s="555"/>
      <c r="N137" s="555"/>
      <c r="O137" s="555"/>
      <c r="P137" s="555"/>
      <c r="Q137" s="555"/>
      <c r="R137" s="555"/>
      <c r="S137" s="555"/>
      <c r="T137" s="555"/>
      <c r="U137" s="555"/>
      <c r="V137" s="555"/>
      <c r="W137" s="555"/>
      <c r="X137" s="555"/>
      <c r="Y137" s="555"/>
      <c r="Z137" s="555"/>
      <c r="AA137" s="555"/>
      <c r="AB137" s="555"/>
      <c r="AC137" s="555"/>
      <c r="AD137" s="555"/>
      <c r="AE137" s="555"/>
      <c r="AF137" s="555"/>
      <c r="AG137" s="555"/>
      <c r="AH137" s="556"/>
      <c r="AI137" s="556"/>
    </row>
    <row r="138" spans="1:35" ht="21.95" customHeight="1" thickBot="1">
      <c r="A138" s="785"/>
      <c r="B138" s="883" t="s">
        <v>476</v>
      </c>
      <c r="C138" s="863">
        <v>1</v>
      </c>
      <c r="D138" s="863">
        <v>2</v>
      </c>
      <c r="E138" s="863">
        <v>3</v>
      </c>
      <c r="F138" s="863">
        <v>4</v>
      </c>
      <c r="G138" s="863">
        <v>5</v>
      </c>
      <c r="H138" s="880">
        <v>6</v>
      </c>
      <c r="I138" s="880">
        <v>7</v>
      </c>
      <c r="J138" s="863">
        <v>8</v>
      </c>
      <c r="K138" s="863">
        <v>9</v>
      </c>
      <c r="L138" s="863">
        <v>10</v>
      </c>
      <c r="M138" s="863">
        <v>11</v>
      </c>
      <c r="N138" s="863">
        <v>12</v>
      </c>
      <c r="O138" s="880">
        <v>13</v>
      </c>
      <c r="P138" s="880">
        <v>14</v>
      </c>
      <c r="Q138" s="863">
        <v>15</v>
      </c>
      <c r="R138" s="863">
        <v>16</v>
      </c>
      <c r="S138" s="863">
        <v>17</v>
      </c>
      <c r="T138" s="863">
        <v>18</v>
      </c>
      <c r="U138" s="863">
        <v>19</v>
      </c>
      <c r="V138" s="880">
        <v>20</v>
      </c>
      <c r="W138" s="880">
        <v>21</v>
      </c>
      <c r="X138" s="863">
        <v>22</v>
      </c>
      <c r="Y138" s="863">
        <v>23</v>
      </c>
      <c r="Z138" s="863">
        <v>24</v>
      </c>
      <c r="AA138" s="863">
        <v>25</v>
      </c>
      <c r="AB138" s="863">
        <v>26</v>
      </c>
      <c r="AC138" s="880">
        <v>27</v>
      </c>
      <c r="AD138" s="880">
        <v>28</v>
      </c>
      <c r="AE138" s="863">
        <v>29</v>
      </c>
      <c r="AF138" s="863">
        <v>30</v>
      </c>
      <c r="AG138" s="863"/>
      <c r="AH138" s="884" t="s">
        <v>477</v>
      </c>
      <c r="AI138" s="885" t="s">
        <v>478</v>
      </c>
    </row>
    <row r="139" spans="1:35" ht="21.95" customHeight="1">
      <c r="A139" s="576"/>
      <c r="B139" s="888" t="s">
        <v>632</v>
      </c>
      <c r="C139" s="768" t="s">
        <v>491</v>
      </c>
      <c r="D139" s="768" t="s">
        <v>491</v>
      </c>
      <c r="E139" s="768" t="s">
        <v>491</v>
      </c>
      <c r="F139" s="768" t="s">
        <v>491</v>
      </c>
      <c r="G139" s="768" t="s">
        <v>491</v>
      </c>
      <c r="H139" s="768"/>
      <c r="I139" s="768"/>
      <c r="J139" s="768" t="s">
        <v>491</v>
      </c>
      <c r="K139" s="768" t="s">
        <v>491</v>
      </c>
      <c r="L139" s="768" t="s">
        <v>491</v>
      </c>
      <c r="M139" s="768" t="s">
        <v>491</v>
      </c>
      <c r="N139" s="768" t="s">
        <v>491</v>
      </c>
      <c r="O139" s="768"/>
      <c r="P139" s="768"/>
      <c r="Q139" s="768" t="s">
        <v>491</v>
      </c>
      <c r="R139" s="768" t="s">
        <v>491</v>
      </c>
      <c r="S139" s="768" t="s">
        <v>491</v>
      </c>
      <c r="T139" s="768" t="s">
        <v>491</v>
      </c>
      <c r="U139" s="768" t="s">
        <v>491</v>
      </c>
      <c r="V139" s="768"/>
      <c r="W139" s="768"/>
      <c r="X139" s="768" t="s">
        <v>491</v>
      </c>
      <c r="Y139" s="768" t="s">
        <v>491</v>
      </c>
      <c r="Z139" s="768" t="s">
        <v>491</v>
      </c>
      <c r="AA139" s="768" t="s">
        <v>491</v>
      </c>
      <c r="AB139" s="768" t="s">
        <v>491</v>
      </c>
      <c r="AC139" s="768"/>
      <c r="AD139" s="768"/>
      <c r="AE139" s="768" t="s">
        <v>491</v>
      </c>
      <c r="AF139" s="768" t="s">
        <v>491</v>
      </c>
      <c r="AG139" s="882"/>
      <c r="AH139" s="510">
        <v>104.5</v>
      </c>
      <c r="AI139" s="511">
        <v>37</v>
      </c>
    </row>
    <row r="140" spans="1:35" ht="21.95" customHeight="1">
      <c r="A140" s="576"/>
      <c r="B140" s="858" t="s">
        <v>633</v>
      </c>
      <c r="C140" s="768" t="s">
        <v>491</v>
      </c>
      <c r="D140" s="768" t="s">
        <v>491</v>
      </c>
      <c r="E140" s="768" t="s">
        <v>491</v>
      </c>
      <c r="F140" s="768" t="s">
        <v>491</v>
      </c>
      <c r="G140" s="768" t="s">
        <v>491</v>
      </c>
      <c r="H140" s="768"/>
      <c r="I140" s="768"/>
      <c r="J140" s="768" t="s">
        <v>491</v>
      </c>
      <c r="K140" s="768" t="s">
        <v>491</v>
      </c>
      <c r="L140" s="768" t="s">
        <v>491</v>
      </c>
      <c r="M140" s="768" t="s">
        <v>491</v>
      </c>
      <c r="N140" s="768" t="s">
        <v>491</v>
      </c>
      <c r="O140" s="768"/>
      <c r="P140" s="768"/>
      <c r="Q140" s="768" t="s">
        <v>491</v>
      </c>
      <c r="R140" s="768" t="s">
        <v>491</v>
      </c>
      <c r="S140" s="768" t="s">
        <v>491</v>
      </c>
      <c r="T140" s="768" t="s">
        <v>491</v>
      </c>
      <c r="U140" s="768" t="s">
        <v>491</v>
      </c>
      <c r="V140" s="768"/>
      <c r="W140" s="768"/>
      <c r="X140" s="768" t="s">
        <v>491</v>
      </c>
      <c r="Y140" s="768" t="s">
        <v>491</v>
      </c>
      <c r="Z140" s="768" t="s">
        <v>491</v>
      </c>
      <c r="AA140" s="768" t="s">
        <v>491</v>
      </c>
      <c r="AB140" s="768" t="s">
        <v>491</v>
      </c>
      <c r="AC140" s="768"/>
      <c r="AD140" s="768"/>
      <c r="AE140" s="768" t="s">
        <v>491</v>
      </c>
      <c r="AF140" s="768" t="s">
        <v>491</v>
      </c>
      <c r="AG140" s="837"/>
      <c r="AH140" s="924">
        <v>74</v>
      </c>
      <c r="AI140" s="925">
        <v>37</v>
      </c>
    </row>
    <row r="141" spans="1:35" ht="21.95" customHeight="1">
      <c r="A141" s="576"/>
      <c r="B141" s="858" t="s">
        <v>634</v>
      </c>
      <c r="C141" s="768" t="s">
        <v>491</v>
      </c>
      <c r="D141" s="768" t="s">
        <v>491</v>
      </c>
      <c r="E141" s="768" t="s">
        <v>491</v>
      </c>
      <c r="F141" s="970" t="s">
        <v>491</v>
      </c>
      <c r="G141" s="768" t="s">
        <v>491</v>
      </c>
      <c r="H141" s="768"/>
      <c r="I141" s="768"/>
      <c r="J141" s="768" t="s">
        <v>491</v>
      </c>
      <c r="K141" s="768" t="s">
        <v>491</v>
      </c>
      <c r="L141" s="768" t="s">
        <v>491</v>
      </c>
      <c r="M141" s="768" t="s">
        <v>491</v>
      </c>
      <c r="N141" s="768" t="s">
        <v>491</v>
      </c>
      <c r="O141" s="768"/>
      <c r="P141" s="768"/>
      <c r="Q141" s="768" t="s">
        <v>491</v>
      </c>
      <c r="R141" s="768" t="s">
        <v>491</v>
      </c>
      <c r="S141" s="768" t="s">
        <v>491</v>
      </c>
      <c r="T141" s="768" t="s">
        <v>491</v>
      </c>
      <c r="U141" s="768" t="s">
        <v>491</v>
      </c>
      <c r="V141" s="768"/>
      <c r="W141" s="768"/>
      <c r="X141" s="988" t="s">
        <v>491</v>
      </c>
      <c r="Y141" s="988" t="s">
        <v>491</v>
      </c>
      <c r="Z141" s="988" t="s">
        <v>491</v>
      </c>
      <c r="AA141" s="988" t="s">
        <v>491</v>
      </c>
      <c r="AB141" s="988" t="s">
        <v>491</v>
      </c>
      <c r="AC141" s="768"/>
      <c r="AD141" s="768"/>
      <c r="AE141" s="768" t="s">
        <v>491</v>
      </c>
      <c r="AF141" s="768" t="s">
        <v>491</v>
      </c>
      <c r="AG141" s="837"/>
      <c r="AH141" s="924">
        <v>67</v>
      </c>
      <c r="AI141" s="925">
        <v>37</v>
      </c>
    </row>
    <row r="142" spans="1:35" ht="21.95" customHeight="1">
      <c r="A142" s="576"/>
      <c r="B142" s="859" t="s">
        <v>638</v>
      </c>
      <c r="C142" s="768" t="s">
        <v>491</v>
      </c>
      <c r="D142" s="768" t="s">
        <v>491</v>
      </c>
      <c r="E142" s="768" t="s">
        <v>491</v>
      </c>
      <c r="F142" s="768" t="s">
        <v>491</v>
      </c>
      <c r="G142" s="768" t="s">
        <v>491</v>
      </c>
      <c r="H142" s="768"/>
      <c r="I142" s="768"/>
      <c r="J142" s="768" t="s">
        <v>491</v>
      </c>
      <c r="K142" s="768" t="s">
        <v>491</v>
      </c>
      <c r="L142" s="768" t="s">
        <v>491</v>
      </c>
      <c r="M142" s="768" t="s">
        <v>491</v>
      </c>
      <c r="N142" s="768" t="s">
        <v>491</v>
      </c>
      <c r="O142" s="768"/>
      <c r="P142" s="768"/>
      <c r="Q142" s="768" t="s">
        <v>491</v>
      </c>
      <c r="R142" s="768" t="s">
        <v>491</v>
      </c>
      <c r="S142" s="768" t="s">
        <v>491</v>
      </c>
      <c r="T142" s="768" t="s">
        <v>491</v>
      </c>
      <c r="U142" s="768" t="s">
        <v>491</v>
      </c>
      <c r="V142" s="768"/>
      <c r="W142" s="768"/>
      <c r="X142" s="768" t="s">
        <v>491</v>
      </c>
      <c r="Y142" s="768" t="s">
        <v>491</v>
      </c>
      <c r="Z142" s="768" t="s">
        <v>491</v>
      </c>
      <c r="AA142" s="768" t="s">
        <v>491</v>
      </c>
      <c r="AB142" s="768" t="s">
        <v>491</v>
      </c>
      <c r="AC142" s="768"/>
      <c r="AD142" s="768"/>
      <c r="AE142" s="768" t="s">
        <v>491</v>
      </c>
      <c r="AF142" s="768" t="s">
        <v>491</v>
      </c>
      <c r="AG142" s="837"/>
      <c r="AH142" s="924">
        <v>74</v>
      </c>
      <c r="AI142" s="925">
        <v>37</v>
      </c>
    </row>
    <row r="143" spans="1:35" ht="21.95" customHeight="1">
      <c r="A143" s="576"/>
      <c r="B143" s="994" t="s">
        <v>635</v>
      </c>
      <c r="C143" s="970" t="s">
        <v>491</v>
      </c>
      <c r="D143" s="768" t="s">
        <v>491</v>
      </c>
      <c r="E143" s="768" t="s">
        <v>491</v>
      </c>
      <c r="F143" s="768" t="s">
        <v>491</v>
      </c>
      <c r="G143" s="768" t="s">
        <v>491</v>
      </c>
      <c r="H143" s="768"/>
      <c r="I143" s="768"/>
      <c r="J143" s="768" t="s">
        <v>491</v>
      </c>
      <c r="K143" s="768" t="s">
        <v>491</v>
      </c>
      <c r="L143" s="768" t="s">
        <v>491</v>
      </c>
      <c r="M143" s="768" t="s">
        <v>491</v>
      </c>
      <c r="N143" s="768" t="s">
        <v>491</v>
      </c>
      <c r="O143" s="768"/>
      <c r="P143" s="768"/>
      <c r="Q143" s="768" t="s">
        <v>491</v>
      </c>
      <c r="R143" s="768" t="s">
        <v>491</v>
      </c>
      <c r="S143" s="768" t="s">
        <v>491</v>
      </c>
      <c r="T143" s="768" t="s">
        <v>491</v>
      </c>
      <c r="U143" s="768" t="s">
        <v>491</v>
      </c>
      <c r="V143" s="768"/>
      <c r="W143" s="768"/>
      <c r="X143" s="768" t="s">
        <v>491</v>
      </c>
      <c r="Y143" s="768" t="s">
        <v>491</v>
      </c>
      <c r="Z143" s="768" t="s">
        <v>491</v>
      </c>
      <c r="AA143" s="1144" t="s">
        <v>491</v>
      </c>
      <c r="AB143" s="1144" t="s">
        <v>491</v>
      </c>
      <c r="AC143" s="768"/>
      <c r="AD143" s="768"/>
      <c r="AE143" s="1144" t="s">
        <v>491</v>
      </c>
      <c r="AF143" s="768" t="s">
        <v>491</v>
      </c>
      <c r="AG143" s="837"/>
      <c r="AH143" s="924">
        <v>103.5</v>
      </c>
      <c r="AI143" s="925">
        <v>37</v>
      </c>
    </row>
    <row r="144" spans="1:35" ht="21.95" customHeight="1" thickBot="1">
      <c r="A144" s="576"/>
      <c r="B144" s="889" t="s">
        <v>637</v>
      </c>
      <c r="C144" s="768" t="s">
        <v>491</v>
      </c>
      <c r="D144" s="768" t="s">
        <v>491</v>
      </c>
      <c r="E144" s="768" t="s">
        <v>491</v>
      </c>
      <c r="F144" s="768" t="s">
        <v>491</v>
      </c>
      <c r="G144" s="768" t="s">
        <v>491</v>
      </c>
      <c r="H144" s="768"/>
      <c r="I144" s="768"/>
      <c r="J144" s="768" t="s">
        <v>491</v>
      </c>
      <c r="K144" s="768" t="s">
        <v>491</v>
      </c>
      <c r="L144" s="768" t="s">
        <v>491</v>
      </c>
      <c r="M144" s="768" t="s">
        <v>491</v>
      </c>
      <c r="N144" s="768" t="s">
        <v>491</v>
      </c>
      <c r="O144" s="768"/>
      <c r="P144" s="768"/>
      <c r="Q144" s="768" t="s">
        <v>491</v>
      </c>
      <c r="R144" s="768" t="s">
        <v>491</v>
      </c>
      <c r="S144" s="768" t="s">
        <v>491</v>
      </c>
      <c r="T144" s="768" t="s">
        <v>491</v>
      </c>
      <c r="U144" s="768" t="s">
        <v>491</v>
      </c>
      <c r="V144" s="768"/>
      <c r="W144" s="768"/>
      <c r="X144" s="1030" t="s">
        <v>491</v>
      </c>
      <c r="Y144" s="768" t="s">
        <v>491</v>
      </c>
      <c r="Z144" s="768" t="s">
        <v>491</v>
      </c>
      <c r="AA144" s="768" t="s">
        <v>491</v>
      </c>
      <c r="AB144" s="768" t="s">
        <v>491</v>
      </c>
      <c r="AC144" s="768"/>
      <c r="AD144" s="768"/>
      <c r="AE144" s="768" t="s">
        <v>491</v>
      </c>
      <c r="AF144" s="768" t="s">
        <v>491</v>
      </c>
      <c r="AG144" s="887"/>
      <c r="AH144" s="597">
        <v>141</v>
      </c>
      <c r="AI144" s="598">
        <v>37</v>
      </c>
    </row>
    <row r="145" spans="1:36" ht="21.95" customHeight="1">
      <c r="A145" s="576"/>
      <c r="B145" s="847"/>
      <c r="C145" s="555"/>
      <c r="D145" s="555"/>
      <c r="E145" s="555"/>
      <c r="F145" s="555"/>
      <c r="G145" s="555"/>
      <c r="H145" s="555"/>
      <c r="I145" s="555"/>
      <c r="J145" s="555"/>
      <c r="K145" s="555"/>
      <c r="L145" s="555"/>
      <c r="M145" s="555"/>
      <c r="N145" s="555"/>
      <c r="O145" s="555"/>
      <c r="P145" s="555"/>
      <c r="Q145" s="555"/>
      <c r="R145" s="555"/>
      <c r="S145" s="555"/>
      <c r="T145" s="555"/>
      <c r="U145" s="555"/>
      <c r="V145" s="555"/>
      <c r="W145" s="555"/>
      <c r="X145" s="555"/>
      <c r="Y145" s="555"/>
      <c r="Z145" s="555"/>
      <c r="AA145" s="555"/>
      <c r="AB145" s="555"/>
      <c r="AC145" s="555"/>
      <c r="AD145" s="555"/>
      <c r="AE145" s="555"/>
      <c r="AF145" s="555"/>
      <c r="AG145" s="555"/>
      <c r="AH145" s="998"/>
      <c r="AI145" s="998"/>
    </row>
    <row r="146" spans="1:36" ht="21.95" customHeight="1" thickBot="1">
      <c r="A146" s="805" t="s">
        <v>639</v>
      </c>
      <c r="B146" s="538"/>
      <c r="C146" s="555"/>
      <c r="D146" s="538"/>
      <c r="E146" s="538"/>
      <c r="F146" s="538"/>
      <c r="G146" s="538"/>
      <c r="H146" s="538"/>
      <c r="I146" s="555"/>
      <c r="J146" s="555"/>
      <c r="K146" s="538"/>
      <c r="L146" s="538"/>
      <c r="M146" s="538"/>
      <c r="N146" s="538"/>
      <c r="O146" s="538"/>
      <c r="P146" s="538"/>
      <c r="Q146" s="555"/>
      <c r="R146" s="538"/>
      <c r="S146" s="538"/>
      <c r="T146" s="538"/>
      <c r="U146" s="538"/>
      <c r="V146" s="538"/>
      <c r="W146" s="555"/>
      <c r="X146" s="555"/>
      <c r="Y146" s="538"/>
      <c r="Z146" s="538"/>
      <c r="AA146" s="538"/>
      <c r="AB146" s="538"/>
      <c r="AC146" s="538"/>
      <c r="AD146" s="538"/>
      <c r="AE146" s="555"/>
      <c r="AF146" s="538"/>
      <c r="AG146" s="538"/>
      <c r="AH146" s="556"/>
      <c r="AI146" s="556"/>
    </row>
    <row r="147" spans="1:36" ht="21.95" customHeight="1">
      <c r="A147" s="576"/>
      <c r="B147" s="806" t="s">
        <v>589</v>
      </c>
      <c r="C147" s="814"/>
      <c r="D147" s="807" t="s">
        <v>2</v>
      </c>
      <c r="E147" s="808"/>
      <c r="F147" s="809"/>
      <c r="G147" s="810"/>
      <c r="H147" s="807" t="s">
        <v>3</v>
      </c>
      <c r="I147" s="808"/>
      <c r="J147" s="809"/>
      <c r="K147" s="810"/>
      <c r="L147" s="807" t="s">
        <v>4</v>
      </c>
      <c r="M147" s="808"/>
      <c r="N147" s="809"/>
      <c r="O147" s="810"/>
      <c r="P147" s="807" t="s">
        <v>5</v>
      </c>
      <c r="Q147" s="808"/>
      <c r="R147" s="809"/>
      <c r="S147" s="810"/>
      <c r="T147" s="807" t="s">
        <v>6</v>
      </c>
      <c r="U147" s="808"/>
      <c r="V147" s="809"/>
      <c r="W147" s="810"/>
      <c r="X147" s="807" t="s">
        <v>7</v>
      </c>
      <c r="Y147" s="808"/>
      <c r="Z147" s="809"/>
      <c r="AA147" s="810"/>
      <c r="AB147" s="807" t="s">
        <v>8</v>
      </c>
      <c r="AC147" s="808"/>
      <c r="AD147" s="808"/>
      <c r="AE147" s="811" t="s">
        <v>10</v>
      </c>
      <c r="AF147" s="808"/>
      <c r="AG147" s="808"/>
      <c r="AH147" s="808"/>
      <c r="AI147" s="812"/>
    </row>
    <row r="148" spans="1:36" ht="21.95" customHeight="1">
      <c r="A148" s="576"/>
      <c r="B148" s="832"/>
      <c r="C148" s="815"/>
      <c r="D148" s="831"/>
      <c r="E148" s="816"/>
      <c r="F148" s="813"/>
      <c r="G148" s="815"/>
      <c r="H148" s="831"/>
      <c r="I148" s="816"/>
      <c r="J148" s="813"/>
      <c r="K148" s="815"/>
      <c r="L148" s="831"/>
      <c r="M148" s="816"/>
      <c r="N148" s="813"/>
      <c r="O148" s="815"/>
      <c r="P148" s="831"/>
      <c r="Q148" s="816"/>
      <c r="R148" s="813"/>
      <c r="S148" s="815"/>
      <c r="T148" s="831"/>
      <c r="U148" s="816"/>
      <c r="V148" s="813"/>
      <c r="W148" s="815"/>
      <c r="X148" s="816"/>
      <c r="Y148" s="816"/>
      <c r="Z148" s="813"/>
      <c r="AA148" s="815"/>
      <c r="AB148" s="816"/>
      <c r="AC148" s="816"/>
      <c r="AD148" s="816"/>
      <c r="AE148" s="815"/>
      <c r="AF148" s="816"/>
      <c r="AG148" s="816"/>
      <c r="AH148" s="818"/>
      <c r="AI148" s="819"/>
    </row>
    <row r="149" spans="1:36" ht="21.95" customHeight="1">
      <c r="A149" s="576"/>
      <c r="B149" s="833"/>
      <c r="C149" s="815"/>
      <c r="D149" s="831"/>
      <c r="E149" s="816"/>
      <c r="F149" s="813"/>
      <c r="G149" s="815"/>
      <c r="H149" s="831"/>
      <c r="I149" s="816"/>
      <c r="J149" s="813"/>
      <c r="K149" s="815"/>
      <c r="L149" s="831"/>
      <c r="M149" s="816"/>
      <c r="N149" s="813"/>
      <c r="O149" s="815"/>
      <c r="P149" s="831"/>
      <c r="Q149" s="816"/>
      <c r="R149" s="813"/>
      <c r="S149" s="815"/>
      <c r="T149" s="831"/>
      <c r="U149" s="816"/>
      <c r="V149" s="813"/>
      <c r="W149" s="815"/>
      <c r="X149" s="816"/>
      <c r="Y149" s="816"/>
      <c r="Z149" s="813"/>
      <c r="AA149" s="815"/>
      <c r="AB149" s="816"/>
      <c r="AC149" s="816"/>
      <c r="AD149" s="816"/>
      <c r="AE149" s="815"/>
      <c r="AF149" s="816"/>
      <c r="AG149" s="816"/>
      <c r="AH149" s="818"/>
      <c r="AI149" s="819"/>
    </row>
    <row r="150" spans="1:36" ht="21.95" customHeight="1">
      <c r="A150" s="576"/>
      <c r="B150" s="833"/>
      <c r="C150" s="815"/>
      <c r="D150" s="831"/>
      <c r="E150" s="816"/>
      <c r="F150" s="813"/>
      <c r="G150" s="815"/>
      <c r="H150" s="831"/>
      <c r="I150" s="816"/>
      <c r="J150" s="813"/>
      <c r="K150" s="815"/>
      <c r="L150" s="831"/>
      <c r="M150" s="816"/>
      <c r="N150" s="813"/>
      <c r="O150" s="815"/>
      <c r="P150" s="831"/>
      <c r="Q150" s="816"/>
      <c r="R150" s="813"/>
      <c r="S150" s="815"/>
      <c r="T150" s="831"/>
      <c r="U150" s="816"/>
      <c r="V150" s="813"/>
      <c r="W150" s="815"/>
      <c r="X150" s="816"/>
      <c r="Y150" s="816"/>
      <c r="Z150" s="813"/>
      <c r="AA150" s="815"/>
      <c r="AB150" s="816"/>
      <c r="AC150" s="816"/>
      <c r="AD150" s="816"/>
      <c r="AE150" s="815"/>
      <c r="AF150" s="816"/>
      <c r="AG150" s="816"/>
      <c r="AH150" s="818"/>
      <c r="AI150" s="819"/>
    </row>
    <row r="151" spans="1:36" ht="21.95" customHeight="1" thickBot="1">
      <c r="A151" s="576"/>
      <c r="B151" s="847"/>
      <c r="C151" s="555"/>
      <c r="D151" s="555"/>
      <c r="E151" s="555"/>
      <c r="F151" s="555"/>
      <c r="G151" s="555"/>
      <c r="H151" s="555"/>
      <c r="I151" s="555"/>
      <c r="J151" s="555"/>
      <c r="K151" s="555"/>
      <c r="L151" s="555"/>
      <c r="M151" s="555"/>
      <c r="N151" s="555"/>
      <c r="O151" s="555"/>
      <c r="P151" s="555"/>
      <c r="Q151" s="555"/>
      <c r="R151" s="555"/>
      <c r="S151" s="555"/>
      <c r="T151" s="555"/>
      <c r="U151" s="555"/>
      <c r="V151" s="555"/>
      <c r="W151" s="555"/>
      <c r="X151" s="555"/>
      <c r="Y151" s="555"/>
      <c r="Z151" s="555"/>
      <c r="AA151" s="555"/>
      <c r="AB151" s="555"/>
      <c r="AC151" s="555"/>
      <c r="AD151" s="555"/>
      <c r="AE151" s="555"/>
      <c r="AF151" s="555"/>
      <c r="AG151" s="555"/>
      <c r="AH151" s="556"/>
      <c r="AI151" s="556"/>
    </row>
    <row r="152" spans="1:36" ht="21.95" customHeight="1" thickBot="1">
      <c r="A152" s="785"/>
      <c r="B152" s="883" t="s">
        <v>476</v>
      </c>
      <c r="C152" s="863">
        <v>1</v>
      </c>
      <c r="D152" s="863">
        <v>2</v>
      </c>
      <c r="E152" s="863">
        <v>3</v>
      </c>
      <c r="F152" s="863">
        <v>4</v>
      </c>
      <c r="G152" s="863">
        <v>5</v>
      </c>
      <c r="H152" s="880">
        <v>6</v>
      </c>
      <c r="I152" s="880">
        <v>7</v>
      </c>
      <c r="J152" s="863">
        <v>8</v>
      </c>
      <c r="K152" s="863">
        <v>9</v>
      </c>
      <c r="L152" s="863">
        <v>10</v>
      </c>
      <c r="M152" s="863">
        <v>11</v>
      </c>
      <c r="N152" s="863">
        <v>12</v>
      </c>
      <c r="O152" s="880">
        <v>13</v>
      </c>
      <c r="P152" s="880">
        <v>14</v>
      </c>
      <c r="Q152" s="863">
        <v>15</v>
      </c>
      <c r="R152" s="863">
        <v>16</v>
      </c>
      <c r="S152" s="863">
        <v>17</v>
      </c>
      <c r="T152" s="863">
        <v>18</v>
      </c>
      <c r="U152" s="863">
        <v>19</v>
      </c>
      <c r="V152" s="880">
        <v>20</v>
      </c>
      <c r="W152" s="880">
        <v>21</v>
      </c>
      <c r="X152" s="863">
        <v>22</v>
      </c>
      <c r="Y152" s="863">
        <v>23</v>
      </c>
      <c r="Z152" s="863">
        <v>24</v>
      </c>
      <c r="AA152" s="863">
        <v>25</v>
      </c>
      <c r="AB152" s="863">
        <v>26</v>
      </c>
      <c r="AC152" s="880">
        <v>27</v>
      </c>
      <c r="AD152" s="880">
        <v>28</v>
      </c>
      <c r="AE152" s="863">
        <v>29</v>
      </c>
      <c r="AF152" s="863">
        <v>30</v>
      </c>
      <c r="AG152" s="945"/>
      <c r="AH152" s="884" t="s">
        <v>477</v>
      </c>
      <c r="AI152" s="885" t="s">
        <v>478</v>
      </c>
    </row>
    <row r="153" spans="1:36" ht="21.95" customHeight="1">
      <c r="A153" s="576"/>
      <c r="B153" s="890" t="s">
        <v>640</v>
      </c>
      <c r="C153" s="768" t="s">
        <v>491</v>
      </c>
      <c r="D153" s="768" t="s">
        <v>491</v>
      </c>
      <c r="E153" s="768" t="s">
        <v>491</v>
      </c>
      <c r="F153" s="768" t="s">
        <v>491</v>
      </c>
      <c r="G153" s="768" t="s">
        <v>491</v>
      </c>
      <c r="H153" s="768"/>
      <c r="I153" s="768"/>
      <c r="J153" s="768" t="s">
        <v>491</v>
      </c>
      <c r="K153" s="768" t="s">
        <v>491</v>
      </c>
      <c r="L153" s="768" t="s">
        <v>491</v>
      </c>
      <c r="M153" s="768" t="s">
        <v>491</v>
      </c>
      <c r="N153" s="768" t="s">
        <v>491</v>
      </c>
      <c r="O153" s="768"/>
      <c r="P153" s="768"/>
      <c r="Q153" s="768" t="s">
        <v>491</v>
      </c>
      <c r="R153" s="768" t="s">
        <v>491</v>
      </c>
      <c r="S153" s="768" t="s">
        <v>491</v>
      </c>
      <c r="T153" s="768" t="s">
        <v>491</v>
      </c>
      <c r="U153" s="768" t="s">
        <v>491</v>
      </c>
      <c r="V153" s="768"/>
      <c r="W153" s="768"/>
      <c r="X153" s="768" t="s">
        <v>491</v>
      </c>
      <c r="Y153" s="768" t="s">
        <v>491</v>
      </c>
      <c r="Z153" s="768" t="s">
        <v>491</v>
      </c>
      <c r="AA153" s="768" t="s">
        <v>491</v>
      </c>
      <c r="AB153" s="768" t="s">
        <v>491</v>
      </c>
      <c r="AC153" s="768"/>
      <c r="AD153" s="768"/>
      <c r="AE153" s="768" t="s">
        <v>491</v>
      </c>
      <c r="AF153" s="768" t="s">
        <v>491</v>
      </c>
      <c r="AG153" s="882"/>
      <c r="AH153" s="510">
        <v>111</v>
      </c>
      <c r="AI153" s="511">
        <v>37</v>
      </c>
    </row>
    <row r="154" spans="1:36" ht="21.95" customHeight="1">
      <c r="A154" s="576"/>
      <c r="B154" s="859" t="s">
        <v>742</v>
      </c>
      <c r="C154" s="768" t="s">
        <v>491</v>
      </c>
      <c r="D154" s="768" t="s">
        <v>491</v>
      </c>
      <c r="E154" s="768" t="s">
        <v>491</v>
      </c>
      <c r="F154" s="768" t="s">
        <v>491</v>
      </c>
      <c r="G154" s="768" t="s">
        <v>491</v>
      </c>
      <c r="H154" s="768"/>
      <c r="I154" s="768"/>
      <c r="J154" s="768" t="s">
        <v>491</v>
      </c>
      <c r="K154" s="768" t="s">
        <v>491</v>
      </c>
      <c r="L154" s="768" t="s">
        <v>491</v>
      </c>
      <c r="M154" s="768" t="s">
        <v>491</v>
      </c>
      <c r="N154" s="768" t="s">
        <v>491</v>
      </c>
      <c r="O154" s="768"/>
      <c r="P154" s="768"/>
      <c r="Q154" s="768" t="s">
        <v>491</v>
      </c>
      <c r="R154" s="768" t="s">
        <v>491</v>
      </c>
      <c r="S154" s="768" t="s">
        <v>491</v>
      </c>
      <c r="T154" s="768" t="s">
        <v>491</v>
      </c>
      <c r="U154" s="768" t="s">
        <v>491</v>
      </c>
      <c r="V154" s="768"/>
      <c r="W154" s="768"/>
      <c r="X154" s="768" t="s">
        <v>491</v>
      </c>
      <c r="Y154" s="768" t="s">
        <v>491</v>
      </c>
      <c r="Z154" s="768" t="s">
        <v>491</v>
      </c>
      <c r="AA154" s="768" t="s">
        <v>491</v>
      </c>
      <c r="AB154" s="768" t="s">
        <v>491</v>
      </c>
      <c r="AC154" s="768"/>
      <c r="AD154" s="768"/>
      <c r="AE154" s="768" t="s">
        <v>491</v>
      </c>
      <c r="AF154" s="768" t="s">
        <v>491</v>
      </c>
      <c r="AG154" s="837"/>
      <c r="AH154" s="924">
        <v>185</v>
      </c>
      <c r="AI154" s="925">
        <v>37</v>
      </c>
    </row>
    <row r="155" spans="1:36" ht="21.95" customHeight="1">
      <c r="A155" s="576"/>
      <c r="B155" s="821" t="s">
        <v>641</v>
      </c>
      <c r="C155" s="1038" t="s">
        <v>491</v>
      </c>
      <c r="D155" s="1038" t="s">
        <v>491</v>
      </c>
      <c r="E155" s="1038" t="s">
        <v>491</v>
      </c>
      <c r="F155" s="1038" t="s">
        <v>491</v>
      </c>
      <c r="G155" s="1038" t="s">
        <v>491</v>
      </c>
      <c r="H155" s="1038"/>
      <c r="I155" s="1038"/>
      <c r="J155" s="1038" t="s">
        <v>765</v>
      </c>
      <c r="K155" s="768" t="s">
        <v>491</v>
      </c>
      <c r="L155" s="768" t="s">
        <v>491</v>
      </c>
      <c r="M155" s="768" t="s">
        <v>491</v>
      </c>
      <c r="N155" s="988" t="s">
        <v>491</v>
      </c>
      <c r="O155" s="988"/>
      <c r="P155" s="988"/>
      <c r="Q155" s="988" t="s">
        <v>491</v>
      </c>
      <c r="R155" s="988" t="s">
        <v>491</v>
      </c>
      <c r="S155" s="988" t="s">
        <v>491</v>
      </c>
      <c r="T155" s="988" t="s">
        <v>491</v>
      </c>
      <c r="U155" s="988" t="s">
        <v>491</v>
      </c>
      <c r="V155" s="768"/>
      <c r="W155" s="768"/>
      <c r="X155" s="768" t="s">
        <v>491</v>
      </c>
      <c r="Y155" s="768" t="s">
        <v>491</v>
      </c>
      <c r="Z155" s="768" t="s">
        <v>491</v>
      </c>
      <c r="AA155" s="768" t="s">
        <v>491</v>
      </c>
      <c r="AB155" s="768" t="s">
        <v>491</v>
      </c>
      <c r="AC155" s="768"/>
      <c r="AD155" s="768"/>
      <c r="AE155" s="768" t="s">
        <v>491</v>
      </c>
      <c r="AF155" s="768" t="s">
        <v>491</v>
      </c>
      <c r="AG155" s="837"/>
      <c r="AH155" s="924">
        <v>75</v>
      </c>
      <c r="AI155" s="925">
        <v>37</v>
      </c>
    </row>
    <row r="156" spans="1:36" ht="21.95" customHeight="1">
      <c r="A156" s="576"/>
      <c r="B156" s="821" t="s">
        <v>642</v>
      </c>
      <c r="C156" s="768" t="s">
        <v>491</v>
      </c>
      <c r="D156" s="768" t="s">
        <v>491</v>
      </c>
      <c r="E156" s="768" t="s">
        <v>491</v>
      </c>
      <c r="F156" s="768" t="s">
        <v>491</v>
      </c>
      <c r="G156" s="768" t="s">
        <v>491</v>
      </c>
      <c r="H156" s="768"/>
      <c r="I156" s="768"/>
      <c r="J156" s="768" t="s">
        <v>491</v>
      </c>
      <c r="K156" s="768" t="s">
        <v>491</v>
      </c>
      <c r="L156" s="768" t="s">
        <v>491</v>
      </c>
      <c r="M156" s="768" t="s">
        <v>491</v>
      </c>
      <c r="N156" s="768" t="s">
        <v>491</v>
      </c>
      <c r="O156" s="768"/>
      <c r="P156" s="768"/>
      <c r="Q156" s="768" t="s">
        <v>491</v>
      </c>
      <c r="R156" s="768" t="s">
        <v>491</v>
      </c>
      <c r="S156" s="768" t="s">
        <v>491</v>
      </c>
      <c r="T156" s="768" t="s">
        <v>491</v>
      </c>
      <c r="U156" s="768" t="s">
        <v>491</v>
      </c>
      <c r="V156" s="768"/>
      <c r="W156" s="768"/>
      <c r="X156" s="768" t="s">
        <v>491</v>
      </c>
      <c r="Y156" s="768" t="s">
        <v>491</v>
      </c>
      <c r="Z156" s="768" t="s">
        <v>491</v>
      </c>
      <c r="AA156" s="768" t="s">
        <v>491</v>
      </c>
      <c r="AB156" s="768" t="s">
        <v>491</v>
      </c>
      <c r="AC156" s="768"/>
      <c r="AD156" s="768"/>
      <c r="AE156" s="768" t="s">
        <v>491</v>
      </c>
      <c r="AF156" s="768" t="s">
        <v>491</v>
      </c>
      <c r="AG156" s="837"/>
      <c r="AH156" s="924">
        <v>89</v>
      </c>
      <c r="AI156" s="925">
        <v>37</v>
      </c>
    </row>
    <row r="157" spans="1:36" ht="21.95" customHeight="1">
      <c r="A157" s="576"/>
      <c r="B157" s="821" t="s">
        <v>643</v>
      </c>
      <c r="C157" s="768" t="s">
        <v>491</v>
      </c>
      <c r="D157" s="768" t="s">
        <v>491</v>
      </c>
      <c r="E157" s="768" t="s">
        <v>491</v>
      </c>
      <c r="F157" s="768" t="s">
        <v>491</v>
      </c>
      <c r="G157" s="768" t="s">
        <v>491</v>
      </c>
      <c r="H157" s="768"/>
      <c r="I157" s="768"/>
      <c r="J157" s="768" t="s">
        <v>491</v>
      </c>
      <c r="K157" s="768" t="s">
        <v>491</v>
      </c>
      <c r="L157" s="768" t="s">
        <v>491</v>
      </c>
      <c r="M157" s="768" t="s">
        <v>491</v>
      </c>
      <c r="N157" s="768" t="s">
        <v>491</v>
      </c>
      <c r="O157" s="768"/>
      <c r="P157" s="768"/>
      <c r="Q157" s="768" t="s">
        <v>491</v>
      </c>
      <c r="R157" s="768" t="s">
        <v>491</v>
      </c>
      <c r="S157" s="768" t="s">
        <v>491</v>
      </c>
      <c r="T157" s="768" t="s">
        <v>491</v>
      </c>
      <c r="U157" s="768" t="s">
        <v>491</v>
      </c>
      <c r="V157" s="768"/>
      <c r="W157" s="768"/>
      <c r="X157" s="768" t="s">
        <v>491</v>
      </c>
      <c r="Y157" s="768" t="s">
        <v>491</v>
      </c>
      <c r="Z157" s="768" t="s">
        <v>491</v>
      </c>
      <c r="AA157" s="768" t="s">
        <v>491</v>
      </c>
      <c r="AB157" s="768" t="s">
        <v>491</v>
      </c>
      <c r="AC157" s="768"/>
      <c r="AD157" s="768"/>
      <c r="AE157" s="768" t="s">
        <v>491</v>
      </c>
      <c r="AF157" s="768" t="s">
        <v>491</v>
      </c>
      <c r="AG157" s="837"/>
      <c r="AH157" s="924">
        <v>74.5</v>
      </c>
      <c r="AI157" s="925">
        <v>37</v>
      </c>
    </row>
    <row r="158" spans="1:36" ht="21.95" customHeight="1" thickBot="1">
      <c r="A158" s="576"/>
      <c r="B158" s="891"/>
      <c r="C158" s="768" t="s">
        <v>491</v>
      </c>
      <c r="D158" s="768" t="s">
        <v>491</v>
      </c>
      <c r="E158" s="768" t="s">
        <v>491</v>
      </c>
      <c r="F158" s="768" t="s">
        <v>491</v>
      </c>
      <c r="G158" s="768" t="s">
        <v>491</v>
      </c>
      <c r="H158" s="768"/>
      <c r="I158" s="768"/>
      <c r="J158" s="768" t="s">
        <v>491</v>
      </c>
      <c r="K158" s="768" t="s">
        <v>491</v>
      </c>
      <c r="L158" s="768" t="s">
        <v>491</v>
      </c>
      <c r="M158" s="768" t="s">
        <v>491</v>
      </c>
      <c r="N158" s="768" t="s">
        <v>491</v>
      </c>
      <c r="O158" s="768"/>
      <c r="P158" s="768"/>
      <c r="Q158" s="768" t="s">
        <v>491</v>
      </c>
      <c r="R158" s="768" t="s">
        <v>491</v>
      </c>
      <c r="S158" s="768" t="s">
        <v>491</v>
      </c>
      <c r="T158" s="768" t="s">
        <v>491</v>
      </c>
      <c r="U158" s="768" t="s">
        <v>491</v>
      </c>
      <c r="V158" s="768"/>
      <c r="W158" s="768"/>
      <c r="X158" s="768" t="s">
        <v>491</v>
      </c>
      <c r="Y158" s="768" t="s">
        <v>491</v>
      </c>
      <c r="Z158" s="768" t="s">
        <v>491</v>
      </c>
      <c r="AA158" s="768" t="s">
        <v>491</v>
      </c>
      <c r="AB158" s="768" t="s">
        <v>491</v>
      </c>
      <c r="AC158" s="768"/>
      <c r="AD158" s="768"/>
      <c r="AE158" s="768" t="s">
        <v>491</v>
      </c>
      <c r="AF158" s="768" t="s">
        <v>491</v>
      </c>
      <c r="AG158" s="887"/>
      <c r="AH158" s="868">
        <v>185</v>
      </c>
      <c r="AI158" s="869">
        <v>37</v>
      </c>
    </row>
    <row r="159" spans="1:36" ht="21.95" customHeight="1">
      <c r="A159" s="576"/>
      <c r="B159" s="847"/>
      <c r="C159" s="555"/>
      <c r="D159" s="555"/>
      <c r="E159" s="555"/>
      <c r="F159" s="555"/>
      <c r="G159" s="555"/>
      <c r="H159" s="555"/>
      <c r="I159" s="555"/>
      <c r="J159" s="555"/>
      <c r="K159" s="555"/>
      <c r="L159" s="555"/>
      <c r="M159" s="555"/>
      <c r="N159" s="555"/>
      <c r="O159" s="555"/>
      <c r="P159" s="555"/>
      <c r="Q159" s="555"/>
      <c r="R159" s="555"/>
      <c r="S159" s="555"/>
      <c r="T159" s="555"/>
      <c r="U159" s="555"/>
      <c r="V159" s="555"/>
      <c r="W159" s="555"/>
      <c r="X159" s="555"/>
      <c r="Y159" s="555"/>
      <c r="Z159" s="555"/>
      <c r="AA159" s="555"/>
      <c r="AB159" s="555"/>
      <c r="AC159" s="555"/>
      <c r="AD159" s="555"/>
      <c r="AE159" s="555"/>
      <c r="AF159" s="555"/>
      <c r="AG159" s="555"/>
      <c r="AH159" s="556"/>
      <c r="AI159" s="556"/>
    </row>
    <row r="160" spans="1:36" ht="21.95" customHeight="1">
      <c r="A160" s="312" t="s">
        <v>644</v>
      </c>
      <c r="C160" s="555"/>
      <c r="D160" s="555"/>
      <c r="E160" s="555"/>
      <c r="F160" s="555"/>
      <c r="G160" s="555"/>
      <c r="H160" s="555"/>
      <c r="I160" s="555"/>
      <c r="J160" s="555"/>
      <c r="K160" s="555"/>
      <c r="L160" s="555"/>
      <c r="M160" s="555"/>
      <c r="N160" s="555"/>
      <c r="O160" s="555"/>
      <c r="P160" s="555"/>
      <c r="Q160" s="555"/>
      <c r="R160" s="555"/>
      <c r="S160" s="555"/>
      <c r="T160" s="555"/>
      <c r="U160" s="555"/>
      <c r="V160" s="555"/>
      <c r="W160" s="555"/>
      <c r="X160" s="555"/>
      <c r="Y160" s="555"/>
      <c r="Z160" s="555"/>
      <c r="AA160" s="555"/>
      <c r="AB160" s="555"/>
      <c r="AC160" s="555"/>
      <c r="AD160" s="555"/>
      <c r="AE160" s="555"/>
      <c r="AF160" s="555"/>
      <c r="AG160" s="555"/>
      <c r="AH160" s="556"/>
      <c r="AI160" s="556"/>
      <c r="AJ160" s="361"/>
    </row>
    <row r="161" spans="1:36" ht="21.95" customHeight="1">
      <c r="A161" s="299" t="s">
        <v>475</v>
      </c>
      <c r="B161" s="299"/>
      <c r="C161" s="153"/>
      <c r="D161" s="299" t="s">
        <v>2</v>
      </c>
      <c r="E161" s="186"/>
      <c r="F161" s="153"/>
      <c r="G161" s="299" t="s">
        <v>3</v>
      </c>
      <c r="H161" s="186"/>
      <c r="I161" s="153"/>
      <c r="J161" s="299" t="s">
        <v>4</v>
      </c>
      <c r="K161" s="186"/>
      <c r="L161" s="153"/>
      <c r="M161" s="299" t="s">
        <v>5</v>
      </c>
      <c r="N161" s="186"/>
      <c r="O161" s="153"/>
      <c r="P161" s="299" t="s">
        <v>6</v>
      </c>
      <c r="Q161" s="186"/>
      <c r="R161" s="134"/>
      <c r="S161" s="199" t="s">
        <v>7</v>
      </c>
      <c r="T161" s="186"/>
      <c r="U161" s="153"/>
      <c r="V161" s="299" t="s">
        <v>8</v>
      </c>
      <c r="W161" s="186"/>
      <c r="X161" s="585" t="s">
        <v>10</v>
      </c>
      <c r="Y161" s="186"/>
      <c r="Z161" s="186"/>
      <c r="AA161" s="561"/>
      <c r="AB161" s="483"/>
      <c r="AC161" s="483"/>
      <c r="AD161" s="483"/>
      <c r="AE161" s="483"/>
      <c r="AF161" s="483"/>
      <c r="AG161" s="484"/>
      <c r="AH161" s="361"/>
      <c r="AI161" s="361"/>
      <c r="AJ161" s="361"/>
    </row>
    <row r="162" spans="1:36" ht="21.95" customHeight="1">
      <c r="A162" s="130">
        <v>8517</v>
      </c>
      <c r="B162" s="500" t="s">
        <v>645</v>
      </c>
      <c r="C162" s="584" t="s">
        <v>124</v>
      </c>
      <c r="D162" s="581"/>
      <c r="E162" s="586"/>
      <c r="F162" s="584" t="s">
        <v>124</v>
      </c>
      <c r="G162" s="587"/>
      <c r="H162" s="586"/>
      <c r="I162" s="121" t="s">
        <v>124</v>
      </c>
      <c r="J162" s="565"/>
      <c r="K162" s="588"/>
      <c r="L162" s="121" t="s">
        <v>124</v>
      </c>
      <c r="M162" s="565"/>
      <c r="N162" s="588"/>
      <c r="O162" s="121" t="s">
        <v>125</v>
      </c>
      <c r="P162" s="565"/>
      <c r="Q162" s="477"/>
      <c r="R162" s="589" t="s">
        <v>28</v>
      </c>
      <c r="S162" s="565"/>
      <c r="T162" s="588"/>
      <c r="U162" s="565" t="s">
        <v>28</v>
      </c>
      <c r="V162" s="565"/>
      <c r="W162" s="477"/>
      <c r="X162" s="145" t="s">
        <v>28</v>
      </c>
      <c r="Y162" s="361"/>
      <c r="Z162" s="361"/>
      <c r="AA162" s="361"/>
      <c r="AB162" s="361"/>
      <c r="AC162" s="361"/>
      <c r="AD162" s="361"/>
      <c r="AE162" s="361"/>
      <c r="AF162" s="361"/>
      <c r="AG162" s="590"/>
      <c r="AH162" s="361"/>
      <c r="AI162" s="361"/>
      <c r="AJ162" s="361"/>
    </row>
    <row r="163" spans="1:36" ht="21.95" customHeight="1">
      <c r="A163" s="591">
        <v>8502</v>
      </c>
      <c r="B163" s="592" t="s">
        <v>646</v>
      </c>
      <c r="C163" s="121" t="s">
        <v>11</v>
      </c>
      <c r="D163" s="565"/>
      <c r="E163" s="477"/>
      <c r="F163" s="121" t="s">
        <v>11</v>
      </c>
      <c r="G163" s="565"/>
      <c r="H163" s="588"/>
      <c r="I163" s="121" t="s">
        <v>11</v>
      </c>
      <c r="J163" s="565"/>
      <c r="K163" s="588"/>
      <c r="L163" s="121" t="s">
        <v>11</v>
      </c>
      <c r="M163" s="565"/>
      <c r="N163" s="588"/>
      <c r="O163" s="121" t="s">
        <v>12</v>
      </c>
      <c r="P163" s="565"/>
      <c r="Q163" s="477"/>
      <c r="R163" s="593"/>
      <c r="S163" s="594"/>
      <c r="T163" s="588"/>
      <c r="U163" s="565"/>
      <c r="V163" s="565"/>
      <c r="W163" s="477"/>
      <c r="X163" s="476"/>
      <c r="Y163" s="483"/>
      <c r="Z163" s="483"/>
      <c r="AA163" s="483"/>
      <c r="AB163" s="483"/>
      <c r="AC163" s="483"/>
      <c r="AD163" s="483"/>
      <c r="AE163" s="483"/>
      <c r="AF163" s="483"/>
      <c r="AG163" s="484"/>
      <c r="AH163" s="361"/>
      <c r="AI163" s="361"/>
      <c r="AJ163" s="361"/>
    </row>
    <row r="164" spans="1:36" ht="21.95" customHeight="1" thickBot="1">
      <c r="A164" s="274"/>
      <c r="B164" s="516"/>
      <c r="C164" s="354"/>
      <c r="D164" s="354"/>
      <c r="E164" s="73"/>
      <c r="F164" s="354"/>
      <c r="G164" s="354"/>
      <c r="H164" s="73"/>
      <c r="I164" s="354"/>
      <c r="J164" s="354"/>
      <c r="K164" s="73"/>
      <c r="L164" s="354"/>
      <c r="M164" s="354"/>
      <c r="N164" s="73"/>
      <c r="O164" s="354"/>
      <c r="P164" s="354"/>
      <c r="Q164" s="73"/>
      <c r="R164" s="168"/>
      <c r="S164" s="354"/>
      <c r="T164" s="73"/>
      <c r="U164" s="354"/>
      <c r="V164" s="354"/>
      <c r="W164" s="73"/>
      <c r="X164" s="73"/>
      <c r="Y164" s="361"/>
      <c r="Z164" s="361"/>
      <c r="AA164" s="361"/>
      <c r="AB164" s="361"/>
      <c r="AC164" s="361"/>
      <c r="AD164" s="361"/>
      <c r="AE164" s="361"/>
      <c r="AF164" s="361"/>
      <c r="AG164" s="361"/>
      <c r="AH164" s="361"/>
      <c r="AI164" s="361"/>
    </row>
    <row r="165" spans="1:36" ht="21.95" customHeight="1" thickBot="1">
      <c r="A165" s="595"/>
      <c r="B165" s="862" t="s">
        <v>476</v>
      </c>
      <c r="C165" s="863">
        <v>1</v>
      </c>
      <c r="D165" s="863">
        <v>2</v>
      </c>
      <c r="E165" s="863">
        <v>3</v>
      </c>
      <c r="F165" s="863">
        <v>4</v>
      </c>
      <c r="G165" s="863">
        <v>5</v>
      </c>
      <c r="H165" s="880">
        <v>6</v>
      </c>
      <c r="I165" s="880">
        <v>7</v>
      </c>
      <c r="J165" s="863">
        <v>8</v>
      </c>
      <c r="K165" s="863">
        <v>9</v>
      </c>
      <c r="L165" s="863">
        <v>10</v>
      </c>
      <c r="M165" s="863">
        <v>11</v>
      </c>
      <c r="N165" s="863">
        <v>12</v>
      </c>
      <c r="O165" s="880">
        <v>13</v>
      </c>
      <c r="P165" s="880">
        <v>14</v>
      </c>
      <c r="Q165" s="863">
        <v>15</v>
      </c>
      <c r="R165" s="863">
        <v>16</v>
      </c>
      <c r="S165" s="863">
        <v>17</v>
      </c>
      <c r="T165" s="863">
        <v>18</v>
      </c>
      <c r="U165" s="863">
        <v>19</v>
      </c>
      <c r="V165" s="880">
        <v>20</v>
      </c>
      <c r="W165" s="880">
        <v>21</v>
      </c>
      <c r="X165" s="863">
        <v>22</v>
      </c>
      <c r="Y165" s="863">
        <v>23</v>
      </c>
      <c r="Z165" s="863">
        <v>24</v>
      </c>
      <c r="AA165" s="863">
        <v>25</v>
      </c>
      <c r="AB165" s="863">
        <v>26</v>
      </c>
      <c r="AC165" s="880">
        <v>27</v>
      </c>
      <c r="AD165" s="880">
        <v>28</v>
      </c>
      <c r="AE165" s="863">
        <v>29</v>
      </c>
      <c r="AF165" s="863">
        <v>30</v>
      </c>
      <c r="AG165" s="943"/>
      <c r="AH165" s="864" t="s">
        <v>477</v>
      </c>
      <c r="AI165" s="865" t="s">
        <v>478</v>
      </c>
    </row>
    <row r="166" spans="1:36" ht="21.95" customHeight="1">
      <c r="A166" s="596">
        <v>1</v>
      </c>
      <c r="B166" s="542" t="s">
        <v>516</v>
      </c>
      <c r="C166" s="1038" t="s">
        <v>553</v>
      </c>
      <c r="D166" s="1038" t="s">
        <v>553</v>
      </c>
      <c r="E166" s="1038" t="s">
        <v>481</v>
      </c>
      <c r="F166" s="1038" t="s">
        <v>553</v>
      </c>
      <c r="G166" s="1038" t="s">
        <v>553</v>
      </c>
      <c r="H166" s="1038" t="s">
        <v>555</v>
      </c>
      <c r="I166" s="1038" t="s">
        <v>555</v>
      </c>
      <c r="J166" s="1038" t="s">
        <v>481</v>
      </c>
      <c r="K166" s="1038" t="s">
        <v>481</v>
      </c>
      <c r="L166" s="1038" t="s">
        <v>481</v>
      </c>
      <c r="M166" s="1038" t="s">
        <v>481</v>
      </c>
      <c r="N166" s="1038" t="s">
        <v>481</v>
      </c>
      <c r="O166" s="768"/>
      <c r="P166" s="768"/>
      <c r="Q166" s="1038" t="s">
        <v>554</v>
      </c>
      <c r="R166" s="1038" t="s">
        <v>554</v>
      </c>
      <c r="S166" s="1038" t="s">
        <v>554</v>
      </c>
      <c r="T166" s="1038" t="s">
        <v>554</v>
      </c>
      <c r="U166" s="1038" t="s">
        <v>554</v>
      </c>
      <c r="V166" s="1038"/>
      <c r="W166" s="1038"/>
      <c r="X166" s="1038">
        <v>3</v>
      </c>
      <c r="Y166" s="1038">
        <v>3</v>
      </c>
      <c r="Z166" s="1038">
        <v>3</v>
      </c>
      <c r="AA166" s="1038">
        <v>3</v>
      </c>
      <c r="AB166" s="1038">
        <v>3</v>
      </c>
      <c r="AC166" s="1038"/>
      <c r="AD166" s="1038"/>
      <c r="AE166" s="1038">
        <v>11</v>
      </c>
      <c r="AF166" s="1038">
        <v>11</v>
      </c>
      <c r="AG166" s="771"/>
      <c r="AH166" s="892">
        <v>161.75</v>
      </c>
      <c r="AI166" s="893">
        <v>37</v>
      </c>
    </row>
    <row r="167" spans="1:36" ht="21.95" customHeight="1" thickBot="1">
      <c r="A167" s="596">
        <v>2</v>
      </c>
      <c r="B167" s="153" t="s">
        <v>648</v>
      </c>
      <c r="C167" s="768" t="s">
        <v>585</v>
      </c>
      <c r="D167" s="768" t="s">
        <v>585</v>
      </c>
      <c r="E167" s="768" t="s">
        <v>585</v>
      </c>
      <c r="F167" s="768" t="s">
        <v>585</v>
      </c>
      <c r="G167" s="768" t="s">
        <v>585</v>
      </c>
      <c r="H167" s="768"/>
      <c r="I167" s="768"/>
      <c r="J167" s="768" t="s">
        <v>583</v>
      </c>
      <c r="K167" s="768" t="s">
        <v>583</v>
      </c>
      <c r="L167" s="768" t="s">
        <v>583</v>
      </c>
      <c r="M167" s="768" t="s">
        <v>583</v>
      </c>
      <c r="N167" s="768" t="s">
        <v>583</v>
      </c>
      <c r="O167" s="768" t="s">
        <v>583</v>
      </c>
      <c r="P167" s="768"/>
      <c r="Q167" s="1038" t="s">
        <v>584</v>
      </c>
      <c r="R167" s="1038" t="s">
        <v>585</v>
      </c>
      <c r="S167" s="1038" t="s">
        <v>585</v>
      </c>
      <c r="T167" s="1038" t="s">
        <v>585</v>
      </c>
      <c r="U167" s="1000" t="s">
        <v>585</v>
      </c>
      <c r="V167" s="1000"/>
      <c r="W167" s="1000"/>
      <c r="X167" s="1000" t="s">
        <v>583</v>
      </c>
      <c r="Y167" s="1000" t="s">
        <v>583</v>
      </c>
      <c r="Z167" s="1000" t="s">
        <v>753</v>
      </c>
      <c r="AA167" s="764" t="s">
        <v>583</v>
      </c>
      <c r="AB167" s="764" t="s">
        <v>583</v>
      </c>
      <c r="AC167" s="764" t="s">
        <v>583</v>
      </c>
      <c r="AD167" s="764"/>
      <c r="AE167" s="764" t="s">
        <v>584</v>
      </c>
      <c r="AF167" s="764" t="s">
        <v>584</v>
      </c>
      <c r="AG167" s="769"/>
      <c r="AH167" s="822">
        <v>74</v>
      </c>
      <c r="AI167" s="823">
        <v>37</v>
      </c>
    </row>
    <row r="168" spans="1:36" ht="21.95" customHeight="1">
      <c r="A168" s="596">
        <v>3</v>
      </c>
      <c r="B168" s="601" t="s">
        <v>651</v>
      </c>
      <c r="C168" s="768" t="s">
        <v>540</v>
      </c>
      <c r="D168" s="768" t="s">
        <v>540</v>
      </c>
      <c r="E168" s="768" t="s">
        <v>540</v>
      </c>
      <c r="F168" s="768" t="s">
        <v>540</v>
      </c>
      <c r="G168" s="768" t="s">
        <v>540</v>
      </c>
      <c r="H168" s="1044"/>
      <c r="I168" s="987"/>
      <c r="J168" s="768" t="s">
        <v>540</v>
      </c>
      <c r="K168" s="768" t="s">
        <v>540</v>
      </c>
      <c r="L168" s="768" t="s">
        <v>540</v>
      </c>
      <c r="M168" s="768" t="s">
        <v>540</v>
      </c>
      <c r="N168" s="768" t="s">
        <v>540</v>
      </c>
      <c r="O168" s="768"/>
      <c r="P168" s="768"/>
      <c r="Q168" s="768" t="s">
        <v>540</v>
      </c>
      <c r="R168" s="768" t="s">
        <v>540</v>
      </c>
      <c r="S168" s="768" t="s">
        <v>540</v>
      </c>
      <c r="T168" s="768" t="s">
        <v>540</v>
      </c>
      <c r="U168" s="768" t="s">
        <v>540</v>
      </c>
      <c r="V168" s="768"/>
      <c r="W168" s="768"/>
      <c r="X168" s="768" t="s">
        <v>540</v>
      </c>
      <c r="Y168" s="768" t="s">
        <v>540</v>
      </c>
      <c r="Z168" s="768" t="s">
        <v>540</v>
      </c>
      <c r="AA168" s="768" t="s">
        <v>540</v>
      </c>
      <c r="AB168" s="768" t="s">
        <v>540</v>
      </c>
      <c r="AC168" s="768"/>
      <c r="AD168" s="768"/>
      <c r="AE168" s="763" t="s">
        <v>540</v>
      </c>
      <c r="AF168" s="763" t="s">
        <v>540</v>
      </c>
      <c r="AG168" s="769"/>
      <c r="AH168" s="822">
        <v>74.5</v>
      </c>
      <c r="AI168" s="823">
        <v>37</v>
      </c>
    </row>
    <row r="169" spans="1:36" ht="21.95" customHeight="1">
      <c r="A169" s="596">
        <v>4</v>
      </c>
      <c r="B169" s="319" t="s">
        <v>654</v>
      </c>
      <c r="C169" s="768">
        <v>3</v>
      </c>
      <c r="D169" s="768">
        <v>3</v>
      </c>
      <c r="E169" s="768">
        <v>3</v>
      </c>
      <c r="F169" s="768">
        <v>3</v>
      </c>
      <c r="G169" s="768">
        <v>3</v>
      </c>
      <c r="H169" s="768" t="s">
        <v>512</v>
      </c>
      <c r="I169" s="768" t="s">
        <v>513</v>
      </c>
      <c r="J169" s="768" t="s">
        <v>481</v>
      </c>
      <c r="K169" s="768" t="s">
        <v>481</v>
      </c>
      <c r="L169" s="768" t="s">
        <v>481</v>
      </c>
      <c r="M169" s="768">
        <v>5</v>
      </c>
      <c r="N169" s="768">
        <v>5</v>
      </c>
      <c r="O169" s="768"/>
      <c r="P169" s="768"/>
      <c r="Q169" s="768">
        <v>8</v>
      </c>
      <c r="R169" s="768">
        <v>8</v>
      </c>
      <c r="S169" s="768">
        <v>8</v>
      </c>
      <c r="T169" s="768">
        <v>8</v>
      </c>
      <c r="U169" s="768">
        <v>8</v>
      </c>
      <c r="V169" s="768" t="s">
        <v>583</v>
      </c>
      <c r="W169" s="768" t="s">
        <v>513</v>
      </c>
      <c r="X169" s="768" t="s">
        <v>481</v>
      </c>
      <c r="Y169" s="768" t="s">
        <v>481</v>
      </c>
      <c r="Z169" s="987" t="s">
        <v>481</v>
      </c>
      <c r="AA169" s="1062" t="s">
        <v>652</v>
      </c>
      <c r="AB169" s="1131" t="s">
        <v>481</v>
      </c>
      <c r="AC169" s="1131"/>
      <c r="AD169" s="768"/>
      <c r="AE169" s="1060" t="s">
        <v>585</v>
      </c>
      <c r="AF169" s="1060" t="s">
        <v>585</v>
      </c>
      <c r="AG169" s="769"/>
      <c r="AH169" s="822">
        <v>74</v>
      </c>
      <c r="AI169" s="823">
        <v>37</v>
      </c>
    </row>
    <row r="170" spans="1:36" ht="21.95" customHeight="1">
      <c r="A170" s="596">
        <v>5</v>
      </c>
      <c r="B170" s="153" t="s">
        <v>655</v>
      </c>
      <c r="C170" s="768">
        <v>9</v>
      </c>
      <c r="D170" s="768">
        <v>9</v>
      </c>
      <c r="E170" s="768">
        <v>9</v>
      </c>
      <c r="F170" s="768">
        <v>9</v>
      </c>
      <c r="G170" s="768">
        <v>9</v>
      </c>
      <c r="H170" s="768"/>
      <c r="I170" s="768"/>
      <c r="J170" s="987" t="s">
        <v>591</v>
      </c>
      <c r="K170" s="987" t="s">
        <v>591</v>
      </c>
      <c r="L170" s="977" t="s">
        <v>591</v>
      </c>
      <c r="M170" s="977" t="s">
        <v>591</v>
      </c>
      <c r="N170" s="977" t="s">
        <v>591</v>
      </c>
      <c r="O170" s="768"/>
      <c r="P170" s="768"/>
      <c r="Q170" s="768" t="s">
        <v>553</v>
      </c>
      <c r="R170" s="768" t="s">
        <v>553</v>
      </c>
      <c r="S170" s="768" t="s">
        <v>553</v>
      </c>
      <c r="T170" s="768" t="s">
        <v>554</v>
      </c>
      <c r="U170" s="768" t="s">
        <v>554</v>
      </c>
      <c r="V170" s="768"/>
      <c r="W170" s="768"/>
      <c r="X170" s="1044">
        <v>3</v>
      </c>
      <c r="Y170" s="768">
        <v>3</v>
      </c>
      <c r="Z170" s="768">
        <v>3</v>
      </c>
      <c r="AA170" s="768" t="s">
        <v>606</v>
      </c>
      <c r="AB170" s="768">
        <v>3</v>
      </c>
      <c r="AC170" s="768"/>
      <c r="AD170" s="768" t="s">
        <v>519</v>
      </c>
      <c r="AE170" s="987" t="s">
        <v>481</v>
      </c>
      <c r="AF170" s="768" t="s">
        <v>481</v>
      </c>
      <c r="AG170" s="769"/>
      <c r="AH170" s="824">
        <v>185</v>
      </c>
      <c r="AI170" s="825">
        <v>37</v>
      </c>
    </row>
    <row r="171" spans="1:36" ht="21.95" customHeight="1" thickBot="1">
      <c r="A171" s="596">
        <v>6</v>
      </c>
      <c r="B171" s="793" t="s">
        <v>656</v>
      </c>
      <c r="C171" s="768">
        <v>4</v>
      </c>
      <c r="D171" s="1038">
        <v>4</v>
      </c>
      <c r="E171" s="1038">
        <v>4</v>
      </c>
      <c r="F171" s="1038">
        <v>4</v>
      </c>
      <c r="G171" s="1038">
        <v>4</v>
      </c>
      <c r="H171" s="1038"/>
      <c r="I171" s="1038"/>
      <c r="J171" s="1038">
        <v>8</v>
      </c>
      <c r="K171" s="1038">
        <v>8</v>
      </c>
      <c r="L171" s="1038" t="s">
        <v>766</v>
      </c>
      <c r="M171" s="768">
        <v>8</v>
      </c>
      <c r="N171" s="768">
        <v>8</v>
      </c>
      <c r="O171" s="768" t="s">
        <v>513</v>
      </c>
      <c r="P171" s="768" t="s">
        <v>513</v>
      </c>
      <c r="Q171" s="768" t="s">
        <v>481</v>
      </c>
      <c r="R171" s="768" t="s">
        <v>481</v>
      </c>
      <c r="S171" s="768" t="s">
        <v>481</v>
      </c>
      <c r="T171" s="768">
        <v>4</v>
      </c>
      <c r="U171" s="768">
        <v>4</v>
      </c>
      <c r="V171" s="768"/>
      <c r="W171" s="768"/>
      <c r="X171" s="1044" t="s">
        <v>553</v>
      </c>
      <c r="Y171" s="1044" t="s">
        <v>553</v>
      </c>
      <c r="Z171" s="768" t="s">
        <v>485</v>
      </c>
      <c r="AA171" s="987">
        <v>3</v>
      </c>
      <c r="AB171" s="768" t="s">
        <v>485</v>
      </c>
      <c r="AC171" s="768"/>
      <c r="AD171" s="768"/>
      <c r="AE171" s="768" t="s">
        <v>553</v>
      </c>
      <c r="AF171" s="768" t="s">
        <v>553</v>
      </c>
      <c r="AG171" s="769"/>
      <c r="AH171" s="826">
        <v>30.25</v>
      </c>
      <c r="AI171" s="827">
        <v>37</v>
      </c>
    </row>
    <row r="172" spans="1:36" ht="21.95" customHeight="1">
      <c r="A172" s="596">
        <v>7</v>
      </c>
      <c r="B172" t="s">
        <v>657</v>
      </c>
      <c r="C172" s="768">
        <v>1</v>
      </c>
      <c r="D172" s="768">
        <v>1</v>
      </c>
      <c r="E172" s="768" t="s">
        <v>606</v>
      </c>
      <c r="F172" s="768">
        <v>1</v>
      </c>
      <c r="G172" s="768">
        <v>4</v>
      </c>
      <c r="H172" s="768"/>
      <c r="I172" s="768"/>
      <c r="J172" s="1044">
        <v>8</v>
      </c>
      <c r="K172" s="768">
        <v>8</v>
      </c>
      <c r="L172" s="768">
        <v>8</v>
      </c>
      <c r="M172" s="977" t="s">
        <v>485</v>
      </c>
      <c r="N172" s="977" t="s">
        <v>485</v>
      </c>
      <c r="O172" s="768"/>
      <c r="P172" s="768"/>
      <c r="Q172" s="768" t="s">
        <v>598</v>
      </c>
      <c r="R172" s="768" t="s">
        <v>598</v>
      </c>
      <c r="S172" s="768" t="s">
        <v>598</v>
      </c>
      <c r="T172" s="768" t="s">
        <v>598</v>
      </c>
      <c r="U172" s="768" t="s">
        <v>598</v>
      </c>
      <c r="V172" s="768" t="s">
        <v>513</v>
      </c>
      <c r="W172" s="768"/>
      <c r="X172" s="768">
        <v>9</v>
      </c>
      <c r="Y172" s="768">
        <v>9</v>
      </c>
      <c r="Z172" s="768">
        <v>9</v>
      </c>
      <c r="AA172" s="768">
        <v>9</v>
      </c>
      <c r="AB172" s="768">
        <v>9</v>
      </c>
      <c r="AC172" s="768" t="s">
        <v>519</v>
      </c>
      <c r="AD172" s="768"/>
      <c r="AE172" s="763" t="s">
        <v>767</v>
      </c>
      <c r="AF172" s="768">
        <v>4</v>
      </c>
      <c r="AG172" s="769"/>
      <c r="AH172" s="826">
        <v>74</v>
      </c>
      <c r="AI172" s="827">
        <v>37</v>
      </c>
    </row>
    <row r="173" spans="1:36" ht="21.95" customHeight="1">
      <c r="A173" s="596">
        <v>8</v>
      </c>
      <c r="B173" s="153"/>
      <c r="C173" s="768"/>
      <c r="D173" s="768"/>
      <c r="E173" s="768"/>
      <c r="F173" s="768"/>
      <c r="G173" s="768"/>
      <c r="H173" s="768"/>
      <c r="I173" s="768"/>
      <c r="J173" s="768"/>
      <c r="K173" s="768"/>
      <c r="L173" s="768"/>
      <c r="M173" s="768"/>
      <c r="N173" s="768"/>
      <c r="O173" s="768"/>
      <c r="P173" s="768"/>
      <c r="Q173" s="768"/>
      <c r="R173" s="768"/>
      <c r="S173" s="768"/>
      <c r="T173" s="768"/>
      <c r="U173" s="768"/>
      <c r="V173" s="768"/>
      <c r="W173" s="768"/>
      <c r="X173" s="768"/>
      <c r="Y173" s="768"/>
      <c r="Z173" s="768"/>
      <c r="AA173" s="768"/>
      <c r="AB173" s="768"/>
      <c r="AC173" s="768"/>
      <c r="AD173" s="768"/>
      <c r="AE173" s="768"/>
      <c r="AF173" s="768"/>
      <c r="AG173" s="769"/>
      <c r="AH173" s="826">
        <v>185</v>
      </c>
      <c r="AI173" s="827">
        <v>37</v>
      </c>
    </row>
    <row r="174" spans="1:36" ht="21.95" customHeight="1">
      <c r="A174" s="596">
        <v>9</v>
      </c>
      <c r="B174" s="153"/>
      <c r="C174" s="766"/>
      <c r="D174" s="766"/>
      <c r="E174" s="766"/>
      <c r="F174" s="766"/>
      <c r="G174" s="766"/>
      <c r="H174" s="766"/>
      <c r="I174" s="766"/>
      <c r="J174" s="766"/>
      <c r="K174" s="766"/>
      <c r="L174" s="766"/>
      <c r="M174" s="766"/>
      <c r="N174" s="766"/>
      <c r="O174" s="766"/>
      <c r="P174" s="766"/>
      <c r="Q174" s="766"/>
      <c r="R174" s="766"/>
      <c r="S174" s="766"/>
      <c r="T174" s="766"/>
      <c r="U174" s="766"/>
      <c r="V174" s="766"/>
      <c r="W174" s="768"/>
      <c r="X174" s="766"/>
      <c r="Y174" s="766"/>
      <c r="Z174" s="766"/>
      <c r="AA174" s="766"/>
      <c r="AB174" s="766"/>
      <c r="AC174" s="766"/>
      <c r="AD174" s="766"/>
      <c r="AE174" s="766"/>
      <c r="AF174" s="766"/>
      <c r="AG174" s="769"/>
      <c r="AH174" s="826">
        <v>185</v>
      </c>
      <c r="AI174" s="827">
        <v>37</v>
      </c>
    </row>
    <row r="175" spans="1:36" ht="21.95" customHeight="1">
      <c r="A175" s="596">
        <v>10</v>
      </c>
      <c r="B175" s="153"/>
      <c r="C175" s="766"/>
      <c r="D175" s="766"/>
      <c r="E175" s="766"/>
      <c r="F175" s="766"/>
      <c r="G175" s="766"/>
      <c r="H175" s="766"/>
      <c r="I175" s="766"/>
      <c r="J175" s="766"/>
      <c r="K175" s="766"/>
      <c r="L175" s="766"/>
      <c r="M175" s="766"/>
      <c r="N175" s="766"/>
      <c r="O175" s="766"/>
      <c r="P175" s="766"/>
      <c r="Q175" s="766"/>
      <c r="R175" s="766"/>
      <c r="S175" s="766"/>
      <c r="T175" s="766"/>
      <c r="U175" s="766"/>
      <c r="V175" s="766"/>
      <c r="W175" s="768"/>
      <c r="X175" s="766"/>
      <c r="Y175" s="766"/>
      <c r="Z175" s="766"/>
      <c r="AA175" s="766"/>
      <c r="AB175" s="766"/>
      <c r="AC175" s="766"/>
      <c r="AD175" s="766"/>
      <c r="AE175" s="766"/>
      <c r="AF175" s="766"/>
      <c r="AG175" s="783"/>
      <c r="AH175" s="826">
        <v>185</v>
      </c>
      <c r="AI175" s="827">
        <v>37</v>
      </c>
    </row>
    <row r="176" spans="1:36" ht="21.95" customHeight="1" thickBot="1">
      <c r="A176" s="596">
        <v>11</v>
      </c>
      <c r="B176" s="895"/>
      <c r="C176" s="863"/>
      <c r="D176" s="863"/>
      <c r="E176" s="863"/>
      <c r="F176" s="863"/>
      <c r="G176" s="863"/>
      <c r="H176" s="863"/>
      <c r="I176" s="863"/>
      <c r="J176" s="863"/>
      <c r="K176" s="863"/>
      <c r="L176" s="863"/>
      <c r="M176" s="863"/>
      <c r="N176" s="863"/>
      <c r="O176" s="863"/>
      <c r="P176" s="863"/>
      <c r="Q176" s="863"/>
      <c r="R176" s="863"/>
      <c r="S176" s="863"/>
      <c r="T176" s="863"/>
      <c r="U176" s="863"/>
      <c r="V176" s="863"/>
      <c r="W176" s="867"/>
      <c r="X176" s="863"/>
      <c r="Y176" s="863"/>
      <c r="Z176" s="863"/>
      <c r="AA176" s="863"/>
      <c r="AB176" s="863"/>
      <c r="AC176" s="863"/>
      <c r="AD176" s="863"/>
      <c r="AE176" s="863"/>
      <c r="AF176" s="863"/>
      <c r="AG176" s="783"/>
      <c r="AH176" s="826">
        <v>185</v>
      </c>
      <c r="AI176" s="827">
        <v>37</v>
      </c>
    </row>
    <row r="177" spans="1:35" ht="21.95" customHeight="1" thickBot="1">
      <c r="A177" s="894">
        <v>12</v>
      </c>
      <c r="AG177" s="896"/>
      <c r="AH177" s="828">
        <v>185</v>
      </c>
      <c r="AI177" s="829">
        <v>37</v>
      </c>
    </row>
    <row r="178" spans="1:35" ht="21" customHeight="1">
      <c r="A178" s="312" t="s">
        <v>659</v>
      </c>
    </row>
    <row r="179" spans="1:35" ht="21" customHeight="1" thickBot="1">
      <c r="A179" s="861"/>
      <c r="B179" s="182" t="s">
        <v>476</v>
      </c>
      <c r="C179" s="863">
        <v>1</v>
      </c>
      <c r="D179" s="863">
        <v>2</v>
      </c>
      <c r="E179" s="863">
        <v>3</v>
      </c>
      <c r="F179" s="863">
        <v>4</v>
      </c>
      <c r="G179" s="863">
        <v>5</v>
      </c>
      <c r="H179" s="880">
        <v>6</v>
      </c>
      <c r="I179" s="880">
        <v>7</v>
      </c>
      <c r="J179" s="863">
        <v>8</v>
      </c>
      <c r="K179" s="863">
        <v>9</v>
      </c>
      <c r="L179" s="863">
        <v>10</v>
      </c>
      <c r="M179" s="863">
        <v>11</v>
      </c>
      <c r="N179" s="863">
        <v>12</v>
      </c>
      <c r="O179" s="880">
        <v>13</v>
      </c>
      <c r="P179" s="880">
        <v>14</v>
      </c>
      <c r="Q179" s="863">
        <v>15</v>
      </c>
      <c r="R179" s="863">
        <v>16</v>
      </c>
      <c r="S179" s="863">
        <v>17</v>
      </c>
      <c r="T179" s="863">
        <v>18</v>
      </c>
      <c r="U179" s="863">
        <v>19</v>
      </c>
      <c r="V179" s="880">
        <v>20</v>
      </c>
      <c r="W179" s="880">
        <v>21</v>
      </c>
      <c r="X179" s="863">
        <v>22</v>
      </c>
      <c r="Y179" s="863">
        <v>23</v>
      </c>
      <c r="Z179" s="863">
        <v>24</v>
      </c>
      <c r="AA179" s="863">
        <v>25</v>
      </c>
      <c r="AB179" s="863">
        <v>26</v>
      </c>
      <c r="AC179" s="880">
        <v>27</v>
      </c>
      <c r="AD179" s="880">
        <v>28</v>
      </c>
      <c r="AE179" s="863">
        <v>29</v>
      </c>
      <c r="AF179" s="863">
        <v>30</v>
      </c>
      <c r="AG179" s="863"/>
      <c r="AH179" s="600"/>
    </row>
    <row r="180" spans="1:35" ht="21" customHeight="1">
      <c r="A180" s="1148">
        <v>1</v>
      </c>
      <c r="B180" s="1153" t="s">
        <v>660</v>
      </c>
      <c r="C180" s="1157">
        <v>6</v>
      </c>
      <c r="D180" s="768">
        <v>6</v>
      </c>
      <c r="E180" s="1044">
        <v>6</v>
      </c>
      <c r="F180" s="1044">
        <v>6</v>
      </c>
      <c r="G180" s="768">
        <v>6</v>
      </c>
      <c r="H180" s="768" t="s">
        <v>519</v>
      </c>
      <c r="I180" s="768" t="s">
        <v>519</v>
      </c>
      <c r="J180" s="768" t="s">
        <v>481</v>
      </c>
      <c r="K180" s="768" t="s">
        <v>481</v>
      </c>
      <c r="L180" s="768" t="s">
        <v>600</v>
      </c>
      <c r="M180" s="768" t="s">
        <v>600</v>
      </c>
      <c r="N180" s="768" t="s">
        <v>600</v>
      </c>
      <c r="O180" s="768"/>
      <c r="P180" s="768"/>
      <c r="Q180" s="768">
        <v>6</v>
      </c>
      <c r="R180" s="768">
        <v>6</v>
      </c>
      <c r="S180" s="768">
        <v>6</v>
      </c>
      <c r="T180" s="768" t="s">
        <v>613</v>
      </c>
      <c r="U180" s="768" t="s">
        <v>613</v>
      </c>
      <c r="V180" s="768"/>
      <c r="W180" s="768"/>
      <c r="X180" s="768" t="s">
        <v>481</v>
      </c>
      <c r="Y180" s="768" t="s">
        <v>481</v>
      </c>
      <c r="Z180" s="768">
        <v>1</v>
      </c>
      <c r="AA180" s="768">
        <v>1</v>
      </c>
      <c r="AB180" s="768">
        <v>1</v>
      </c>
      <c r="AC180" s="768"/>
      <c r="AD180" s="768"/>
      <c r="AE180" s="977" t="s">
        <v>485</v>
      </c>
      <c r="AF180" s="977" t="s">
        <v>485</v>
      </c>
      <c r="AG180" s="898"/>
      <c r="AH180" s="600"/>
    </row>
    <row r="181" spans="1:35" ht="21" customHeight="1">
      <c r="A181" s="1149">
        <v>2</v>
      </c>
      <c r="B181" s="1153" t="s">
        <v>661</v>
      </c>
      <c r="C181" s="779" t="s">
        <v>553</v>
      </c>
      <c r="D181" s="1044" t="s">
        <v>553</v>
      </c>
      <c r="E181" s="1044">
        <v>1</v>
      </c>
      <c r="F181" s="768" t="s">
        <v>481</v>
      </c>
      <c r="G181" s="1044">
        <v>1</v>
      </c>
      <c r="H181" s="768"/>
      <c r="I181" s="768"/>
      <c r="J181" s="768" t="s">
        <v>553</v>
      </c>
      <c r="K181" s="768" t="s">
        <v>553</v>
      </c>
      <c r="L181" s="768" t="s">
        <v>553</v>
      </c>
      <c r="M181" s="768" t="s">
        <v>554</v>
      </c>
      <c r="N181" s="768" t="s">
        <v>554</v>
      </c>
      <c r="O181" s="768" t="s">
        <v>555</v>
      </c>
      <c r="P181" s="768" t="s">
        <v>555</v>
      </c>
      <c r="Q181" s="768" t="s">
        <v>481</v>
      </c>
      <c r="R181" s="768" t="s">
        <v>481</v>
      </c>
      <c r="S181" s="768" t="s">
        <v>481</v>
      </c>
      <c r="T181" s="768">
        <v>6</v>
      </c>
      <c r="U181" s="768">
        <v>6</v>
      </c>
      <c r="V181" s="768"/>
      <c r="W181" s="768"/>
      <c r="X181" s="987">
        <v>10</v>
      </c>
      <c r="Y181" s="768">
        <v>10</v>
      </c>
      <c r="Z181" s="768">
        <v>10</v>
      </c>
      <c r="AA181" s="768">
        <v>10</v>
      </c>
      <c r="AB181" s="768">
        <v>10</v>
      </c>
      <c r="AC181" s="768" t="s">
        <v>514</v>
      </c>
      <c r="AD181" s="768" t="s">
        <v>514</v>
      </c>
      <c r="AE181" s="987" t="s">
        <v>481</v>
      </c>
      <c r="AF181" s="987" t="s">
        <v>481</v>
      </c>
      <c r="AG181" s="172"/>
      <c r="AH181" s="600"/>
    </row>
    <row r="182" spans="1:35" ht="21" customHeight="1">
      <c r="A182" s="1149">
        <v>3</v>
      </c>
      <c r="B182" s="859" t="s">
        <v>768</v>
      </c>
      <c r="C182" s="1150" t="s">
        <v>485</v>
      </c>
      <c r="D182" s="1147" t="s">
        <v>485</v>
      </c>
      <c r="E182" s="1147" t="s">
        <v>485</v>
      </c>
      <c r="F182" s="1159" t="s">
        <v>485</v>
      </c>
      <c r="G182" s="1159" t="s">
        <v>485</v>
      </c>
      <c r="H182" s="766"/>
      <c r="I182" s="766"/>
      <c r="J182" s="1147" t="s">
        <v>485</v>
      </c>
      <c r="K182" s="1159" t="s">
        <v>485</v>
      </c>
      <c r="L182" s="1159" t="s">
        <v>485</v>
      </c>
      <c r="M182" s="1159" t="s">
        <v>485</v>
      </c>
      <c r="N182" s="1159" t="s">
        <v>485</v>
      </c>
      <c r="O182" s="766"/>
      <c r="P182" s="766"/>
      <c r="Q182" s="172"/>
      <c r="R182" s="172"/>
      <c r="S182" s="172"/>
      <c r="T182" s="172"/>
      <c r="U182" s="172"/>
      <c r="V182" s="172"/>
      <c r="W182" s="172"/>
      <c r="X182" s="172"/>
      <c r="Y182" s="172"/>
      <c r="Z182" s="172"/>
      <c r="AA182" s="172"/>
      <c r="AB182" s="172"/>
      <c r="AC182" s="172"/>
      <c r="AD182" s="172"/>
      <c r="AE182" s="172"/>
      <c r="AF182" s="172"/>
      <c r="AG182" s="172"/>
      <c r="AH182" s="600"/>
    </row>
    <row r="183" spans="1:35" ht="21" customHeight="1">
      <c r="A183" s="1149">
        <v>4</v>
      </c>
      <c r="B183" s="1153" t="s">
        <v>662</v>
      </c>
      <c r="C183" s="1151" t="s">
        <v>485</v>
      </c>
      <c r="D183" s="766" t="s">
        <v>485</v>
      </c>
      <c r="E183" s="766" t="s">
        <v>485</v>
      </c>
      <c r="F183" s="766" t="s">
        <v>485</v>
      </c>
      <c r="G183" s="766" t="s">
        <v>485</v>
      </c>
      <c r="H183" s="766"/>
      <c r="I183" s="766"/>
      <c r="J183" s="766" t="s">
        <v>485</v>
      </c>
      <c r="K183" s="766" t="s">
        <v>485</v>
      </c>
      <c r="L183" s="766" t="s">
        <v>485</v>
      </c>
      <c r="M183" s="766" t="s">
        <v>485</v>
      </c>
      <c r="N183" s="766" t="s">
        <v>485</v>
      </c>
      <c r="O183" s="766"/>
      <c r="P183" s="766"/>
      <c r="Q183" s="766" t="s">
        <v>485</v>
      </c>
      <c r="R183" s="766" t="s">
        <v>485</v>
      </c>
      <c r="S183" s="766" t="s">
        <v>485</v>
      </c>
      <c r="T183" s="766" t="s">
        <v>485</v>
      </c>
      <c r="U183" s="766" t="s">
        <v>485</v>
      </c>
      <c r="V183" s="766"/>
      <c r="W183" s="766"/>
      <c r="X183" s="766" t="s">
        <v>485</v>
      </c>
      <c r="Y183" s="766" t="s">
        <v>485</v>
      </c>
      <c r="Z183" s="766" t="s">
        <v>485</v>
      </c>
      <c r="AA183" s="766" t="s">
        <v>485</v>
      </c>
      <c r="AB183" s="766" t="s">
        <v>485</v>
      </c>
      <c r="AC183" s="766"/>
      <c r="AD183" s="766"/>
      <c r="AE183" s="766" t="s">
        <v>485</v>
      </c>
      <c r="AF183" s="766" t="s">
        <v>485</v>
      </c>
      <c r="AG183" s="172"/>
      <c r="AH183" s="600"/>
    </row>
    <row r="184" spans="1:35" ht="21" customHeight="1" thickBot="1">
      <c r="A184" s="911">
        <v>5</v>
      </c>
      <c r="B184" s="1154"/>
      <c r="C184" s="1152"/>
      <c r="D184" s="863"/>
      <c r="E184" s="863"/>
      <c r="F184" s="863"/>
      <c r="G184" s="863"/>
      <c r="H184" s="863"/>
      <c r="I184" s="863"/>
      <c r="J184" s="863"/>
      <c r="K184" s="863"/>
      <c r="L184" s="863"/>
      <c r="M184" s="863"/>
      <c r="N184" s="863"/>
      <c r="O184" s="863"/>
      <c r="P184" s="863"/>
      <c r="Q184" s="863"/>
      <c r="R184" s="863"/>
      <c r="S184" s="863"/>
      <c r="T184" s="863"/>
      <c r="U184" s="863"/>
      <c r="V184" s="863"/>
      <c r="W184" s="863"/>
      <c r="X184" s="863"/>
      <c r="Y184" s="863"/>
      <c r="Z184" s="863"/>
      <c r="AA184" s="863"/>
      <c r="AB184" s="863"/>
      <c r="AC184" s="863"/>
      <c r="AD184" s="863"/>
      <c r="AE184" s="863"/>
      <c r="AF184" s="863"/>
      <c r="AG184" s="899"/>
      <c r="AH184" s="600"/>
    </row>
    <row r="185" spans="1:35" ht="21" customHeight="1">
      <c r="A185" s="785"/>
      <c r="B185" s="354"/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  <c r="M185" s="139"/>
      <c r="N185" s="786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600"/>
    </row>
    <row r="186" spans="1:35" ht="21.95" customHeight="1" thickBot="1">
      <c r="A186" s="1" t="s">
        <v>663</v>
      </c>
      <c r="B186" s="274"/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</row>
    <row r="187" spans="1:35" ht="21.95" customHeight="1">
      <c r="A187" s="1"/>
      <c r="B187" s="796" t="s">
        <v>664</v>
      </c>
      <c r="C187" s="51" t="s">
        <v>2</v>
      </c>
      <c r="D187" s="51"/>
      <c r="E187" s="51"/>
      <c r="F187" s="51"/>
      <c r="G187" s="798" t="s">
        <v>3</v>
      </c>
      <c r="H187" s="51"/>
      <c r="I187" s="51"/>
      <c r="J187" s="51"/>
      <c r="K187" s="798" t="s">
        <v>4</v>
      </c>
      <c r="L187" s="51"/>
      <c r="M187" s="51"/>
      <c r="N187" s="51"/>
      <c r="O187" s="798" t="s">
        <v>5</v>
      </c>
      <c r="P187" s="51"/>
      <c r="Q187" s="51"/>
      <c r="R187" s="51"/>
      <c r="S187" s="798" t="s">
        <v>6</v>
      </c>
      <c r="T187" s="51"/>
      <c r="U187" s="51"/>
      <c r="V187" s="51"/>
      <c r="W187" s="51"/>
      <c r="X187" s="802" t="s">
        <v>7</v>
      </c>
      <c r="Y187" s="51"/>
      <c r="Z187" s="548"/>
      <c r="AA187" s="7"/>
      <c r="AB187" s="522" t="s">
        <v>8</v>
      </c>
      <c r="AC187" s="51"/>
      <c r="AD187" s="51"/>
      <c r="AE187" s="425" t="s">
        <v>10</v>
      </c>
      <c r="AF187" s="51"/>
      <c r="AG187" s="51"/>
      <c r="AH187" s="51"/>
      <c r="AI187" s="523"/>
    </row>
    <row r="188" spans="1:35" ht="21.95" customHeight="1">
      <c r="A188" s="1"/>
      <c r="B188" s="796">
        <v>3701</v>
      </c>
      <c r="C188" s="55" t="s">
        <v>665</v>
      </c>
      <c r="D188" s="55"/>
      <c r="E188" s="55"/>
      <c r="F188" s="55"/>
      <c r="G188" s="799" t="s">
        <v>124</v>
      </c>
      <c r="H188" s="55"/>
      <c r="I188" s="55"/>
      <c r="J188" s="55"/>
      <c r="K188" s="799" t="s">
        <v>124</v>
      </c>
      <c r="L188" s="55"/>
      <c r="M188" s="55"/>
      <c r="N188" s="55"/>
      <c r="O188" s="799" t="s">
        <v>124</v>
      </c>
      <c r="P188" s="55"/>
      <c r="Q188" s="55"/>
      <c r="R188" s="55"/>
      <c r="S188" s="799" t="s">
        <v>125</v>
      </c>
      <c r="T188" s="55"/>
      <c r="U188" s="55"/>
      <c r="V188" s="55"/>
      <c r="W188" s="55"/>
      <c r="X188" s="803"/>
      <c r="Y188" s="55"/>
      <c r="Z188" s="602"/>
      <c r="AA188" s="14"/>
      <c r="AB188" s="603"/>
      <c r="AC188" s="55"/>
      <c r="AD188" s="55"/>
      <c r="AE188" s="604"/>
      <c r="AF188" s="55"/>
      <c r="AG188" s="55"/>
      <c r="AH188" s="55"/>
      <c r="AI188" s="605"/>
    </row>
    <row r="189" spans="1:35" ht="21.95" customHeight="1">
      <c r="B189" s="796">
        <v>3700</v>
      </c>
      <c r="C189" s="157" t="s">
        <v>535</v>
      </c>
      <c r="D189" s="157"/>
      <c r="E189" s="157"/>
      <c r="F189" s="157"/>
      <c r="G189" s="712" t="s">
        <v>535</v>
      </c>
      <c r="H189" s="157"/>
      <c r="I189" s="157"/>
      <c r="J189" s="157"/>
      <c r="K189" s="712" t="s">
        <v>535</v>
      </c>
      <c r="L189" s="157"/>
      <c r="M189" s="157"/>
      <c r="N189" s="157"/>
      <c r="O189" s="712" t="s">
        <v>535</v>
      </c>
      <c r="P189" s="157"/>
      <c r="Q189" s="157"/>
      <c r="R189" s="157"/>
      <c r="S189" s="712" t="s">
        <v>116</v>
      </c>
      <c r="T189" s="157"/>
      <c r="U189" s="157"/>
      <c r="V189" s="157"/>
      <c r="W189" s="157"/>
      <c r="X189" s="712"/>
      <c r="Y189" s="157"/>
      <c r="Z189" s="564"/>
      <c r="AA189" s="563"/>
      <c r="AB189" s="157"/>
      <c r="AC189" s="157"/>
      <c r="AD189" s="565"/>
      <c r="AE189" s="607"/>
      <c r="AF189" s="157"/>
      <c r="AG189" s="157" t="s">
        <v>28</v>
      </c>
      <c r="AH189" s="565"/>
      <c r="AI189" s="490"/>
    </row>
    <row r="190" spans="1:35" ht="21.95" customHeight="1">
      <c r="A190" s="1"/>
      <c r="B190" s="796">
        <v>8514</v>
      </c>
      <c r="C190" s="157" t="s">
        <v>124</v>
      </c>
      <c r="D190" s="157"/>
      <c r="E190" s="157"/>
      <c r="F190" s="157"/>
      <c r="G190" s="712" t="s">
        <v>124</v>
      </c>
      <c r="H190" s="157"/>
      <c r="I190" s="157"/>
      <c r="J190" s="157"/>
      <c r="K190" s="712" t="s">
        <v>124</v>
      </c>
      <c r="L190" s="157"/>
      <c r="M190" s="157"/>
      <c r="N190" s="157"/>
      <c r="O190" s="712" t="s">
        <v>124</v>
      </c>
      <c r="P190" s="157"/>
      <c r="Q190" s="157"/>
      <c r="R190" s="157"/>
      <c r="S190" s="712" t="s">
        <v>666</v>
      </c>
      <c r="T190" s="157"/>
      <c r="U190" s="157"/>
      <c r="V190" s="157"/>
      <c r="W190" s="157"/>
      <c r="X190" s="712"/>
      <c r="Y190" s="157"/>
      <c r="Z190" s="564"/>
      <c r="AA190" s="121"/>
      <c r="AB190" s="157"/>
      <c r="AC190" s="157"/>
      <c r="AD190" s="565"/>
      <c r="AE190" s="121"/>
      <c r="AF190" s="157"/>
      <c r="AG190" s="157"/>
      <c r="AH190" s="565"/>
      <c r="AI190" s="490"/>
    </row>
    <row r="191" spans="1:35" ht="21.95" customHeight="1">
      <c r="A191" s="1"/>
      <c r="B191" s="796">
        <v>8500</v>
      </c>
      <c r="C191" s="55" t="s">
        <v>11</v>
      </c>
      <c r="D191" s="55"/>
      <c r="E191" s="55"/>
      <c r="F191" s="55"/>
      <c r="G191" s="799" t="s">
        <v>11</v>
      </c>
      <c r="H191" s="55"/>
      <c r="I191" s="55"/>
      <c r="J191" s="55"/>
      <c r="K191" s="799" t="s">
        <v>11</v>
      </c>
      <c r="L191" s="55"/>
      <c r="M191" s="55"/>
      <c r="N191" s="55"/>
      <c r="O191" s="799" t="s">
        <v>11</v>
      </c>
      <c r="P191" s="55"/>
      <c r="Q191" s="55"/>
      <c r="R191" s="55"/>
      <c r="S191" s="799" t="s">
        <v>12</v>
      </c>
      <c r="T191" s="55"/>
      <c r="U191" s="55"/>
      <c r="V191" s="55"/>
      <c r="W191" s="55"/>
      <c r="X191" s="799"/>
      <c r="Y191" s="55"/>
      <c r="Z191" s="609"/>
      <c r="AA191" s="608"/>
      <c r="AB191" s="55"/>
      <c r="AC191" s="55"/>
      <c r="AD191" s="609"/>
      <c r="AE191" s="608"/>
      <c r="AF191" s="55"/>
      <c r="AG191" s="55"/>
      <c r="AH191" s="594"/>
      <c r="AI191" s="605"/>
    </row>
    <row r="192" spans="1:35" ht="21.95" customHeight="1">
      <c r="A192" s="1"/>
      <c r="B192" s="796">
        <v>8514</v>
      </c>
      <c r="C192" s="610" t="s">
        <v>124</v>
      </c>
      <c r="D192" s="610"/>
      <c r="E192" s="610"/>
      <c r="F192" s="610"/>
      <c r="G192" s="800" t="s">
        <v>124</v>
      </c>
      <c r="H192" s="610"/>
      <c r="I192" s="610"/>
      <c r="J192" s="610"/>
      <c r="K192" s="800" t="s">
        <v>124</v>
      </c>
      <c r="L192" s="610"/>
      <c r="M192" s="610"/>
      <c r="N192" s="610"/>
      <c r="O192" s="800" t="s">
        <v>124</v>
      </c>
      <c r="P192" s="610"/>
      <c r="Q192" s="610"/>
      <c r="R192" s="610"/>
      <c r="S192" s="800" t="s">
        <v>666</v>
      </c>
      <c r="T192" s="610"/>
      <c r="U192" s="610"/>
      <c r="V192" s="610"/>
      <c r="W192" s="610"/>
      <c r="X192" s="803"/>
      <c r="Y192" s="55"/>
      <c r="Z192" s="602"/>
      <c r="AA192" s="14"/>
      <c r="AB192" s="603"/>
      <c r="AC192" s="55"/>
      <c r="AD192" s="55"/>
      <c r="AE192" s="604"/>
      <c r="AF192" s="55"/>
      <c r="AG192" s="55"/>
      <c r="AH192" s="55"/>
      <c r="AI192" s="605"/>
    </row>
    <row r="193" spans="1:35" ht="21.95" customHeight="1" thickBot="1">
      <c r="A193" s="1"/>
      <c r="B193" s="797" t="s">
        <v>667</v>
      </c>
      <c r="C193" s="53" t="s">
        <v>668</v>
      </c>
      <c r="D193" s="53"/>
      <c r="E193" s="53"/>
      <c r="F193" s="53"/>
      <c r="G193" s="801" t="s">
        <v>668</v>
      </c>
      <c r="H193" s="53"/>
      <c r="I193" s="53"/>
      <c r="J193" s="53"/>
      <c r="K193" s="53" t="s">
        <v>668</v>
      </c>
      <c r="L193" s="53"/>
      <c r="M193" s="53"/>
      <c r="N193" s="53"/>
      <c r="O193" s="801" t="s">
        <v>668</v>
      </c>
      <c r="P193" s="53"/>
      <c r="Q193" s="53"/>
      <c r="R193" s="53"/>
      <c r="S193" s="801" t="s">
        <v>669</v>
      </c>
      <c r="T193" s="53"/>
      <c r="U193" s="53"/>
      <c r="V193" s="53"/>
      <c r="W193" s="53"/>
      <c r="X193" s="801"/>
      <c r="Y193" s="53"/>
      <c r="Z193" s="571"/>
      <c r="AA193" s="570"/>
      <c r="AB193" s="53"/>
      <c r="AC193" s="53"/>
      <c r="AD193" s="573"/>
      <c r="AE193" s="612"/>
      <c r="AF193" s="53"/>
      <c r="AG193" s="53" t="s">
        <v>28</v>
      </c>
      <c r="AH193" s="573"/>
      <c r="AI193" s="536"/>
    </row>
    <row r="194" spans="1:35" ht="21.95" customHeight="1">
      <c r="A194" s="1"/>
      <c r="B194" s="72"/>
      <c r="C194" s="312"/>
      <c r="F194" s="354"/>
      <c r="G194" s="312"/>
      <c r="J194" s="354"/>
      <c r="K194" s="312"/>
      <c r="N194" s="354"/>
      <c r="O194" s="312"/>
      <c r="R194" s="354"/>
      <c r="S194" s="312"/>
      <c r="V194" s="354"/>
      <c r="W194" s="354"/>
      <c r="Z194" s="354"/>
      <c r="AA194" s="354"/>
      <c r="AD194" s="354"/>
      <c r="AE194" s="354"/>
      <c r="AH194" s="354"/>
    </row>
    <row r="195" spans="1:35" ht="21.95" customHeight="1" thickBot="1">
      <c r="A195" s="1" t="s">
        <v>670</v>
      </c>
      <c r="B195" s="72"/>
      <c r="C195" s="312"/>
      <c r="F195" s="354"/>
      <c r="G195" s="312"/>
      <c r="J195" s="354"/>
      <c r="K195" s="312"/>
      <c r="N195" s="354"/>
      <c r="O195" s="312"/>
      <c r="R195" s="354"/>
      <c r="S195" s="312"/>
      <c r="V195" s="354"/>
      <c r="W195" s="354"/>
      <c r="Z195" s="354"/>
      <c r="AA195" s="354"/>
      <c r="AD195" s="354"/>
      <c r="AE195" s="354"/>
      <c r="AH195" s="354"/>
    </row>
    <row r="196" spans="1:35" ht="21.95" customHeight="1" thickBot="1">
      <c r="A196" s="861"/>
      <c r="B196" s="862" t="s">
        <v>476</v>
      </c>
      <c r="C196" s="863">
        <v>1</v>
      </c>
      <c r="D196" s="863">
        <v>2</v>
      </c>
      <c r="E196" s="863">
        <v>3</v>
      </c>
      <c r="F196" s="863">
        <v>4</v>
      </c>
      <c r="G196" s="863">
        <v>5</v>
      </c>
      <c r="H196" s="880">
        <v>6</v>
      </c>
      <c r="I196" s="880">
        <v>7</v>
      </c>
      <c r="J196" s="863">
        <v>8</v>
      </c>
      <c r="K196" s="863">
        <v>9</v>
      </c>
      <c r="L196" s="863">
        <v>10</v>
      </c>
      <c r="M196" s="863">
        <v>11</v>
      </c>
      <c r="N196" s="863">
        <v>12</v>
      </c>
      <c r="O196" s="880">
        <v>13</v>
      </c>
      <c r="P196" s="880">
        <v>14</v>
      </c>
      <c r="Q196" s="863">
        <v>15</v>
      </c>
      <c r="R196" s="863">
        <v>16</v>
      </c>
      <c r="S196" s="863">
        <v>17</v>
      </c>
      <c r="T196" s="863">
        <v>18</v>
      </c>
      <c r="U196" s="863">
        <v>19</v>
      </c>
      <c r="V196" s="880">
        <v>20</v>
      </c>
      <c r="W196" s="880">
        <v>21</v>
      </c>
      <c r="X196" s="863">
        <v>22</v>
      </c>
      <c r="Y196" s="863">
        <v>23</v>
      </c>
      <c r="Z196" s="863">
        <v>24</v>
      </c>
      <c r="AA196" s="863">
        <v>25</v>
      </c>
      <c r="AB196" s="863">
        <v>26</v>
      </c>
      <c r="AC196" s="880">
        <v>27</v>
      </c>
      <c r="AD196" s="880">
        <v>28</v>
      </c>
      <c r="AE196" s="863">
        <v>29</v>
      </c>
      <c r="AF196" s="863">
        <v>30</v>
      </c>
      <c r="AG196" s="943"/>
      <c r="AH196" s="864" t="s">
        <v>477</v>
      </c>
      <c r="AI196" s="865" t="s">
        <v>478</v>
      </c>
    </row>
    <row r="197" spans="1:35" ht="21.95" customHeight="1">
      <c r="A197" s="897"/>
      <c r="B197" s="900" t="s">
        <v>671</v>
      </c>
      <c r="C197" s="768" t="s">
        <v>491</v>
      </c>
      <c r="D197" s="768" t="s">
        <v>491</v>
      </c>
      <c r="E197" s="768" t="s">
        <v>491</v>
      </c>
      <c r="F197" s="768" t="s">
        <v>491</v>
      </c>
      <c r="G197" s="768" t="s">
        <v>491</v>
      </c>
      <c r="H197" s="768"/>
      <c r="I197" s="768"/>
      <c r="J197" s="768" t="s">
        <v>491</v>
      </c>
      <c r="K197" s="768" t="s">
        <v>491</v>
      </c>
      <c r="L197" s="768" t="s">
        <v>491</v>
      </c>
      <c r="M197" s="768" t="s">
        <v>491</v>
      </c>
      <c r="N197" s="768" t="s">
        <v>491</v>
      </c>
      <c r="O197" s="768"/>
      <c r="P197" s="768"/>
      <c r="Q197" s="768" t="s">
        <v>491</v>
      </c>
      <c r="R197" s="768" t="s">
        <v>491</v>
      </c>
      <c r="S197" s="768" t="s">
        <v>491</v>
      </c>
      <c r="T197" s="768" t="s">
        <v>491</v>
      </c>
      <c r="U197" s="768" t="s">
        <v>491</v>
      </c>
      <c r="V197" s="768"/>
      <c r="W197" s="768"/>
      <c r="X197" s="768" t="s">
        <v>491</v>
      </c>
      <c r="Y197" s="768" t="s">
        <v>491</v>
      </c>
      <c r="Z197" s="768" t="s">
        <v>491</v>
      </c>
      <c r="AA197" s="768" t="s">
        <v>491</v>
      </c>
      <c r="AB197" s="768" t="s">
        <v>491</v>
      </c>
      <c r="AC197" s="768"/>
      <c r="AD197" s="768"/>
      <c r="AE197" s="768" t="s">
        <v>491</v>
      </c>
      <c r="AF197" s="768" t="s">
        <v>491</v>
      </c>
      <c r="AG197" s="768"/>
      <c r="AH197" s="901">
        <v>74</v>
      </c>
      <c r="AI197" s="902">
        <v>37</v>
      </c>
    </row>
    <row r="198" spans="1:35" ht="21.95" customHeight="1">
      <c r="A198" s="614">
        <v>8500</v>
      </c>
      <c r="B198" s="790" t="s">
        <v>156</v>
      </c>
      <c r="C198" s="768" t="s">
        <v>491</v>
      </c>
      <c r="D198" s="768" t="s">
        <v>491</v>
      </c>
      <c r="E198" s="768" t="s">
        <v>491</v>
      </c>
      <c r="F198" s="768" t="s">
        <v>491</v>
      </c>
      <c r="G198" s="768" t="s">
        <v>491</v>
      </c>
      <c r="H198" s="768"/>
      <c r="I198" s="768"/>
      <c r="J198" s="768" t="s">
        <v>491</v>
      </c>
      <c r="K198" s="768" t="s">
        <v>491</v>
      </c>
      <c r="L198" s="768" t="s">
        <v>491</v>
      </c>
      <c r="M198" s="768" t="s">
        <v>491</v>
      </c>
      <c r="N198" s="1007" t="s">
        <v>491</v>
      </c>
      <c r="O198" s="768"/>
      <c r="P198" s="768"/>
      <c r="Q198" s="768" t="s">
        <v>491</v>
      </c>
      <c r="R198" s="768" t="s">
        <v>491</v>
      </c>
      <c r="S198" s="768" t="s">
        <v>491</v>
      </c>
      <c r="T198" s="768" t="s">
        <v>491</v>
      </c>
      <c r="U198" s="768" t="s">
        <v>491</v>
      </c>
      <c r="V198" s="768"/>
      <c r="W198" s="768"/>
      <c r="X198" s="768" t="s">
        <v>491</v>
      </c>
      <c r="Y198" s="768" t="s">
        <v>491</v>
      </c>
      <c r="Z198" s="768" t="s">
        <v>491</v>
      </c>
      <c r="AA198" s="977" t="s">
        <v>491</v>
      </c>
      <c r="AB198" s="977" t="s">
        <v>491</v>
      </c>
      <c r="AC198" s="768"/>
      <c r="AD198" s="768"/>
      <c r="AE198" s="977" t="s">
        <v>491</v>
      </c>
      <c r="AF198" s="977" t="s">
        <v>491</v>
      </c>
      <c r="AG198" s="768"/>
      <c r="AH198" s="597">
        <v>37</v>
      </c>
      <c r="AI198" s="598">
        <v>37</v>
      </c>
    </row>
    <row r="199" spans="1:35" ht="21" customHeight="1">
      <c r="A199" s="442"/>
      <c r="B199" s="789" t="s">
        <v>672</v>
      </c>
      <c r="C199" s="768" t="s">
        <v>491</v>
      </c>
      <c r="D199" s="768" t="s">
        <v>491</v>
      </c>
      <c r="E199" s="768" t="s">
        <v>491</v>
      </c>
      <c r="F199" s="768" t="s">
        <v>491</v>
      </c>
      <c r="G199" s="768" t="s">
        <v>491</v>
      </c>
      <c r="H199" s="768"/>
      <c r="I199" s="768"/>
      <c r="J199" s="768" t="s">
        <v>491</v>
      </c>
      <c r="K199" s="768" t="s">
        <v>491</v>
      </c>
      <c r="L199" s="768" t="s">
        <v>491</v>
      </c>
      <c r="M199" s="768" t="s">
        <v>491</v>
      </c>
      <c r="N199" s="768" t="s">
        <v>491</v>
      </c>
      <c r="O199" s="768"/>
      <c r="P199" s="768"/>
      <c r="Q199" s="1030" t="s">
        <v>491</v>
      </c>
      <c r="R199" s="1030" t="s">
        <v>491</v>
      </c>
      <c r="S199" s="1030" t="s">
        <v>491</v>
      </c>
      <c r="T199" s="1030" t="s">
        <v>491</v>
      </c>
      <c r="U199" s="1030" t="s">
        <v>491</v>
      </c>
      <c r="V199" s="768"/>
      <c r="W199" s="768"/>
      <c r="X199" s="768" t="s">
        <v>491</v>
      </c>
      <c r="Y199" s="768" t="s">
        <v>491</v>
      </c>
      <c r="Z199" s="768" t="s">
        <v>491</v>
      </c>
      <c r="AA199" s="768" t="s">
        <v>491</v>
      </c>
      <c r="AB199" s="768" t="s">
        <v>491</v>
      </c>
      <c r="AC199" s="768"/>
      <c r="AD199" s="768"/>
      <c r="AE199" s="768" t="s">
        <v>491</v>
      </c>
      <c r="AF199" s="768" t="s">
        <v>491</v>
      </c>
      <c r="AG199" s="768"/>
      <c r="AH199" s="597">
        <v>67</v>
      </c>
      <c r="AI199" s="598">
        <v>37</v>
      </c>
    </row>
    <row r="200" spans="1:35" ht="21" customHeight="1">
      <c r="A200" s="442">
        <v>8521</v>
      </c>
      <c r="B200" s="789" t="s">
        <v>673</v>
      </c>
      <c r="C200" s="768" t="s">
        <v>491</v>
      </c>
      <c r="D200" s="768" t="s">
        <v>491</v>
      </c>
      <c r="E200" s="768" t="s">
        <v>491</v>
      </c>
      <c r="F200" s="768" t="s">
        <v>491</v>
      </c>
      <c r="G200" s="768" t="s">
        <v>491</v>
      </c>
      <c r="H200" s="768"/>
      <c r="I200" s="768"/>
      <c r="J200" s="768" t="s">
        <v>491</v>
      </c>
      <c r="K200" s="768" t="s">
        <v>491</v>
      </c>
      <c r="L200" s="768" t="s">
        <v>491</v>
      </c>
      <c r="M200" s="768" t="s">
        <v>491</v>
      </c>
      <c r="N200" s="768" t="s">
        <v>491</v>
      </c>
      <c r="O200" s="768"/>
      <c r="P200" s="768"/>
      <c r="Q200" s="768" t="s">
        <v>491</v>
      </c>
      <c r="R200" s="768" t="s">
        <v>491</v>
      </c>
      <c r="S200" s="768" t="s">
        <v>491</v>
      </c>
      <c r="T200" s="768" t="s">
        <v>491</v>
      </c>
      <c r="U200" s="768" t="s">
        <v>491</v>
      </c>
      <c r="V200" s="768"/>
      <c r="W200" s="768"/>
      <c r="X200" s="768" t="s">
        <v>491</v>
      </c>
      <c r="Y200" s="768" t="s">
        <v>491</v>
      </c>
      <c r="Z200" s="768" t="s">
        <v>491</v>
      </c>
      <c r="AA200" s="768" t="s">
        <v>491</v>
      </c>
      <c r="AB200" s="768" t="s">
        <v>491</v>
      </c>
      <c r="AC200" s="768"/>
      <c r="AD200" s="768"/>
      <c r="AE200" s="768" t="s">
        <v>491</v>
      </c>
      <c r="AF200" s="768" t="s">
        <v>491</v>
      </c>
      <c r="AG200" s="768"/>
      <c r="AH200" s="597">
        <v>111</v>
      </c>
      <c r="AI200" s="598">
        <v>37</v>
      </c>
    </row>
    <row r="201" spans="1:35" ht="21" customHeight="1">
      <c r="A201" s="442"/>
      <c r="B201" s="791" t="s">
        <v>674</v>
      </c>
      <c r="C201" s="768" t="s">
        <v>491</v>
      </c>
      <c r="D201" s="768" t="s">
        <v>491</v>
      </c>
      <c r="E201" s="768" t="s">
        <v>491</v>
      </c>
      <c r="F201" s="768" t="s">
        <v>491</v>
      </c>
      <c r="G201" s="768" t="s">
        <v>491</v>
      </c>
      <c r="H201" s="768"/>
      <c r="I201" s="768"/>
      <c r="J201" s="768" t="s">
        <v>491</v>
      </c>
      <c r="K201" s="768" t="s">
        <v>491</v>
      </c>
      <c r="L201" s="768" t="s">
        <v>491</v>
      </c>
      <c r="M201" s="1007" t="s">
        <v>491</v>
      </c>
      <c r="N201" s="1007" t="s">
        <v>491</v>
      </c>
      <c r="O201" s="768"/>
      <c r="P201" s="768"/>
      <c r="Q201" s="768" t="s">
        <v>491</v>
      </c>
      <c r="R201" s="768" t="s">
        <v>491</v>
      </c>
      <c r="S201" s="768" t="s">
        <v>491</v>
      </c>
      <c r="T201" s="768" t="s">
        <v>491</v>
      </c>
      <c r="U201" s="768" t="s">
        <v>491</v>
      </c>
      <c r="V201" s="768"/>
      <c r="W201" s="768"/>
      <c r="X201" s="768" t="s">
        <v>491</v>
      </c>
      <c r="Y201" s="768" t="s">
        <v>491</v>
      </c>
      <c r="Z201" s="768" t="s">
        <v>491</v>
      </c>
      <c r="AA201" s="768" t="s">
        <v>491</v>
      </c>
      <c r="AB201" s="768" t="s">
        <v>491</v>
      </c>
      <c r="AC201" s="768"/>
      <c r="AD201" s="768"/>
      <c r="AE201" s="768" t="s">
        <v>491</v>
      </c>
      <c r="AF201" s="768" t="s">
        <v>491</v>
      </c>
      <c r="AG201" s="768"/>
      <c r="AH201" s="597">
        <v>74</v>
      </c>
      <c r="AI201" s="598">
        <v>37</v>
      </c>
    </row>
    <row r="202" spans="1:35" ht="21" customHeight="1">
      <c r="A202" s="442">
        <v>8514</v>
      </c>
      <c r="B202" s="542" t="s">
        <v>675</v>
      </c>
      <c r="C202" s="977" t="s">
        <v>491</v>
      </c>
      <c r="D202" s="977" t="s">
        <v>491</v>
      </c>
      <c r="E202" s="977" t="s">
        <v>491</v>
      </c>
      <c r="F202" s="977" t="s">
        <v>491</v>
      </c>
      <c r="G202" s="977" t="s">
        <v>491</v>
      </c>
      <c r="H202" s="768"/>
      <c r="I202" s="768"/>
      <c r="J202" s="768" t="s">
        <v>491</v>
      </c>
      <c r="K202" s="768" t="s">
        <v>491</v>
      </c>
      <c r="L202" s="768" t="s">
        <v>491</v>
      </c>
      <c r="M202" s="1007" t="s">
        <v>491</v>
      </c>
      <c r="N202" s="1007" t="s">
        <v>491</v>
      </c>
      <c r="O202" s="768"/>
      <c r="P202" s="768"/>
      <c r="Q202" s="768" t="s">
        <v>491</v>
      </c>
      <c r="R202" s="768" t="s">
        <v>491</v>
      </c>
      <c r="S202" s="768" t="s">
        <v>491</v>
      </c>
      <c r="T202" s="768" t="s">
        <v>491</v>
      </c>
      <c r="U202" s="768" t="s">
        <v>491</v>
      </c>
      <c r="V202" s="768"/>
      <c r="W202" s="768"/>
      <c r="X202" s="768" t="s">
        <v>491</v>
      </c>
      <c r="Y202" s="768" t="s">
        <v>491</v>
      </c>
      <c r="Z202" s="768" t="s">
        <v>491</v>
      </c>
      <c r="AA202" s="977" t="s">
        <v>491</v>
      </c>
      <c r="AB202" s="977" t="s">
        <v>491</v>
      </c>
      <c r="AC202" s="768"/>
      <c r="AD202" s="768"/>
      <c r="AE202" s="768" t="s">
        <v>491</v>
      </c>
      <c r="AF202" s="768" t="s">
        <v>491</v>
      </c>
      <c r="AG202" s="768"/>
      <c r="AH202" s="597">
        <v>75</v>
      </c>
      <c r="AI202" s="598">
        <v>37</v>
      </c>
    </row>
    <row r="203" spans="1:35" ht="21.95" customHeight="1">
      <c r="A203" s="442">
        <v>3701</v>
      </c>
      <c r="B203" s="789" t="s">
        <v>433</v>
      </c>
      <c r="C203" s="768" t="s">
        <v>491</v>
      </c>
      <c r="D203" s="768" t="s">
        <v>491</v>
      </c>
      <c r="E203" s="768" t="s">
        <v>491</v>
      </c>
      <c r="F203" s="768" t="s">
        <v>491</v>
      </c>
      <c r="G203" s="768" t="s">
        <v>491</v>
      </c>
      <c r="H203" s="768"/>
      <c r="I203" s="768"/>
      <c r="J203" s="768" t="s">
        <v>491</v>
      </c>
      <c r="K203" s="768" t="s">
        <v>491</v>
      </c>
      <c r="L203" s="768" t="s">
        <v>491</v>
      </c>
      <c r="M203" s="768" t="s">
        <v>491</v>
      </c>
      <c r="N203" s="768" t="s">
        <v>491</v>
      </c>
      <c r="O203" s="768"/>
      <c r="P203" s="768"/>
      <c r="Q203" s="768" t="s">
        <v>491</v>
      </c>
      <c r="R203" s="768" t="s">
        <v>491</v>
      </c>
      <c r="S203" s="768" t="s">
        <v>491</v>
      </c>
      <c r="T203" s="768" t="s">
        <v>491</v>
      </c>
      <c r="U203" s="768" t="s">
        <v>491</v>
      </c>
      <c r="V203" s="768"/>
      <c r="W203" s="768"/>
      <c r="X203" s="768" t="s">
        <v>491</v>
      </c>
      <c r="Y203" s="768" t="s">
        <v>491</v>
      </c>
      <c r="Z203" s="768" t="s">
        <v>491</v>
      </c>
      <c r="AA203" s="768" t="s">
        <v>491</v>
      </c>
      <c r="AB203" s="768" t="s">
        <v>491</v>
      </c>
      <c r="AC203" s="768"/>
      <c r="AD203" s="768"/>
      <c r="AE203" s="768" t="s">
        <v>491</v>
      </c>
      <c r="AF203" s="768" t="s">
        <v>491</v>
      </c>
      <c r="AG203" s="768"/>
      <c r="AH203" s="597">
        <v>74</v>
      </c>
      <c r="AI203" s="598">
        <v>37</v>
      </c>
    </row>
    <row r="204" spans="1:35" ht="21.95" customHeight="1">
      <c r="A204" s="442">
        <v>3701</v>
      </c>
      <c r="B204" s="789"/>
      <c r="C204" s="987" t="s">
        <v>491</v>
      </c>
      <c r="D204" s="987" t="s">
        <v>491</v>
      </c>
      <c r="E204" s="987" t="s">
        <v>491</v>
      </c>
      <c r="F204" s="987" t="s">
        <v>491</v>
      </c>
      <c r="G204" s="987" t="s">
        <v>491</v>
      </c>
      <c r="H204" s="987"/>
      <c r="I204" s="987"/>
      <c r="J204" s="987" t="s">
        <v>491</v>
      </c>
      <c r="K204" s="987" t="s">
        <v>491</v>
      </c>
      <c r="L204" s="987" t="s">
        <v>491</v>
      </c>
      <c r="M204" s="987" t="s">
        <v>491</v>
      </c>
      <c r="N204" s="987" t="s">
        <v>491</v>
      </c>
      <c r="O204" s="987"/>
      <c r="P204" s="987"/>
      <c r="Q204" s="768" t="s">
        <v>491</v>
      </c>
      <c r="R204" s="768" t="s">
        <v>491</v>
      </c>
      <c r="S204" s="768" t="s">
        <v>491</v>
      </c>
      <c r="T204" s="768" t="s">
        <v>491</v>
      </c>
      <c r="U204" s="768" t="s">
        <v>491</v>
      </c>
      <c r="V204" s="768"/>
      <c r="W204" s="768"/>
      <c r="X204" s="768" t="s">
        <v>491</v>
      </c>
      <c r="Y204" s="768" t="s">
        <v>491</v>
      </c>
      <c r="Z204" s="768" t="s">
        <v>491</v>
      </c>
      <c r="AA204" s="768" t="s">
        <v>491</v>
      </c>
      <c r="AB204" s="768" t="s">
        <v>491</v>
      </c>
      <c r="AC204" s="768"/>
      <c r="AD204" s="768"/>
      <c r="AE204" s="768">
        <v>19</v>
      </c>
      <c r="AF204" s="768">
        <v>19</v>
      </c>
      <c r="AG204" s="768"/>
      <c r="AH204" s="597">
        <v>185</v>
      </c>
      <c r="AI204" s="598">
        <v>37</v>
      </c>
    </row>
    <row r="205" spans="1:35" ht="21.95" customHeight="1">
      <c r="A205" s="442">
        <v>3701</v>
      </c>
      <c r="B205" s="789" t="s">
        <v>438</v>
      </c>
      <c r="C205" s="768" t="s">
        <v>491</v>
      </c>
      <c r="D205" s="768" t="s">
        <v>491</v>
      </c>
      <c r="E205" s="768" t="s">
        <v>491</v>
      </c>
      <c r="F205" s="768" t="s">
        <v>491</v>
      </c>
      <c r="G205" s="768" t="s">
        <v>491</v>
      </c>
      <c r="H205" s="768"/>
      <c r="I205" s="768"/>
      <c r="J205" s="764">
        <v>19</v>
      </c>
      <c r="K205" s="764">
        <v>19</v>
      </c>
      <c r="L205" s="764">
        <v>19</v>
      </c>
      <c r="M205" s="764">
        <v>19</v>
      </c>
      <c r="N205" s="764">
        <v>19</v>
      </c>
      <c r="O205" s="768"/>
      <c r="P205" s="768"/>
      <c r="Q205" s="768" t="s">
        <v>491</v>
      </c>
      <c r="R205" s="768" t="s">
        <v>491</v>
      </c>
      <c r="S205" s="768" t="s">
        <v>491</v>
      </c>
      <c r="T205" s="768" t="s">
        <v>491</v>
      </c>
      <c r="U205" s="768" t="s">
        <v>491</v>
      </c>
      <c r="V205" s="768"/>
      <c r="W205" s="768"/>
      <c r="X205" s="768" t="s">
        <v>491</v>
      </c>
      <c r="Y205" s="768" t="s">
        <v>491</v>
      </c>
      <c r="Z205" s="768" t="s">
        <v>491</v>
      </c>
      <c r="AA205" s="768" t="s">
        <v>491</v>
      </c>
      <c r="AB205" s="768" t="s">
        <v>491</v>
      </c>
      <c r="AC205" s="768"/>
      <c r="AD205" s="768"/>
      <c r="AE205" s="768" t="s">
        <v>485</v>
      </c>
      <c r="AF205" s="768" t="s">
        <v>485</v>
      </c>
      <c r="AG205" s="768"/>
      <c r="AH205" s="597">
        <v>75.75</v>
      </c>
      <c r="AI205" s="598">
        <v>37</v>
      </c>
    </row>
    <row r="206" spans="1:35" ht="21.95" customHeight="1">
      <c r="A206" s="442">
        <v>3701</v>
      </c>
      <c r="B206" s="789" t="s">
        <v>439</v>
      </c>
      <c r="C206" s="1007" t="s">
        <v>491</v>
      </c>
      <c r="D206" s="1007" t="s">
        <v>491</v>
      </c>
      <c r="E206" s="768" t="s">
        <v>491</v>
      </c>
      <c r="F206" s="768" t="s">
        <v>491</v>
      </c>
      <c r="G206" s="768" t="s">
        <v>491</v>
      </c>
      <c r="H206" s="768"/>
      <c r="I206" s="768"/>
      <c r="J206" s="764" t="s">
        <v>485</v>
      </c>
      <c r="K206" s="764" t="s">
        <v>485</v>
      </c>
      <c r="L206" s="764" t="s">
        <v>485</v>
      </c>
      <c r="M206" s="764" t="s">
        <v>485</v>
      </c>
      <c r="N206" s="764" t="s">
        <v>485</v>
      </c>
      <c r="O206" s="768"/>
      <c r="P206" s="768"/>
      <c r="Q206" s="768" t="s">
        <v>491</v>
      </c>
      <c r="R206" s="768" t="s">
        <v>491</v>
      </c>
      <c r="S206" s="768" t="s">
        <v>491</v>
      </c>
      <c r="T206" s="768" t="s">
        <v>491</v>
      </c>
      <c r="U206" s="768" t="s">
        <v>491</v>
      </c>
      <c r="V206" s="768"/>
      <c r="W206" s="768"/>
      <c r="X206" s="764">
        <v>19</v>
      </c>
      <c r="Y206" s="764">
        <v>19</v>
      </c>
      <c r="Z206" s="764">
        <v>19</v>
      </c>
      <c r="AA206" s="764">
        <v>19</v>
      </c>
      <c r="AB206" s="764">
        <v>19</v>
      </c>
      <c r="AC206" s="768"/>
      <c r="AD206" s="768"/>
      <c r="AE206" s="768" t="s">
        <v>491</v>
      </c>
      <c r="AF206" s="768" t="s">
        <v>491</v>
      </c>
      <c r="AG206" s="768"/>
      <c r="AH206" s="597">
        <v>76.5</v>
      </c>
      <c r="AI206" s="598">
        <v>37</v>
      </c>
    </row>
    <row r="207" spans="1:35" ht="21.95" customHeight="1">
      <c r="A207" s="442">
        <v>3701</v>
      </c>
      <c r="B207" s="789" t="s">
        <v>677</v>
      </c>
      <c r="C207" s="768" t="s">
        <v>491</v>
      </c>
      <c r="D207" s="768" t="s">
        <v>491</v>
      </c>
      <c r="E207" s="768" t="s">
        <v>491</v>
      </c>
      <c r="F207" s="768" t="s">
        <v>491</v>
      </c>
      <c r="G207" s="768" t="s">
        <v>491</v>
      </c>
      <c r="H207" s="768"/>
      <c r="I207" s="768"/>
      <c r="J207" s="768" t="s">
        <v>491</v>
      </c>
      <c r="K207" s="1007" t="s">
        <v>491</v>
      </c>
      <c r="L207" s="768" t="s">
        <v>491</v>
      </c>
      <c r="M207" s="768" t="s">
        <v>491</v>
      </c>
      <c r="N207" s="768" t="s">
        <v>491</v>
      </c>
      <c r="O207" s="768"/>
      <c r="P207" s="768"/>
      <c r="Q207" s="764">
        <v>19</v>
      </c>
      <c r="R207" s="764">
        <v>19</v>
      </c>
      <c r="S207" s="764">
        <v>19</v>
      </c>
      <c r="T207" s="764">
        <v>19</v>
      </c>
      <c r="U207" s="764">
        <v>19</v>
      </c>
      <c r="V207" s="768"/>
      <c r="W207" s="768"/>
      <c r="X207" s="764" t="s">
        <v>485</v>
      </c>
      <c r="Y207" s="764" t="s">
        <v>485</v>
      </c>
      <c r="Z207" s="764" t="s">
        <v>485</v>
      </c>
      <c r="AA207" s="764" t="s">
        <v>485</v>
      </c>
      <c r="AB207" s="764" t="s">
        <v>485</v>
      </c>
      <c r="AC207" s="768"/>
      <c r="AD207" s="768"/>
      <c r="AE207" s="768" t="s">
        <v>491</v>
      </c>
      <c r="AF207" s="768" t="s">
        <v>491</v>
      </c>
      <c r="AG207" s="768"/>
      <c r="AH207" s="597">
        <v>84.25</v>
      </c>
      <c r="AI207" s="598">
        <v>37</v>
      </c>
    </row>
    <row r="208" spans="1:35" ht="21.95" customHeight="1">
      <c r="A208" s="442">
        <v>3701</v>
      </c>
      <c r="B208" s="542" t="s">
        <v>678</v>
      </c>
      <c r="C208" s="768" t="s">
        <v>491</v>
      </c>
      <c r="D208" s="768" t="s">
        <v>491</v>
      </c>
      <c r="E208" s="768" t="s">
        <v>491</v>
      </c>
      <c r="F208" s="768" t="s">
        <v>491</v>
      </c>
      <c r="G208" s="768" t="s">
        <v>491</v>
      </c>
      <c r="H208" s="768"/>
      <c r="I208" s="768"/>
      <c r="J208" s="768" t="s">
        <v>491</v>
      </c>
      <c r="K208" s="768" t="s">
        <v>491</v>
      </c>
      <c r="L208" s="768" t="s">
        <v>491</v>
      </c>
      <c r="M208" s="768" t="s">
        <v>491</v>
      </c>
      <c r="N208" s="768" t="s">
        <v>491</v>
      </c>
      <c r="O208" s="768"/>
      <c r="P208" s="768"/>
      <c r="Q208" s="768" t="s">
        <v>491</v>
      </c>
      <c r="R208" s="768" t="s">
        <v>491</v>
      </c>
      <c r="S208" s="1038" t="s">
        <v>491</v>
      </c>
      <c r="T208" s="1038" t="s">
        <v>493</v>
      </c>
      <c r="U208" s="987" t="s">
        <v>491</v>
      </c>
      <c r="V208" s="768"/>
      <c r="W208" s="768"/>
      <c r="X208" s="768" t="s">
        <v>491</v>
      </c>
      <c r="Y208" s="768" t="s">
        <v>491</v>
      </c>
      <c r="Z208" s="768" t="s">
        <v>491</v>
      </c>
      <c r="AA208" s="768" t="s">
        <v>491</v>
      </c>
      <c r="AB208" s="768" t="s">
        <v>491</v>
      </c>
      <c r="AC208" s="768"/>
      <c r="AD208" s="768"/>
      <c r="AE208" s="768" t="s">
        <v>491</v>
      </c>
      <c r="AF208" s="768" t="s">
        <v>491</v>
      </c>
      <c r="AG208" s="768"/>
      <c r="AH208" s="597">
        <v>60.25</v>
      </c>
      <c r="AI208" s="598">
        <v>37</v>
      </c>
    </row>
    <row r="209" spans="1:35" ht="21.95" customHeight="1">
      <c r="A209" s="442">
        <v>3701</v>
      </c>
      <c r="B209" s="821" t="s">
        <v>679</v>
      </c>
      <c r="C209" s="764">
        <v>19</v>
      </c>
      <c r="D209" s="764">
        <v>19</v>
      </c>
      <c r="E209" s="764">
        <v>19</v>
      </c>
      <c r="F209" s="764">
        <v>19</v>
      </c>
      <c r="G209" s="764">
        <v>19</v>
      </c>
      <c r="H209" s="768"/>
      <c r="I209" s="768"/>
      <c r="J209" s="768" t="s">
        <v>491</v>
      </c>
      <c r="K209" s="768" t="s">
        <v>491</v>
      </c>
      <c r="L209" s="768" t="s">
        <v>491</v>
      </c>
      <c r="M209" s="768" t="s">
        <v>491</v>
      </c>
      <c r="N209" s="768" t="s">
        <v>491</v>
      </c>
      <c r="O209" s="768"/>
      <c r="P209" s="768"/>
      <c r="Q209" s="764" t="s">
        <v>485</v>
      </c>
      <c r="R209" s="764" t="s">
        <v>485</v>
      </c>
      <c r="S209" s="764" t="s">
        <v>485</v>
      </c>
      <c r="T209" s="764" t="s">
        <v>485</v>
      </c>
      <c r="U209" s="764" t="s">
        <v>485</v>
      </c>
      <c r="V209" s="768"/>
      <c r="W209" s="768"/>
      <c r="X209" s="768" t="s">
        <v>491</v>
      </c>
      <c r="Y209" s="768" t="s">
        <v>491</v>
      </c>
      <c r="Z209" s="768" t="s">
        <v>491</v>
      </c>
      <c r="AA209" s="768" t="s">
        <v>491</v>
      </c>
      <c r="AB209" s="768" t="s">
        <v>491</v>
      </c>
      <c r="AC209" s="768"/>
      <c r="AD209" s="768"/>
      <c r="AE209" s="768" t="s">
        <v>491</v>
      </c>
      <c r="AF209" s="768" t="s">
        <v>491</v>
      </c>
      <c r="AG209" s="768"/>
      <c r="AH209" s="597">
        <v>78.25</v>
      </c>
      <c r="AI209" s="598">
        <v>37</v>
      </c>
    </row>
    <row r="210" spans="1:35" ht="21.95" customHeight="1">
      <c r="A210" s="820">
        <v>3701</v>
      </c>
      <c r="B210" s="792" t="s">
        <v>680</v>
      </c>
      <c r="C210" s="768" t="s">
        <v>491</v>
      </c>
      <c r="D210" s="768" t="s">
        <v>491</v>
      </c>
      <c r="E210" s="768" t="s">
        <v>491</v>
      </c>
      <c r="F210" s="768" t="s">
        <v>491</v>
      </c>
      <c r="G210" s="768" t="s">
        <v>491</v>
      </c>
      <c r="H210" s="768"/>
      <c r="I210" s="768"/>
      <c r="J210" s="768" t="s">
        <v>491</v>
      </c>
      <c r="K210" s="768" t="s">
        <v>491</v>
      </c>
      <c r="L210" s="768" t="s">
        <v>491</v>
      </c>
      <c r="M210" s="768" t="s">
        <v>491</v>
      </c>
      <c r="N210" s="768" t="s">
        <v>491</v>
      </c>
      <c r="O210" s="768"/>
      <c r="P210" s="768"/>
      <c r="Q210" s="768" t="s">
        <v>491</v>
      </c>
      <c r="R210" s="768" t="s">
        <v>491</v>
      </c>
      <c r="S210" s="768" t="s">
        <v>491</v>
      </c>
      <c r="T210" s="768" t="s">
        <v>491</v>
      </c>
      <c r="U210" s="768" t="s">
        <v>491</v>
      </c>
      <c r="V210" s="768"/>
      <c r="W210" s="768"/>
      <c r="X210" s="768" t="s">
        <v>491</v>
      </c>
      <c r="Y210" s="768" t="s">
        <v>491</v>
      </c>
      <c r="Z210" s="768" t="s">
        <v>491</v>
      </c>
      <c r="AA210" s="768" t="s">
        <v>491</v>
      </c>
      <c r="AB210" s="768" t="s">
        <v>491</v>
      </c>
      <c r="AC210" s="768"/>
      <c r="AD210" s="768"/>
      <c r="AE210" s="970" t="s">
        <v>491</v>
      </c>
      <c r="AF210" s="970" t="s">
        <v>491</v>
      </c>
      <c r="AG210" s="768"/>
      <c r="AH210" s="597">
        <v>111</v>
      </c>
      <c r="AI210" s="598">
        <v>37</v>
      </c>
    </row>
    <row r="211" spans="1:35" ht="21.95" customHeight="1" thickBot="1">
      <c r="A211" s="442">
        <v>3701</v>
      </c>
      <c r="B211" s="904" t="s">
        <v>681</v>
      </c>
      <c r="C211" s="768" t="s">
        <v>491</v>
      </c>
      <c r="D211" s="768" t="s">
        <v>491</v>
      </c>
      <c r="E211" s="768" t="s">
        <v>491</v>
      </c>
      <c r="F211" s="768" t="s">
        <v>491</v>
      </c>
      <c r="G211" s="768" t="s">
        <v>491</v>
      </c>
      <c r="H211" s="768"/>
      <c r="I211" s="768"/>
      <c r="J211" s="768" t="s">
        <v>491</v>
      </c>
      <c r="K211" s="768" t="s">
        <v>491</v>
      </c>
      <c r="L211" s="768" t="s">
        <v>491</v>
      </c>
      <c r="M211" s="768" t="s">
        <v>491</v>
      </c>
      <c r="N211" s="768" t="s">
        <v>491</v>
      </c>
      <c r="O211" s="768"/>
      <c r="P211" s="768"/>
      <c r="Q211" s="768" t="s">
        <v>491</v>
      </c>
      <c r="R211" s="768" t="s">
        <v>491</v>
      </c>
      <c r="S211" s="768" t="s">
        <v>491</v>
      </c>
      <c r="T211" s="970" t="s">
        <v>491</v>
      </c>
      <c r="U211" s="970" t="s">
        <v>491</v>
      </c>
      <c r="V211" s="768"/>
      <c r="W211" s="768"/>
      <c r="X211" s="768" t="s">
        <v>491</v>
      </c>
      <c r="Y211" s="768" t="s">
        <v>491</v>
      </c>
      <c r="Z211" s="768" t="s">
        <v>491</v>
      </c>
      <c r="AA211" s="768" t="s">
        <v>491</v>
      </c>
      <c r="AB211" s="768" t="s">
        <v>491</v>
      </c>
      <c r="AC211" s="768"/>
      <c r="AD211" s="768"/>
      <c r="AE211" s="768" t="s">
        <v>491</v>
      </c>
      <c r="AF211" s="768" t="s">
        <v>491</v>
      </c>
      <c r="AG211" s="768"/>
      <c r="AH211" s="597">
        <v>185</v>
      </c>
      <c r="AI211" s="598">
        <v>37</v>
      </c>
    </row>
    <row r="212" spans="1:35" ht="21.95" customHeight="1">
      <c r="A212" s="442">
        <v>3701</v>
      </c>
      <c r="B212" s="789" t="s">
        <v>436</v>
      </c>
      <c r="C212" s="970" t="s">
        <v>491</v>
      </c>
      <c r="D212" s="970" t="s">
        <v>491</v>
      </c>
      <c r="E212" s="970" t="s">
        <v>491</v>
      </c>
      <c r="F212" s="970" t="s">
        <v>491</v>
      </c>
      <c r="G212" s="970" t="s">
        <v>491</v>
      </c>
      <c r="H212" s="970"/>
      <c r="I212" s="970"/>
      <c r="J212" s="970" t="s">
        <v>491</v>
      </c>
      <c r="K212" s="970" t="s">
        <v>491</v>
      </c>
      <c r="L212" s="970" t="s">
        <v>491</v>
      </c>
      <c r="M212" s="970" t="s">
        <v>491</v>
      </c>
      <c r="N212" s="970" t="s">
        <v>491</v>
      </c>
      <c r="O212" s="970"/>
      <c r="P212" s="970"/>
      <c r="Q212" s="768" t="s">
        <v>491</v>
      </c>
      <c r="R212" s="768" t="s">
        <v>491</v>
      </c>
      <c r="S212" s="768" t="s">
        <v>491</v>
      </c>
      <c r="T212" s="768" t="s">
        <v>491</v>
      </c>
      <c r="U212" s="768" t="s">
        <v>491</v>
      </c>
      <c r="V212" s="768"/>
      <c r="W212" s="768"/>
      <c r="X212" s="768" t="s">
        <v>491</v>
      </c>
      <c r="Y212" s="768" t="s">
        <v>491</v>
      </c>
      <c r="Z212" s="1038" t="s">
        <v>491</v>
      </c>
      <c r="AA212" s="1038" t="s">
        <v>491</v>
      </c>
      <c r="AB212" s="1038" t="s">
        <v>714</v>
      </c>
      <c r="AC212" s="768"/>
      <c r="AD212" s="768"/>
      <c r="AE212" s="768" t="s">
        <v>491</v>
      </c>
      <c r="AF212" s="768" t="s">
        <v>491</v>
      </c>
      <c r="AG212" s="768"/>
      <c r="AH212" s="597">
        <v>185</v>
      </c>
      <c r="AI212" s="598">
        <v>37</v>
      </c>
    </row>
    <row r="213" spans="1:35" ht="21.95" customHeight="1" thickBot="1">
      <c r="A213" s="442">
        <v>3701</v>
      </c>
      <c r="B213" s="904"/>
      <c r="C213" s="768"/>
      <c r="D213" s="768"/>
      <c r="E213" s="768"/>
      <c r="F213" s="768"/>
      <c r="G213" s="768"/>
      <c r="H213" s="768"/>
      <c r="I213" s="768"/>
      <c r="J213" s="768"/>
      <c r="K213" s="768"/>
      <c r="L213" s="768"/>
      <c r="M213" s="768"/>
      <c r="N213" s="768"/>
      <c r="O213" s="768"/>
      <c r="P213" s="768"/>
      <c r="Q213" s="768"/>
      <c r="R213" s="768"/>
      <c r="S213" s="768"/>
      <c r="T213" s="768"/>
      <c r="U213" s="768"/>
      <c r="V213" s="768"/>
      <c r="W213" s="768"/>
      <c r="X213" s="768"/>
      <c r="Y213" s="768"/>
      <c r="Z213" s="768"/>
      <c r="AA213" s="768"/>
      <c r="AB213" s="768"/>
      <c r="AC213" s="768"/>
      <c r="AD213" s="768"/>
      <c r="AE213" s="768"/>
      <c r="AF213" s="768"/>
      <c r="AG213" s="768"/>
      <c r="AH213" s="597">
        <v>148</v>
      </c>
      <c r="AI213" s="598">
        <v>37</v>
      </c>
    </row>
    <row r="214" spans="1:35" ht="21.95" customHeight="1" thickBot="1">
      <c r="A214" s="903">
        <v>3701</v>
      </c>
      <c r="B214" s="904"/>
      <c r="C214" s="768"/>
      <c r="D214" s="768"/>
      <c r="E214" s="768"/>
      <c r="F214" s="768"/>
      <c r="G214" s="768"/>
      <c r="H214" s="768"/>
      <c r="I214" s="768"/>
      <c r="J214" s="768"/>
      <c r="K214" s="768"/>
      <c r="L214" s="768"/>
      <c r="M214" s="768"/>
      <c r="N214" s="768"/>
      <c r="O214" s="768"/>
      <c r="P214" s="768"/>
      <c r="Q214" s="768"/>
      <c r="R214" s="768"/>
      <c r="S214" s="768"/>
      <c r="T214" s="768"/>
      <c r="U214" s="768"/>
      <c r="V214" s="768"/>
      <c r="W214" s="768"/>
      <c r="X214" s="768"/>
      <c r="Y214" s="768"/>
      <c r="Z214" s="768"/>
      <c r="AA214" s="768"/>
      <c r="AB214" s="768"/>
      <c r="AC214" s="768"/>
      <c r="AD214" s="768"/>
      <c r="AE214" s="768"/>
      <c r="AF214" s="768"/>
      <c r="AG214" s="768"/>
      <c r="AH214" s="868"/>
      <c r="AI214" s="869"/>
    </row>
    <row r="215" spans="1:35" ht="21.95" customHeight="1">
      <c r="A215" s="574"/>
      <c r="B215" s="615"/>
      <c r="C215" s="555"/>
      <c r="D215" s="555"/>
      <c r="E215" s="555"/>
      <c r="F215" s="555"/>
      <c r="G215" s="555"/>
      <c r="H215" s="555"/>
      <c r="I215" s="555"/>
      <c r="J215" s="555"/>
      <c r="K215" s="517"/>
      <c r="L215" s="555"/>
      <c r="M215" s="555"/>
      <c r="N215" s="555"/>
      <c r="O215" s="555"/>
      <c r="P215" s="538"/>
      <c r="Q215" s="538"/>
      <c r="R215" s="538"/>
      <c r="S215" s="555"/>
      <c r="T215" s="555"/>
      <c r="U215" s="555"/>
      <c r="V215" s="555"/>
      <c r="W215" s="555"/>
      <c r="X215" s="555"/>
      <c r="Y215" s="555"/>
      <c r="Z215" s="555"/>
      <c r="AA215" s="555"/>
      <c r="AB215" s="555"/>
      <c r="AC215" s="555"/>
      <c r="AD215" s="555"/>
      <c r="AE215" s="555"/>
      <c r="AF215" s="555"/>
      <c r="AG215" s="555"/>
      <c r="AH215" s="556"/>
      <c r="AI215" s="556"/>
    </row>
    <row r="216" spans="1:35" ht="21" customHeight="1" thickBot="1">
      <c r="A216" s="1" t="s">
        <v>682</v>
      </c>
    </row>
    <row r="217" spans="1:35" ht="21" customHeight="1">
      <c r="B217" s="201" t="s">
        <v>664</v>
      </c>
      <c r="C217" s="7"/>
      <c r="D217" s="522" t="s">
        <v>2</v>
      </c>
      <c r="E217" s="51"/>
      <c r="F217" s="548"/>
      <c r="G217" s="7"/>
      <c r="H217" s="522" t="s">
        <v>3</v>
      </c>
      <c r="I217" s="51"/>
      <c r="J217" s="548"/>
      <c r="K217" s="7"/>
      <c r="L217" s="522" t="s">
        <v>4</v>
      </c>
      <c r="M217" s="51"/>
      <c r="N217" s="548"/>
      <c r="O217" s="7"/>
      <c r="P217" s="522" t="s">
        <v>5</v>
      </c>
      <c r="Q217" s="51"/>
      <c r="R217" s="548"/>
      <c r="S217" s="7"/>
      <c r="T217" s="522" t="s">
        <v>6</v>
      </c>
      <c r="U217" s="51"/>
      <c r="V217" s="548"/>
      <c r="W217" s="7"/>
      <c r="X217" s="522" t="s">
        <v>7</v>
      </c>
      <c r="Y217" s="51"/>
      <c r="Z217" s="548"/>
      <c r="AA217" s="7"/>
      <c r="AB217" s="522" t="s">
        <v>8</v>
      </c>
      <c r="AC217" s="51"/>
      <c r="AD217" s="51"/>
      <c r="AE217" s="425" t="s">
        <v>10</v>
      </c>
      <c r="AF217" s="51"/>
      <c r="AG217" s="51"/>
      <c r="AH217" s="51"/>
      <c r="AI217" s="523"/>
    </row>
    <row r="218" spans="1:35" ht="21" customHeight="1">
      <c r="B218" s="9">
        <v>8502</v>
      </c>
      <c r="C218" s="14" t="s">
        <v>11</v>
      </c>
      <c r="D218" s="603"/>
      <c r="E218" s="55"/>
      <c r="F218" s="602"/>
      <c r="G218" s="14" t="s">
        <v>11</v>
      </c>
      <c r="H218" s="603"/>
      <c r="I218" s="55"/>
      <c r="J218" s="602"/>
      <c r="K218" s="14" t="s">
        <v>11</v>
      </c>
      <c r="L218" s="603"/>
      <c r="M218" s="55"/>
      <c r="N218" s="602"/>
      <c r="O218" s="14" t="s">
        <v>11</v>
      </c>
      <c r="P218" s="603"/>
      <c r="Q218" s="55"/>
      <c r="R218" s="602"/>
      <c r="S218" s="14" t="s">
        <v>12</v>
      </c>
      <c r="T218" s="603"/>
      <c r="U218" s="55"/>
      <c r="V218" s="602"/>
      <c r="W218" s="14"/>
      <c r="X218" s="603"/>
      <c r="Y218" s="55"/>
      <c r="Z218" s="602"/>
      <c r="AA218" s="14"/>
      <c r="AB218" s="603"/>
      <c r="AC218" s="55"/>
      <c r="AD218" s="55"/>
      <c r="AE218" s="604"/>
      <c r="AF218" s="55"/>
      <c r="AG218" s="55"/>
      <c r="AH218" s="55"/>
      <c r="AI218" s="605"/>
    </row>
    <row r="219" spans="1:35" ht="21" customHeight="1">
      <c r="B219" s="606">
        <v>3701</v>
      </c>
      <c r="C219" s="121" t="s">
        <v>11</v>
      </c>
      <c r="D219" s="131"/>
      <c r="E219" s="55"/>
      <c r="F219" s="602"/>
      <c r="G219" s="121" t="s">
        <v>11</v>
      </c>
      <c r="H219" s="603"/>
      <c r="I219" s="55"/>
      <c r="J219" s="602"/>
      <c r="K219" s="121" t="s">
        <v>11</v>
      </c>
      <c r="L219" s="603"/>
      <c r="M219" s="55"/>
      <c r="N219" s="602"/>
      <c r="O219" s="121" t="s">
        <v>11</v>
      </c>
      <c r="P219" s="603"/>
      <c r="Q219" s="55"/>
      <c r="R219" s="602"/>
      <c r="S219" s="14" t="s">
        <v>12</v>
      </c>
      <c r="T219" s="603"/>
      <c r="U219" s="55"/>
      <c r="V219" s="602"/>
      <c r="W219" s="14"/>
      <c r="X219" s="603"/>
      <c r="Y219" s="55"/>
      <c r="Z219" s="602"/>
      <c r="AA219" s="14"/>
      <c r="AB219" s="603"/>
      <c r="AC219" s="55"/>
      <c r="AD219" s="55"/>
      <c r="AE219" s="604"/>
      <c r="AF219" s="55"/>
      <c r="AG219" s="55"/>
      <c r="AH219" s="55"/>
      <c r="AI219" s="605"/>
    </row>
    <row r="220" spans="1:35" ht="21" customHeight="1">
      <c r="B220" s="606">
        <v>3705</v>
      </c>
      <c r="C220" s="121" t="s">
        <v>147</v>
      </c>
      <c r="D220" s="131"/>
      <c r="E220" s="55"/>
      <c r="F220" s="602"/>
      <c r="G220" s="121" t="s">
        <v>147</v>
      </c>
      <c r="H220" s="603"/>
      <c r="I220" s="55"/>
      <c r="J220" s="602"/>
      <c r="K220" s="121" t="s">
        <v>147</v>
      </c>
      <c r="L220" s="603"/>
      <c r="M220" s="55"/>
      <c r="N220" s="602"/>
      <c r="O220" s="121" t="s">
        <v>147</v>
      </c>
      <c r="P220" s="603"/>
      <c r="Q220" s="55"/>
      <c r="R220" s="602"/>
      <c r="S220" s="121" t="s">
        <v>537</v>
      </c>
      <c r="T220" s="603"/>
      <c r="U220" s="55"/>
      <c r="V220" s="602"/>
      <c r="W220" s="14"/>
      <c r="X220" s="603"/>
      <c r="Y220" s="55"/>
      <c r="Z220" s="602"/>
      <c r="AA220" s="14"/>
      <c r="AB220" s="603"/>
      <c r="AC220" s="55"/>
      <c r="AD220" s="55"/>
      <c r="AE220" s="604"/>
      <c r="AF220" s="55"/>
      <c r="AG220" s="55"/>
      <c r="AH220" s="55"/>
      <c r="AI220" s="605"/>
    </row>
    <row r="221" spans="1:35" ht="21" customHeight="1">
      <c r="B221" s="606">
        <v>3702</v>
      </c>
      <c r="C221" s="563" t="s">
        <v>683</v>
      </c>
      <c r="D221" s="131"/>
      <c r="E221" s="55"/>
      <c r="F221" s="602"/>
      <c r="G221" s="563" t="s">
        <v>683</v>
      </c>
      <c r="H221" s="131"/>
      <c r="I221" s="55"/>
      <c r="J221" s="602"/>
      <c r="K221" s="563" t="s">
        <v>683</v>
      </c>
      <c r="L221" s="131"/>
      <c r="M221" s="55"/>
      <c r="N221" s="602"/>
      <c r="O221" s="563" t="s">
        <v>683</v>
      </c>
      <c r="P221" s="131"/>
      <c r="Q221" s="55"/>
      <c r="R221" s="602"/>
      <c r="S221" s="563" t="s">
        <v>270</v>
      </c>
      <c r="T221" s="131"/>
      <c r="U221" s="55"/>
      <c r="V221" s="602"/>
      <c r="W221" s="14"/>
      <c r="X221" s="603"/>
      <c r="Y221" s="55"/>
      <c r="Z221" s="602"/>
      <c r="AA221" s="14"/>
      <c r="AB221" s="603"/>
      <c r="AC221" s="55"/>
      <c r="AD221" s="55"/>
      <c r="AE221" s="604"/>
      <c r="AF221" s="55"/>
      <c r="AG221" s="55"/>
      <c r="AH221" s="55"/>
      <c r="AI221" s="605"/>
    </row>
    <row r="222" spans="1:35" ht="21" customHeight="1">
      <c r="B222" s="606"/>
      <c r="C222" s="563"/>
      <c r="D222" s="131"/>
      <c r="E222" s="55"/>
      <c r="F222" s="602"/>
      <c r="G222" s="603"/>
      <c r="H222" s="603"/>
      <c r="I222" s="55"/>
      <c r="J222" s="602"/>
      <c r="K222" s="603"/>
      <c r="L222" s="603"/>
      <c r="M222" s="55"/>
      <c r="N222" s="602"/>
      <c r="O222" s="603"/>
      <c r="P222" s="603"/>
      <c r="Q222" s="55"/>
      <c r="R222" s="602"/>
      <c r="S222" s="603"/>
      <c r="T222" s="603"/>
      <c r="U222" s="55"/>
      <c r="V222" s="602"/>
      <c r="W222" s="14"/>
      <c r="X222" s="603"/>
      <c r="Y222" s="55"/>
      <c r="Z222" s="602"/>
      <c r="AA222" s="14"/>
      <c r="AB222" s="603"/>
      <c r="AC222" s="55"/>
      <c r="AD222" s="55"/>
      <c r="AE222" s="604"/>
      <c r="AF222" s="55"/>
      <c r="AG222" s="55"/>
      <c r="AH222" s="55"/>
      <c r="AI222" s="605"/>
    </row>
    <row r="223" spans="1:35" ht="21" customHeight="1">
      <c r="B223" s="606" t="s">
        <v>324</v>
      </c>
      <c r="C223" s="563" t="s">
        <v>684</v>
      </c>
      <c r="D223" s="131"/>
      <c r="E223" s="55"/>
      <c r="F223" s="602"/>
      <c r="G223" s="563" t="s">
        <v>684</v>
      </c>
      <c r="H223" s="131"/>
      <c r="I223" s="55"/>
      <c r="J223" s="602"/>
      <c r="K223" s="563" t="s">
        <v>684</v>
      </c>
      <c r="L223" s="131"/>
      <c r="M223" s="55"/>
      <c r="N223" s="602"/>
      <c r="O223" s="563" t="s">
        <v>684</v>
      </c>
      <c r="P223" s="131"/>
      <c r="Q223" s="55"/>
      <c r="R223" s="602"/>
      <c r="S223" s="603" t="s">
        <v>685</v>
      </c>
      <c r="T223" s="603"/>
      <c r="U223" s="55"/>
      <c r="V223" s="602"/>
      <c r="W223" s="14"/>
      <c r="X223" s="603"/>
      <c r="Y223" s="55"/>
      <c r="Z223" s="602"/>
      <c r="AA223" s="14"/>
      <c r="AB223" s="603"/>
      <c r="AC223" s="55"/>
      <c r="AD223" s="55"/>
      <c r="AE223" s="604"/>
      <c r="AF223" s="55"/>
      <c r="AG223" s="55"/>
      <c r="AH223" s="55"/>
      <c r="AI223" s="605"/>
    </row>
    <row r="224" spans="1:35" ht="21" customHeight="1">
      <c r="B224" s="606" t="s">
        <v>325</v>
      </c>
      <c r="C224" s="563" t="s">
        <v>686</v>
      </c>
      <c r="D224" s="131"/>
      <c r="E224" s="55"/>
      <c r="F224" s="602"/>
      <c r="G224" s="563" t="s">
        <v>686</v>
      </c>
      <c r="H224" s="131"/>
      <c r="I224" s="55"/>
      <c r="J224" s="602"/>
      <c r="K224" s="563" t="s">
        <v>686</v>
      </c>
      <c r="L224" s="131"/>
      <c r="M224" s="55"/>
      <c r="N224" s="602"/>
      <c r="O224" s="563" t="s">
        <v>686</v>
      </c>
      <c r="P224" s="131"/>
      <c r="Q224" s="55"/>
      <c r="R224" s="602"/>
      <c r="S224" s="603" t="s">
        <v>687</v>
      </c>
      <c r="T224" s="603"/>
      <c r="U224" s="55"/>
      <c r="V224" s="602"/>
      <c r="W224" s="14"/>
      <c r="X224" s="603"/>
      <c r="Y224" s="55"/>
      <c r="Z224" s="602"/>
      <c r="AA224" s="14"/>
      <c r="AB224" s="603"/>
      <c r="AC224" s="55"/>
      <c r="AD224" s="55"/>
      <c r="AE224" s="604"/>
      <c r="AF224" s="55"/>
      <c r="AG224" s="55"/>
      <c r="AH224" s="55"/>
      <c r="AI224" s="605"/>
    </row>
    <row r="225" spans="1:35" ht="21" customHeight="1" thickBot="1">
      <c r="B225" s="611" t="s">
        <v>326</v>
      </c>
      <c r="C225" s="570" t="s">
        <v>688</v>
      </c>
      <c r="D225" s="48"/>
      <c r="E225" s="616"/>
      <c r="F225" s="240"/>
      <c r="G225" s="570" t="s">
        <v>688</v>
      </c>
      <c r="H225" s="48"/>
      <c r="I225" s="616"/>
      <c r="J225" s="240"/>
      <c r="K225" s="570" t="s">
        <v>688</v>
      </c>
      <c r="L225" s="48"/>
      <c r="M225" s="616"/>
      <c r="N225" s="240"/>
      <c r="O225" s="570" t="s">
        <v>688</v>
      </c>
      <c r="P225" s="48"/>
      <c r="Q225" s="616"/>
      <c r="R225" s="240"/>
      <c r="S225" s="149" t="s">
        <v>689</v>
      </c>
      <c r="T225" s="149"/>
      <c r="U225" s="616"/>
      <c r="V225" s="240"/>
      <c r="W225" s="617"/>
      <c r="X225" s="149"/>
      <c r="Y225" s="616"/>
      <c r="Z225" s="240"/>
      <c r="AA225" s="617"/>
      <c r="AB225" s="149"/>
      <c r="AC225" s="616"/>
      <c r="AD225" s="616"/>
      <c r="AE225" s="618"/>
      <c r="AF225" s="616"/>
      <c r="AG225" s="616"/>
      <c r="AH225" s="616"/>
      <c r="AI225" s="619"/>
    </row>
    <row r="226" spans="1:35" ht="21" customHeight="1">
      <c r="B226" s="274"/>
      <c r="C226" s="312"/>
      <c r="D226" s="72"/>
      <c r="G226" s="312"/>
      <c r="H226" s="72"/>
      <c r="K226" s="312"/>
      <c r="L226" s="72"/>
      <c r="O226" s="312"/>
      <c r="P226" s="72"/>
      <c r="S226" s="312"/>
      <c r="T226" s="312"/>
      <c r="X226" s="312"/>
      <c r="AB226" s="312"/>
      <c r="AE226" s="312"/>
    </row>
    <row r="227" spans="1:35" ht="21" customHeight="1" thickBot="1">
      <c r="A227" s="620" t="s">
        <v>690</v>
      </c>
    </row>
    <row r="228" spans="1:35" ht="21" customHeight="1" thickBot="1">
      <c r="A228" s="861"/>
      <c r="B228" s="862" t="s">
        <v>476</v>
      </c>
      <c r="C228" s="863">
        <v>1</v>
      </c>
      <c r="D228" s="863">
        <v>2</v>
      </c>
      <c r="E228" s="863">
        <v>3</v>
      </c>
      <c r="F228" s="863">
        <v>4</v>
      </c>
      <c r="G228" s="863">
        <v>5</v>
      </c>
      <c r="H228" s="880">
        <v>6</v>
      </c>
      <c r="I228" s="880">
        <v>7</v>
      </c>
      <c r="J228" s="863">
        <v>8</v>
      </c>
      <c r="K228" s="863">
        <v>9</v>
      </c>
      <c r="L228" s="863">
        <v>10</v>
      </c>
      <c r="M228" s="863">
        <v>11</v>
      </c>
      <c r="N228" s="863">
        <v>12</v>
      </c>
      <c r="O228" s="880">
        <v>13</v>
      </c>
      <c r="P228" s="880">
        <v>14</v>
      </c>
      <c r="Q228" s="863">
        <v>15</v>
      </c>
      <c r="R228" s="863">
        <v>16</v>
      </c>
      <c r="S228" s="863">
        <v>17</v>
      </c>
      <c r="T228" s="863">
        <v>18</v>
      </c>
      <c r="U228" s="863">
        <v>19</v>
      </c>
      <c r="V228" s="880">
        <v>20</v>
      </c>
      <c r="W228" s="880">
        <v>21</v>
      </c>
      <c r="X228" s="863">
        <v>22</v>
      </c>
      <c r="Y228" s="863">
        <v>23</v>
      </c>
      <c r="Z228" s="863">
        <v>24</v>
      </c>
      <c r="AA228" s="863">
        <v>25</v>
      </c>
      <c r="AB228" s="863">
        <v>26</v>
      </c>
      <c r="AC228" s="880">
        <v>27</v>
      </c>
      <c r="AD228" s="880">
        <v>28</v>
      </c>
      <c r="AE228" s="863">
        <v>29</v>
      </c>
      <c r="AF228" s="863">
        <v>30</v>
      </c>
      <c r="AG228" s="863"/>
      <c r="AH228" s="864" t="s">
        <v>477</v>
      </c>
      <c r="AI228" s="865" t="s">
        <v>478</v>
      </c>
    </row>
    <row r="229" spans="1:35" ht="21" customHeight="1">
      <c r="A229" s="438">
        <v>3702</v>
      </c>
      <c r="B229" s="54" t="s">
        <v>691</v>
      </c>
      <c r="C229" s="764">
        <v>1</v>
      </c>
      <c r="D229" s="764">
        <v>1</v>
      </c>
      <c r="E229" s="871">
        <v>1</v>
      </c>
      <c r="F229" s="871">
        <v>1</v>
      </c>
      <c r="G229" s="871">
        <v>1</v>
      </c>
      <c r="H229" s="871"/>
      <c r="I229" s="871"/>
      <c r="J229" s="871">
        <v>2</v>
      </c>
      <c r="K229" s="871">
        <v>2</v>
      </c>
      <c r="L229" s="871">
        <v>2</v>
      </c>
      <c r="M229" s="1014">
        <v>2</v>
      </c>
      <c r="N229" s="1014">
        <v>2</v>
      </c>
      <c r="O229" s="871"/>
      <c r="P229" s="871"/>
      <c r="Q229" s="764">
        <v>1</v>
      </c>
      <c r="R229" s="764">
        <v>1</v>
      </c>
      <c r="S229" s="871">
        <v>1</v>
      </c>
      <c r="T229" s="871">
        <v>1</v>
      </c>
      <c r="U229" s="871">
        <v>1</v>
      </c>
      <c r="V229" s="871"/>
      <c r="W229" s="871"/>
      <c r="X229" s="871">
        <v>2</v>
      </c>
      <c r="Y229" s="871">
        <v>2</v>
      </c>
      <c r="Z229" s="871">
        <v>2</v>
      </c>
      <c r="AA229" s="871">
        <v>2</v>
      </c>
      <c r="AB229" s="871">
        <v>2</v>
      </c>
      <c r="AC229" s="871"/>
      <c r="AD229" s="871"/>
      <c r="AE229" s="871">
        <v>1</v>
      </c>
      <c r="AF229" s="871">
        <v>1</v>
      </c>
      <c r="AG229" s="871"/>
      <c r="AH229" s="510">
        <v>67</v>
      </c>
      <c r="AI229" s="511">
        <v>32</v>
      </c>
    </row>
    <row r="230" spans="1:35" ht="21" customHeight="1">
      <c r="A230" s="442">
        <v>3701</v>
      </c>
      <c r="B230" s="153" t="s">
        <v>692</v>
      </c>
      <c r="C230" s="768" t="s">
        <v>491</v>
      </c>
      <c r="D230" s="768" t="s">
        <v>491</v>
      </c>
      <c r="E230" s="762" t="s">
        <v>491</v>
      </c>
      <c r="F230" s="762" t="s">
        <v>491</v>
      </c>
      <c r="G230" s="762" t="s">
        <v>491</v>
      </c>
      <c r="H230" s="762"/>
      <c r="I230" s="762"/>
      <c r="J230" s="762" t="s">
        <v>491</v>
      </c>
      <c r="K230" s="762" t="s">
        <v>491</v>
      </c>
      <c r="L230" s="762" t="s">
        <v>491</v>
      </c>
      <c r="M230" s="762" t="s">
        <v>491</v>
      </c>
      <c r="N230" s="762" t="s">
        <v>491</v>
      </c>
      <c r="O230" s="762"/>
      <c r="P230" s="762"/>
      <c r="Q230" s="768" t="s">
        <v>491</v>
      </c>
      <c r="R230" s="768" t="s">
        <v>491</v>
      </c>
      <c r="S230" s="762" t="s">
        <v>491</v>
      </c>
      <c r="T230" s="762" t="s">
        <v>491</v>
      </c>
      <c r="U230" s="1059" t="s">
        <v>491</v>
      </c>
      <c r="V230" s="762"/>
      <c r="W230" s="762"/>
      <c r="X230" s="762" t="s">
        <v>491</v>
      </c>
      <c r="Y230" s="762" t="s">
        <v>491</v>
      </c>
      <c r="Z230" s="762" t="s">
        <v>491</v>
      </c>
      <c r="AA230" s="762" t="s">
        <v>491</v>
      </c>
      <c r="AB230" s="762" t="s">
        <v>491</v>
      </c>
      <c r="AC230" s="762"/>
      <c r="AD230" s="762"/>
      <c r="AE230" s="762" t="s">
        <v>491</v>
      </c>
      <c r="AF230" s="762" t="s">
        <v>491</v>
      </c>
      <c r="AG230" s="762"/>
      <c r="AH230" s="924">
        <v>74</v>
      </c>
      <c r="AI230" s="925">
        <v>37</v>
      </c>
    </row>
    <row r="231" spans="1:35" ht="21" customHeight="1">
      <c r="A231" s="442">
        <v>3702</v>
      </c>
      <c r="B231" s="153" t="s">
        <v>693</v>
      </c>
      <c r="C231" s="768">
        <v>2</v>
      </c>
      <c r="D231" s="768">
        <v>2</v>
      </c>
      <c r="E231" s="762">
        <v>2</v>
      </c>
      <c r="F231" s="762">
        <v>2</v>
      </c>
      <c r="G231" s="762">
        <v>2</v>
      </c>
      <c r="H231" s="762"/>
      <c r="I231" s="762"/>
      <c r="J231" s="762">
        <v>1</v>
      </c>
      <c r="K231" s="762">
        <v>1</v>
      </c>
      <c r="L231" s="762">
        <v>1</v>
      </c>
      <c r="M231" s="762">
        <v>1</v>
      </c>
      <c r="N231" s="762">
        <v>1</v>
      </c>
      <c r="O231" s="762"/>
      <c r="P231" s="762"/>
      <c r="Q231" s="768">
        <v>2</v>
      </c>
      <c r="R231" s="768">
        <v>2</v>
      </c>
      <c r="S231" s="762">
        <v>2</v>
      </c>
      <c r="T231" s="762">
        <v>2</v>
      </c>
      <c r="U231" s="762">
        <v>2</v>
      </c>
      <c r="V231" s="762"/>
      <c r="W231" s="762"/>
      <c r="X231" s="762">
        <v>1</v>
      </c>
      <c r="Y231" s="762">
        <v>1</v>
      </c>
      <c r="Z231" s="762">
        <v>1</v>
      </c>
      <c r="AA231" s="762">
        <v>1</v>
      </c>
      <c r="AB231" s="762">
        <v>1</v>
      </c>
      <c r="AC231" s="762"/>
      <c r="AD231" s="762"/>
      <c r="AE231" s="762">
        <v>2</v>
      </c>
      <c r="AF231" s="762">
        <v>2</v>
      </c>
      <c r="AG231" s="762"/>
      <c r="AH231" s="924">
        <v>140.5</v>
      </c>
      <c r="AI231" s="925">
        <v>7.5</v>
      </c>
    </row>
    <row r="232" spans="1:35" ht="21" customHeight="1">
      <c r="A232" s="621">
        <v>3706</v>
      </c>
      <c r="B232" s="854" t="s">
        <v>694</v>
      </c>
      <c r="C232" s="768"/>
      <c r="D232" s="768"/>
      <c r="E232" s="768"/>
      <c r="F232" s="768"/>
      <c r="G232" s="768"/>
      <c r="H232" s="768"/>
      <c r="I232" s="768"/>
      <c r="J232" s="768"/>
      <c r="K232" s="768"/>
      <c r="L232" s="768"/>
      <c r="M232" s="768"/>
      <c r="N232" s="768"/>
      <c r="O232" s="768"/>
      <c r="P232" s="768"/>
      <c r="Q232" s="768"/>
      <c r="R232" s="768"/>
      <c r="S232" s="768"/>
      <c r="T232" s="768"/>
      <c r="U232" s="768"/>
      <c r="V232" s="768"/>
      <c r="W232" s="768"/>
      <c r="X232" s="1038"/>
      <c r="Y232" s="1038"/>
      <c r="Z232" s="1038" t="s">
        <v>765</v>
      </c>
      <c r="AA232" s="987"/>
      <c r="AB232" s="987"/>
      <c r="AC232" s="768"/>
      <c r="AD232" s="768"/>
      <c r="AE232" s="768"/>
      <c r="AF232" s="768"/>
      <c r="AG232" s="768"/>
      <c r="AH232" s="924">
        <v>111</v>
      </c>
      <c r="AI232" s="925">
        <v>37</v>
      </c>
    </row>
    <row r="233" spans="1:35" ht="21" customHeight="1">
      <c r="A233" s="622"/>
      <c r="B233" s="623" t="s">
        <v>695</v>
      </c>
      <c r="C233" s="940"/>
      <c r="D233" s="940"/>
      <c r="E233" s="940"/>
      <c r="F233" s="940"/>
      <c r="G233" s="940"/>
      <c r="H233" s="940"/>
      <c r="I233" s="940"/>
      <c r="J233" s="940"/>
      <c r="K233" s="940"/>
      <c r="L233" s="940"/>
      <c r="M233" s="940"/>
      <c r="N233" s="940"/>
      <c r="O233" s="940"/>
      <c r="P233" s="940"/>
      <c r="Q233" s="940"/>
      <c r="R233" s="940"/>
      <c r="S233" s="940"/>
      <c r="T233" s="940"/>
      <c r="U233" s="940"/>
      <c r="V233" s="940"/>
      <c r="W233" s="940"/>
      <c r="X233" s="940"/>
      <c r="Y233" s="940"/>
      <c r="Z233" s="940"/>
      <c r="AA233" s="940"/>
      <c r="AB233" s="940"/>
      <c r="AC233" s="940"/>
      <c r="AD233" s="940"/>
      <c r="AE233" s="940"/>
      <c r="AF233" s="940"/>
      <c r="AG233" s="922"/>
      <c r="AH233" s="624"/>
      <c r="AI233" s="625"/>
    </row>
    <row r="234" spans="1:35" ht="21" customHeight="1">
      <c r="A234" s="442">
        <v>3702</v>
      </c>
      <c r="B234" s="793" t="s">
        <v>696</v>
      </c>
      <c r="C234" s="762" t="s">
        <v>697</v>
      </c>
      <c r="D234" s="762" t="s">
        <v>697</v>
      </c>
      <c r="E234" s="762" t="s">
        <v>697</v>
      </c>
      <c r="F234" s="762" t="s">
        <v>697</v>
      </c>
      <c r="G234" s="762" t="s">
        <v>697</v>
      </c>
      <c r="H234" s="784"/>
      <c r="I234" s="768"/>
      <c r="J234" s="762" t="s">
        <v>697</v>
      </c>
      <c r="K234" s="762" t="s">
        <v>697</v>
      </c>
      <c r="L234" s="762" t="s">
        <v>697</v>
      </c>
      <c r="M234" s="1015" t="s">
        <v>748</v>
      </c>
      <c r="N234" s="762" t="s">
        <v>697</v>
      </c>
      <c r="O234" s="768"/>
      <c r="P234" s="768"/>
      <c r="Q234" s="762" t="s">
        <v>697</v>
      </c>
      <c r="R234" s="762" t="s">
        <v>697</v>
      </c>
      <c r="S234" s="762" t="s">
        <v>697</v>
      </c>
      <c r="T234" s="762" t="s">
        <v>697</v>
      </c>
      <c r="U234" s="762" t="s">
        <v>697</v>
      </c>
      <c r="V234" s="768"/>
      <c r="W234" s="768"/>
      <c r="X234" s="762" t="s">
        <v>697</v>
      </c>
      <c r="Y234" s="762" t="s">
        <v>697</v>
      </c>
      <c r="Z234" s="762" t="s">
        <v>697</v>
      </c>
      <c r="AA234" s="762" t="s">
        <v>697</v>
      </c>
      <c r="AB234" s="762" t="s">
        <v>697</v>
      </c>
      <c r="AC234" s="762"/>
      <c r="AD234" s="762"/>
      <c r="AE234" s="762" t="s">
        <v>697</v>
      </c>
      <c r="AF234" s="762" t="s">
        <v>697</v>
      </c>
      <c r="AG234" s="762"/>
      <c r="AH234" s="924">
        <v>74</v>
      </c>
      <c r="AI234" s="925">
        <v>37</v>
      </c>
    </row>
    <row r="235" spans="1:35" ht="21" customHeight="1">
      <c r="A235" s="442"/>
      <c r="B235" s="153" t="s">
        <v>698</v>
      </c>
      <c r="C235" s="762" t="s">
        <v>699</v>
      </c>
      <c r="D235" s="762" t="s">
        <v>699</v>
      </c>
      <c r="E235" s="762" t="s">
        <v>699</v>
      </c>
      <c r="F235" s="762" t="s">
        <v>699</v>
      </c>
      <c r="G235" s="762" t="s">
        <v>699</v>
      </c>
      <c r="H235" s="784"/>
      <c r="I235" s="768"/>
      <c r="J235" s="762" t="s">
        <v>699</v>
      </c>
      <c r="K235" s="762" t="s">
        <v>699</v>
      </c>
      <c r="L235" s="762" t="s">
        <v>699</v>
      </c>
      <c r="M235" s="762" t="s">
        <v>699</v>
      </c>
      <c r="N235" s="762" t="s">
        <v>699</v>
      </c>
      <c r="O235" s="768"/>
      <c r="P235" s="768"/>
      <c r="Q235" s="762" t="s">
        <v>699</v>
      </c>
      <c r="R235" s="762" t="s">
        <v>699</v>
      </c>
      <c r="S235" s="762" t="s">
        <v>699</v>
      </c>
      <c r="T235" s="762" t="s">
        <v>699</v>
      </c>
      <c r="U235" s="762" t="s">
        <v>699</v>
      </c>
      <c r="V235" s="768"/>
      <c r="W235" s="768"/>
      <c r="X235" s="762" t="s">
        <v>699</v>
      </c>
      <c r="Y235" s="762" t="s">
        <v>699</v>
      </c>
      <c r="Z235" s="762" t="s">
        <v>699</v>
      </c>
      <c r="AA235" s="762" t="s">
        <v>699</v>
      </c>
      <c r="AB235" s="762" t="s">
        <v>699</v>
      </c>
      <c r="AC235" s="762"/>
      <c r="AD235" s="762"/>
      <c r="AE235" s="1015" t="s">
        <v>699</v>
      </c>
      <c r="AF235" s="1015" t="s">
        <v>699</v>
      </c>
      <c r="AG235" s="762"/>
      <c r="AH235" s="924">
        <v>83.5</v>
      </c>
      <c r="AI235" s="925">
        <v>37</v>
      </c>
    </row>
    <row r="236" spans="1:35" ht="21" customHeight="1" thickBot="1">
      <c r="A236" s="906"/>
      <c r="B236" s="895" t="s">
        <v>700</v>
      </c>
      <c r="C236" s="875" t="s">
        <v>701</v>
      </c>
      <c r="D236" s="875" t="s">
        <v>701</v>
      </c>
      <c r="E236" s="875" t="s">
        <v>701</v>
      </c>
      <c r="F236" s="875" t="s">
        <v>701</v>
      </c>
      <c r="G236" s="875" t="s">
        <v>701</v>
      </c>
      <c r="H236" s="907"/>
      <c r="I236" s="867"/>
      <c r="J236" s="875" t="s">
        <v>701</v>
      </c>
      <c r="K236" s="875" t="s">
        <v>701</v>
      </c>
      <c r="L236" s="875" t="s">
        <v>701</v>
      </c>
      <c r="M236" s="875" t="s">
        <v>701</v>
      </c>
      <c r="N236" s="875" t="s">
        <v>701</v>
      </c>
      <c r="O236" s="867"/>
      <c r="P236" s="867"/>
      <c r="Q236" s="875" t="s">
        <v>701</v>
      </c>
      <c r="R236" s="875" t="s">
        <v>701</v>
      </c>
      <c r="S236" s="875" t="s">
        <v>701</v>
      </c>
      <c r="T236" s="875" t="s">
        <v>701</v>
      </c>
      <c r="U236" s="875" t="s">
        <v>701</v>
      </c>
      <c r="V236" s="867"/>
      <c r="W236" s="867"/>
      <c r="X236" s="875" t="s">
        <v>701</v>
      </c>
      <c r="Y236" s="875" t="s">
        <v>701</v>
      </c>
      <c r="Z236" s="875" t="s">
        <v>701</v>
      </c>
      <c r="AA236" s="875" t="s">
        <v>701</v>
      </c>
      <c r="AB236" s="875" t="s">
        <v>701</v>
      </c>
      <c r="AC236" s="875"/>
      <c r="AD236" s="875"/>
      <c r="AE236" s="875" t="s">
        <v>701</v>
      </c>
      <c r="AF236" s="875" t="s">
        <v>701</v>
      </c>
      <c r="AG236" s="875"/>
      <c r="AH236" s="868">
        <v>96.5</v>
      </c>
      <c r="AI236" s="869">
        <v>37</v>
      </c>
    </row>
    <row r="237" spans="1:35" ht="21" customHeight="1"/>
    <row r="238" spans="1:35" ht="21" customHeight="1"/>
    <row r="239" spans="1:35" ht="21" customHeight="1" thickBot="1">
      <c r="A239" s="1" t="s">
        <v>702</v>
      </c>
    </row>
    <row r="240" spans="1:35" ht="21" customHeight="1">
      <c r="B240" s="201" t="s">
        <v>664</v>
      </c>
      <c r="C240" s="7"/>
      <c r="D240" s="522" t="s">
        <v>2</v>
      </c>
      <c r="E240" s="51"/>
      <c r="F240" s="548"/>
      <c r="G240" s="7"/>
      <c r="H240" s="522" t="s">
        <v>3</v>
      </c>
      <c r="I240" s="51"/>
      <c r="J240" s="548"/>
      <c r="K240" s="7"/>
      <c r="L240" s="522" t="s">
        <v>4</v>
      </c>
      <c r="M240" s="51"/>
      <c r="N240" s="548"/>
      <c r="O240" s="7"/>
      <c r="P240" s="522" t="s">
        <v>5</v>
      </c>
      <c r="Q240" s="51"/>
      <c r="R240" s="548"/>
      <c r="S240" s="7"/>
      <c r="T240" s="522" t="s">
        <v>6</v>
      </c>
      <c r="U240" s="51"/>
      <c r="V240" s="548"/>
      <c r="W240" s="7"/>
      <c r="X240" s="522" t="s">
        <v>7</v>
      </c>
      <c r="Y240" s="51"/>
      <c r="Z240" s="548"/>
      <c r="AA240" s="7"/>
      <c r="AB240" s="522" t="s">
        <v>8</v>
      </c>
      <c r="AC240" s="51"/>
      <c r="AD240" s="51"/>
      <c r="AE240" s="425" t="s">
        <v>10</v>
      </c>
      <c r="AF240" s="51"/>
      <c r="AG240" s="51"/>
      <c r="AH240" s="51"/>
      <c r="AI240" s="523"/>
    </row>
    <row r="241" spans="1:35" ht="21" customHeight="1">
      <c r="B241" s="9">
        <v>8500</v>
      </c>
      <c r="C241" s="121" t="s">
        <v>33</v>
      </c>
      <c r="D241" s="603"/>
      <c r="E241" s="55"/>
      <c r="F241" s="602"/>
      <c r="G241" s="121" t="s">
        <v>33</v>
      </c>
      <c r="H241" s="603"/>
      <c r="I241" s="55"/>
      <c r="J241" s="602"/>
      <c r="K241" s="121" t="s">
        <v>33</v>
      </c>
      <c r="L241" s="603"/>
      <c r="M241" s="55"/>
      <c r="N241" s="602"/>
      <c r="O241" s="121" t="s">
        <v>33</v>
      </c>
      <c r="P241" s="603"/>
      <c r="Q241" s="55"/>
      <c r="R241" s="602"/>
      <c r="S241" s="121" t="s">
        <v>34</v>
      </c>
      <c r="T241" s="603"/>
      <c r="U241" s="55"/>
      <c r="V241" s="602"/>
      <c r="W241" s="14"/>
      <c r="X241" s="603"/>
      <c r="Y241" s="55"/>
      <c r="Z241" s="602"/>
      <c r="AA241" s="14"/>
      <c r="AB241" s="603"/>
      <c r="AC241" s="55"/>
      <c r="AD241" s="55"/>
      <c r="AE241" s="604"/>
      <c r="AF241" s="55"/>
      <c r="AG241" s="55"/>
      <c r="AH241" s="55"/>
      <c r="AI241" s="605"/>
    </row>
    <row r="242" spans="1:35" ht="21" customHeight="1" thickBot="1">
      <c r="B242" s="163" t="s">
        <v>703</v>
      </c>
      <c r="C242" s="626" t="s">
        <v>704</v>
      </c>
      <c r="D242" s="627"/>
      <c r="E242" s="616"/>
      <c r="F242" s="240"/>
      <c r="G242" s="626" t="s">
        <v>704</v>
      </c>
      <c r="H242" s="149"/>
      <c r="I242" s="616"/>
      <c r="J242" s="240"/>
      <c r="K242" s="626" t="s">
        <v>704</v>
      </c>
      <c r="L242" s="149"/>
      <c r="M242" s="616"/>
      <c r="N242" s="240"/>
      <c r="O242" s="626" t="s">
        <v>705</v>
      </c>
      <c r="P242" s="149"/>
      <c r="Q242" s="616"/>
      <c r="R242" s="240"/>
      <c r="S242" s="626" t="s">
        <v>16</v>
      </c>
      <c r="T242" s="149"/>
      <c r="U242" s="616"/>
      <c r="V242" s="240"/>
      <c r="W242" s="617"/>
      <c r="X242" s="149"/>
      <c r="Y242" s="616"/>
      <c r="Z242" s="240"/>
      <c r="AA242" s="617"/>
      <c r="AB242" s="149"/>
      <c r="AC242" s="616"/>
      <c r="AD242" s="616"/>
      <c r="AE242" s="618"/>
      <c r="AF242" s="616"/>
      <c r="AG242" s="616"/>
      <c r="AH242" s="616"/>
      <c r="AI242" s="619"/>
    </row>
    <row r="243" spans="1:35" ht="21" customHeight="1" thickBot="1">
      <c r="A243" s="60" t="s">
        <v>706</v>
      </c>
    </row>
    <row r="244" spans="1:35" ht="21" customHeight="1" thickBot="1">
      <c r="A244" s="911"/>
      <c r="B244" s="862" t="s">
        <v>476</v>
      </c>
      <c r="C244" s="863">
        <v>1</v>
      </c>
      <c r="D244" s="863">
        <v>2</v>
      </c>
      <c r="E244" s="863">
        <v>3</v>
      </c>
      <c r="F244" s="863">
        <v>4</v>
      </c>
      <c r="G244" s="863">
        <v>5</v>
      </c>
      <c r="H244" s="880">
        <v>6</v>
      </c>
      <c r="I244" s="880">
        <v>7</v>
      </c>
      <c r="J244" s="863">
        <v>8</v>
      </c>
      <c r="K244" s="863">
        <v>9</v>
      </c>
      <c r="L244" s="863">
        <v>10</v>
      </c>
      <c r="M244" s="863">
        <v>11</v>
      </c>
      <c r="N244" s="863">
        <v>12</v>
      </c>
      <c r="O244" s="880">
        <v>13</v>
      </c>
      <c r="P244" s="880">
        <v>14</v>
      </c>
      <c r="Q244" s="863">
        <v>15</v>
      </c>
      <c r="R244" s="863">
        <v>16</v>
      </c>
      <c r="S244" s="863">
        <v>17</v>
      </c>
      <c r="T244" s="863">
        <v>18</v>
      </c>
      <c r="U244" s="863">
        <v>19</v>
      </c>
      <c r="V244" s="880">
        <v>20</v>
      </c>
      <c r="W244" s="880">
        <v>21</v>
      </c>
      <c r="X244" s="863">
        <v>22</v>
      </c>
      <c r="Y244" s="863">
        <v>23</v>
      </c>
      <c r="Z244" s="863">
        <v>24</v>
      </c>
      <c r="AA244" s="863">
        <v>25</v>
      </c>
      <c r="AB244" s="863">
        <v>26</v>
      </c>
      <c r="AC244" s="880">
        <v>27</v>
      </c>
      <c r="AD244" s="880">
        <v>28</v>
      </c>
      <c r="AE244" s="863">
        <v>29</v>
      </c>
      <c r="AF244" s="863">
        <v>30</v>
      </c>
      <c r="AG244" s="943"/>
      <c r="AH244" s="864" t="s">
        <v>477</v>
      </c>
      <c r="AI244" s="865" t="s">
        <v>478</v>
      </c>
    </row>
    <row r="245" spans="1:35" ht="21" customHeight="1">
      <c r="A245" s="14">
        <v>8500</v>
      </c>
      <c r="B245" s="908" t="s">
        <v>707</v>
      </c>
      <c r="C245" s="970" t="s">
        <v>491</v>
      </c>
      <c r="D245" s="970" t="s">
        <v>491</v>
      </c>
      <c r="E245" s="970" t="s">
        <v>491</v>
      </c>
      <c r="F245" s="970" t="s">
        <v>491</v>
      </c>
      <c r="G245" s="970" t="s">
        <v>491</v>
      </c>
      <c r="H245" s="970"/>
      <c r="I245" s="970"/>
      <c r="J245" s="970" t="s">
        <v>491</v>
      </c>
      <c r="K245" s="970" t="s">
        <v>491</v>
      </c>
      <c r="L245" s="970" t="s">
        <v>491</v>
      </c>
      <c r="M245" s="970" t="s">
        <v>491</v>
      </c>
      <c r="N245" s="970" t="s">
        <v>491</v>
      </c>
      <c r="O245" s="970"/>
      <c r="P245" s="970"/>
      <c r="Q245" s="1038" t="s">
        <v>714</v>
      </c>
      <c r="R245" s="768" t="s">
        <v>491</v>
      </c>
      <c r="S245" s="768" t="s">
        <v>491</v>
      </c>
      <c r="T245" s="768" t="s">
        <v>491</v>
      </c>
      <c r="U245" s="768" t="s">
        <v>491</v>
      </c>
      <c r="V245" s="768"/>
      <c r="W245" s="768"/>
      <c r="X245" s="768" t="s">
        <v>491</v>
      </c>
      <c r="Y245" s="768" t="s">
        <v>491</v>
      </c>
      <c r="Z245" s="768" t="s">
        <v>491</v>
      </c>
      <c r="AA245" s="768" t="s">
        <v>491</v>
      </c>
      <c r="AB245" s="768" t="s">
        <v>491</v>
      </c>
      <c r="AC245" s="768"/>
      <c r="AD245" s="768"/>
      <c r="AE245" s="768" t="s">
        <v>491</v>
      </c>
      <c r="AF245" s="768" t="s">
        <v>491</v>
      </c>
      <c r="AG245" s="768"/>
      <c r="AH245" s="909">
        <v>97.5</v>
      </c>
      <c r="AI245" s="910">
        <v>37</v>
      </c>
    </row>
    <row r="246" spans="1:35" ht="21" customHeight="1">
      <c r="A246" s="500" t="s">
        <v>708</v>
      </c>
      <c r="B246" s="153" t="s">
        <v>709</v>
      </c>
      <c r="C246" s="768" t="s">
        <v>491</v>
      </c>
      <c r="D246" s="768" t="s">
        <v>491</v>
      </c>
      <c r="E246" s="768" t="s">
        <v>491</v>
      </c>
      <c r="F246" s="768" t="s">
        <v>491</v>
      </c>
      <c r="G246" s="768" t="s">
        <v>481</v>
      </c>
      <c r="H246" s="768"/>
      <c r="I246" s="768"/>
      <c r="J246" s="768" t="s">
        <v>491</v>
      </c>
      <c r="K246" s="768" t="s">
        <v>491</v>
      </c>
      <c r="L246" s="768" t="s">
        <v>491</v>
      </c>
      <c r="M246" s="768" t="s">
        <v>491</v>
      </c>
      <c r="N246" s="768" t="s">
        <v>491</v>
      </c>
      <c r="O246" s="768"/>
      <c r="P246" s="768"/>
      <c r="Q246" s="768" t="s">
        <v>491</v>
      </c>
      <c r="R246" s="768" t="s">
        <v>491</v>
      </c>
      <c r="S246" s="768" t="s">
        <v>491</v>
      </c>
      <c r="T246" s="768" t="s">
        <v>491</v>
      </c>
      <c r="U246" s="768" t="s">
        <v>481</v>
      </c>
      <c r="V246" s="768"/>
      <c r="W246" s="768"/>
      <c r="X246" s="1038" t="s">
        <v>491</v>
      </c>
      <c r="Y246" s="1038" t="s">
        <v>493</v>
      </c>
      <c r="Z246" s="987" t="s">
        <v>491</v>
      </c>
      <c r="AA246" s="1144" t="s">
        <v>491</v>
      </c>
      <c r="AB246" s="768" t="s">
        <v>491</v>
      </c>
      <c r="AC246" s="768"/>
      <c r="AD246" s="768"/>
      <c r="AE246" s="768" t="s">
        <v>491</v>
      </c>
      <c r="AF246" s="768" t="s">
        <v>491</v>
      </c>
      <c r="AG246" s="768"/>
      <c r="AH246" s="628">
        <v>77</v>
      </c>
      <c r="AI246" s="629">
        <v>37</v>
      </c>
    </row>
    <row r="247" spans="1:35" ht="21.95" customHeight="1">
      <c r="A247" s="442"/>
      <c r="B247" s="153" t="s">
        <v>710</v>
      </c>
      <c r="C247" s="970" t="s">
        <v>491</v>
      </c>
      <c r="D247" s="970" t="s">
        <v>491</v>
      </c>
      <c r="E247" s="970" t="s">
        <v>491</v>
      </c>
      <c r="F247" s="970" t="s">
        <v>491</v>
      </c>
      <c r="G247" s="970" t="s">
        <v>491</v>
      </c>
      <c r="H247" s="970"/>
      <c r="I247" s="970"/>
      <c r="J247" s="970" t="s">
        <v>491</v>
      </c>
      <c r="K247" s="970" t="s">
        <v>491</v>
      </c>
      <c r="L247" s="970" t="s">
        <v>491</v>
      </c>
      <c r="M247" s="970" t="s">
        <v>491</v>
      </c>
      <c r="N247" s="970" t="s">
        <v>491</v>
      </c>
      <c r="O247" s="970"/>
      <c r="P247" s="970"/>
      <c r="Q247" s="768" t="s">
        <v>491</v>
      </c>
      <c r="R247" s="768" t="s">
        <v>491</v>
      </c>
      <c r="S247" s="768" t="s">
        <v>491</v>
      </c>
      <c r="T247" s="768" t="s">
        <v>491</v>
      </c>
      <c r="U247" s="768" t="s">
        <v>491</v>
      </c>
      <c r="V247" s="768"/>
      <c r="W247" s="768"/>
      <c r="X247" s="768" t="s">
        <v>491</v>
      </c>
      <c r="Y247" s="768" t="s">
        <v>491</v>
      </c>
      <c r="Z247" s="768" t="s">
        <v>491</v>
      </c>
      <c r="AA247" s="768" t="s">
        <v>491</v>
      </c>
      <c r="AB247" s="768" t="s">
        <v>491</v>
      </c>
      <c r="AC247" s="768"/>
      <c r="AD247" s="768"/>
      <c r="AE247" s="768" t="s">
        <v>491</v>
      </c>
      <c r="AF247" s="768" t="s">
        <v>491</v>
      </c>
      <c r="AG247" s="768"/>
      <c r="AH247" s="628">
        <v>111</v>
      </c>
      <c r="AI247" s="629">
        <v>37</v>
      </c>
    </row>
    <row r="248" spans="1:35" ht="21.95" customHeight="1">
      <c r="A248" s="516">
        <v>3701</v>
      </c>
      <c r="B248" s="134" t="s">
        <v>711</v>
      </c>
      <c r="C248" s="970" t="s">
        <v>491</v>
      </c>
      <c r="D248" s="970" t="s">
        <v>491</v>
      </c>
      <c r="E248" s="970" t="s">
        <v>491</v>
      </c>
      <c r="F248" s="970" t="s">
        <v>491</v>
      </c>
      <c r="G248" s="970" t="s">
        <v>491</v>
      </c>
      <c r="H248" s="970"/>
      <c r="I248" s="970"/>
      <c r="J248" s="970" t="s">
        <v>491</v>
      </c>
      <c r="K248" s="970" t="s">
        <v>491</v>
      </c>
      <c r="L248" s="970" t="s">
        <v>491</v>
      </c>
      <c r="M248" s="970" t="s">
        <v>491</v>
      </c>
      <c r="N248" s="970" t="s">
        <v>491</v>
      </c>
      <c r="O248" s="970"/>
      <c r="P248" s="970"/>
      <c r="Q248" s="768" t="s">
        <v>491</v>
      </c>
      <c r="R248" s="768" t="s">
        <v>491</v>
      </c>
      <c r="S248" s="768" t="s">
        <v>491</v>
      </c>
      <c r="T248" s="768" t="s">
        <v>491</v>
      </c>
      <c r="U248" s="768" t="s">
        <v>491</v>
      </c>
      <c r="V248" s="768"/>
      <c r="W248" s="768"/>
      <c r="X248" s="1038" t="s">
        <v>491</v>
      </c>
      <c r="Y248" s="1038" t="s">
        <v>491</v>
      </c>
      <c r="Z248" s="1038" t="s">
        <v>491</v>
      </c>
      <c r="AA248" s="768" t="s">
        <v>491</v>
      </c>
      <c r="AB248" s="768" t="s">
        <v>491</v>
      </c>
      <c r="AC248" s="768"/>
      <c r="AD248" s="768"/>
      <c r="AE248" s="1038" t="s">
        <v>491</v>
      </c>
      <c r="AF248" s="1038" t="s">
        <v>491</v>
      </c>
      <c r="AG248" s="768"/>
      <c r="AH248" s="849">
        <v>103.5</v>
      </c>
      <c r="AI248" s="850">
        <v>37</v>
      </c>
    </row>
    <row r="249" spans="1:35" ht="21" customHeight="1">
      <c r="A249" s="793">
        <v>8500</v>
      </c>
      <c r="B249" s="227" t="s">
        <v>712</v>
      </c>
      <c r="C249" s="768" t="s">
        <v>491</v>
      </c>
      <c r="D249" s="768" t="s">
        <v>491</v>
      </c>
      <c r="E249" s="768" t="s">
        <v>491</v>
      </c>
      <c r="F249" s="768" t="s">
        <v>491</v>
      </c>
      <c r="G249" s="768" t="s">
        <v>491</v>
      </c>
      <c r="H249" s="768"/>
      <c r="I249" s="768"/>
      <c r="J249" s="768" t="s">
        <v>491</v>
      </c>
      <c r="K249" s="768" t="s">
        <v>491</v>
      </c>
      <c r="L249" s="768" t="s">
        <v>491</v>
      </c>
      <c r="M249" s="768" t="s">
        <v>491</v>
      </c>
      <c r="N249" s="768" t="s">
        <v>491</v>
      </c>
      <c r="O249" s="768"/>
      <c r="P249" s="768"/>
      <c r="Q249" s="768" t="s">
        <v>491</v>
      </c>
      <c r="R249" s="768" t="s">
        <v>491</v>
      </c>
      <c r="S249" s="768" t="s">
        <v>491</v>
      </c>
      <c r="T249" s="768" t="s">
        <v>491</v>
      </c>
      <c r="U249" s="1130" t="s">
        <v>491</v>
      </c>
      <c r="V249" s="768"/>
      <c r="W249" s="768"/>
      <c r="X249" s="768" t="s">
        <v>491</v>
      </c>
      <c r="Y249" s="768" t="s">
        <v>491</v>
      </c>
      <c r="Z249" s="768" t="s">
        <v>491</v>
      </c>
      <c r="AA249" s="768" t="s">
        <v>491</v>
      </c>
      <c r="AB249" s="768" t="s">
        <v>491</v>
      </c>
      <c r="AC249" s="768"/>
      <c r="AD249" s="768"/>
      <c r="AE249" s="768" t="s">
        <v>491</v>
      </c>
      <c r="AF249" s="768" t="s">
        <v>491</v>
      </c>
      <c r="AG249" s="768"/>
      <c r="AH249" s="849">
        <v>103.5</v>
      </c>
      <c r="AI249" s="850">
        <v>37</v>
      </c>
    </row>
    <row r="250" spans="1:35" ht="21.95" customHeight="1">
      <c r="A250" s="856">
        <v>3350</v>
      </c>
      <c r="B250" s="855" t="s">
        <v>713</v>
      </c>
      <c r="C250" s="768" t="s">
        <v>491</v>
      </c>
      <c r="D250" s="768" t="s">
        <v>491</v>
      </c>
      <c r="E250" s="768" t="s">
        <v>491</v>
      </c>
      <c r="F250" s="768" t="s">
        <v>491</v>
      </c>
      <c r="G250" s="768" t="s">
        <v>491</v>
      </c>
      <c r="H250" s="768"/>
      <c r="I250" s="768"/>
      <c r="J250" s="768" t="s">
        <v>491</v>
      </c>
      <c r="K250" s="768" t="s">
        <v>491</v>
      </c>
      <c r="L250" s="768" t="s">
        <v>491</v>
      </c>
      <c r="M250" s="768" t="s">
        <v>491</v>
      </c>
      <c r="N250" s="768" t="s">
        <v>491</v>
      </c>
      <c r="O250" s="768"/>
      <c r="P250" s="768"/>
      <c r="Q250" s="768" t="s">
        <v>491</v>
      </c>
      <c r="R250" s="768" t="s">
        <v>491</v>
      </c>
      <c r="S250" s="768" t="s">
        <v>491</v>
      </c>
      <c r="T250" s="768" t="s">
        <v>491</v>
      </c>
      <c r="U250" s="768" t="s">
        <v>491</v>
      </c>
      <c r="V250" s="768"/>
      <c r="W250" s="768"/>
      <c r="X250" s="768" t="s">
        <v>491</v>
      </c>
      <c r="Y250" s="768" t="s">
        <v>491</v>
      </c>
      <c r="Z250" s="768" t="s">
        <v>491</v>
      </c>
      <c r="AA250" s="768" t="s">
        <v>491</v>
      </c>
      <c r="AB250" s="768" t="s">
        <v>491</v>
      </c>
      <c r="AC250" s="768"/>
      <c r="AD250" s="768"/>
      <c r="AE250" s="768" t="s">
        <v>491</v>
      </c>
      <c r="AF250" s="768" t="s">
        <v>491</v>
      </c>
      <c r="AG250" s="768"/>
      <c r="AH250" s="849">
        <v>148</v>
      </c>
      <c r="AI250" s="850">
        <v>37</v>
      </c>
    </row>
    <row r="251" spans="1:35" ht="21.95" customHeight="1">
      <c r="A251" s="1136"/>
      <c r="B251" s="1137" t="s">
        <v>750</v>
      </c>
      <c r="C251" s="772" t="s">
        <v>491</v>
      </c>
      <c r="D251" s="772" t="s">
        <v>491</v>
      </c>
      <c r="E251" s="772" t="s">
        <v>491</v>
      </c>
      <c r="F251" s="772" t="s">
        <v>491</v>
      </c>
      <c r="G251" s="772" t="s">
        <v>491</v>
      </c>
      <c r="H251" s="772"/>
      <c r="I251" s="772"/>
      <c r="J251" s="772" t="s">
        <v>491</v>
      </c>
      <c r="K251" s="772" t="s">
        <v>491</v>
      </c>
      <c r="L251" s="772" t="s">
        <v>491</v>
      </c>
      <c r="M251" s="772" t="s">
        <v>491</v>
      </c>
      <c r="N251" s="772" t="s">
        <v>491</v>
      </c>
      <c r="O251" s="772"/>
      <c r="P251" s="772"/>
      <c r="Q251" s="772" t="s">
        <v>491</v>
      </c>
      <c r="R251" s="772" t="s">
        <v>491</v>
      </c>
      <c r="S251" s="772" t="s">
        <v>491</v>
      </c>
      <c r="T251" s="772" t="s">
        <v>491</v>
      </c>
      <c r="U251" s="772" t="s">
        <v>491</v>
      </c>
      <c r="V251" s="772"/>
      <c r="W251" s="772"/>
      <c r="X251" s="772" t="s">
        <v>491</v>
      </c>
      <c r="Y251" s="772" t="s">
        <v>491</v>
      </c>
      <c r="Z251" s="772" t="s">
        <v>491</v>
      </c>
      <c r="AA251" s="772" t="s">
        <v>491</v>
      </c>
      <c r="AB251" s="772" t="s">
        <v>491</v>
      </c>
      <c r="AC251" s="772"/>
      <c r="AD251" s="772"/>
      <c r="AE251" s="772" t="s">
        <v>491</v>
      </c>
      <c r="AF251" s="772" t="s">
        <v>491</v>
      </c>
      <c r="AG251" s="772"/>
      <c r="AH251" s="849"/>
      <c r="AI251" s="850"/>
    </row>
    <row r="252" spans="1:35" ht="21.95" customHeight="1">
      <c r="A252" s="856"/>
      <c r="B252" s="1142" t="s">
        <v>763</v>
      </c>
      <c r="C252" s="782"/>
      <c r="D252" s="782"/>
      <c r="E252" s="782"/>
      <c r="F252" s="782"/>
      <c r="G252" s="782"/>
      <c r="H252" s="782"/>
      <c r="I252" s="782"/>
      <c r="J252" s="782"/>
      <c r="K252" s="782"/>
      <c r="L252" s="782"/>
      <c r="M252" s="782"/>
      <c r="N252" s="782"/>
      <c r="O252" s="782"/>
      <c r="P252" s="782"/>
      <c r="Q252" s="782"/>
      <c r="R252" s="782"/>
      <c r="S252" s="782"/>
      <c r="T252" s="782"/>
      <c r="U252" s="782"/>
      <c r="V252" s="782"/>
      <c r="W252" s="782"/>
      <c r="X252" s="782"/>
      <c r="Y252" s="782"/>
      <c r="Z252" s="782"/>
      <c r="AA252" s="782"/>
      <c r="AB252" s="782"/>
      <c r="AC252" s="782"/>
      <c r="AD252" s="782"/>
      <c r="AE252" s="782"/>
      <c r="AF252" s="782"/>
      <c r="AG252" s="782"/>
      <c r="AH252" s="1141"/>
      <c r="AI252" s="1141"/>
    </row>
    <row r="253" spans="1:35" ht="21.95" customHeight="1">
      <c r="A253" s="793"/>
      <c r="B253" s="1142" t="s">
        <v>764</v>
      </c>
      <c r="C253" s="793"/>
      <c r="D253" s="793"/>
      <c r="E253" s="793"/>
      <c r="F253" s="793"/>
      <c r="G253" s="793"/>
      <c r="H253" s="793"/>
      <c r="I253" s="793"/>
      <c r="J253" s="793"/>
      <c r="K253" s="793"/>
      <c r="L253" s="793"/>
      <c r="M253" s="793"/>
      <c r="N253" s="793"/>
      <c r="O253" s="793"/>
      <c r="P253" s="793"/>
      <c r="Q253" s="793"/>
      <c r="R253" s="793"/>
      <c r="S253" s="793"/>
      <c r="T253" s="793"/>
      <c r="U253" s="793"/>
      <c r="V253" s="793"/>
      <c r="W253" s="793"/>
      <c r="X253" s="793"/>
      <c r="Y253" s="793"/>
      <c r="Z253" s="793"/>
      <c r="AA253" s="793"/>
      <c r="AB253" s="793"/>
      <c r="AC253" s="793"/>
      <c r="AD253" s="793"/>
      <c r="AE253" s="793"/>
      <c r="AF253" s="793"/>
      <c r="AG253" s="782"/>
      <c r="AH253" s="1141"/>
      <c r="AI253" s="793"/>
    </row>
    <row r="255" spans="1:35" ht="25.5" customHeight="1" thickBot="1">
      <c r="A255" s="1" t="s">
        <v>716</v>
      </c>
    </row>
    <row r="256" spans="1:35" ht="21" customHeight="1">
      <c r="A256" s="1"/>
      <c r="B256" s="201" t="s">
        <v>664</v>
      </c>
      <c r="C256" s="7"/>
      <c r="D256" s="522" t="s">
        <v>2</v>
      </c>
      <c r="E256" s="51"/>
      <c r="F256" s="548"/>
      <c r="G256" s="7"/>
      <c r="H256" s="522" t="s">
        <v>3</v>
      </c>
      <c r="I256" s="51"/>
      <c r="J256" s="548"/>
      <c r="K256" s="7"/>
      <c r="L256" s="522" t="s">
        <v>4</v>
      </c>
      <c r="M256" s="51"/>
      <c r="N256" s="548"/>
      <c r="O256" s="7"/>
      <c r="P256" s="522" t="s">
        <v>5</v>
      </c>
      <c r="Q256" s="51"/>
      <c r="R256" s="548"/>
      <c r="S256" s="7"/>
      <c r="T256" s="522" t="s">
        <v>6</v>
      </c>
      <c r="U256" s="51"/>
      <c r="V256" s="548"/>
      <c r="W256" s="7"/>
      <c r="X256" s="522" t="s">
        <v>7</v>
      </c>
      <c r="Y256" s="51"/>
      <c r="Z256" s="548"/>
      <c r="AA256" s="7"/>
      <c r="AB256" s="522" t="s">
        <v>8</v>
      </c>
      <c r="AC256" s="51"/>
      <c r="AD256" s="51"/>
      <c r="AE256" s="425" t="s">
        <v>10</v>
      </c>
      <c r="AF256" s="51"/>
      <c r="AG256" s="51"/>
      <c r="AH256" s="51"/>
      <c r="AI256" s="523"/>
    </row>
    <row r="257" spans="1:35" ht="21" customHeight="1">
      <c r="A257" s="1"/>
      <c r="B257" s="9"/>
      <c r="C257" s="14"/>
      <c r="D257" s="603"/>
      <c r="E257" s="55"/>
      <c r="F257" s="602"/>
      <c r="G257" s="14"/>
      <c r="H257" s="603"/>
      <c r="I257" s="55"/>
      <c r="J257" s="602"/>
      <c r="K257" s="14"/>
      <c r="L257" s="603"/>
      <c r="M257" s="55"/>
      <c r="N257" s="602"/>
      <c r="O257" s="14"/>
      <c r="P257" s="603"/>
      <c r="Q257" s="55"/>
      <c r="R257" s="602"/>
      <c r="S257" s="14"/>
      <c r="T257" s="603"/>
      <c r="U257" s="55"/>
      <c r="V257" s="602"/>
      <c r="W257" s="14"/>
      <c r="X257" s="603"/>
      <c r="Y257" s="55"/>
      <c r="Z257" s="602"/>
      <c r="AA257" s="14"/>
      <c r="AB257" s="603"/>
      <c r="AC257" s="55"/>
      <c r="AD257" s="55"/>
      <c r="AE257" s="604"/>
      <c r="AF257" s="55"/>
      <c r="AG257" s="55"/>
      <c r="AH257" s="55"/>
      <c r="AI257" s="605"/>
    </row>
    <row r="258" spans="1:35" ht="21" customHeight="1">
      <c r="B258" s="606"/>
      <c r="C258" s="121"/>
      <c r="D258" s="157"/>
      <c r="E258" s="157"/>
      <c r="F258" s="564"/>
      <c r="G258" s="121"/>
      <c r="H258" s="157"/>
      <c r="I258" s="157"/>
      <c r="J258" s="564"/>
      <c r="K258" s="121"/>
      <c r="L258" s="157"/>
      <c r="M258" s="157"/>
      <c r="N258" s="564"/>
      <c r="O258" s="121"/>
      <c r="P258" s="157"/>
      <c r="Q258" s="157"/>
      <c r="R258" s="564"/>
      <c r="S258" s="121"/>
      <c r="T258" s="157"/>
      <c r="U258" s="157"/>
      <c r="V258" s="564"/>
      <c r="W258" s="121"/>
      <c r="X258" s="157"/>
      <c r="Y258" s="157"/>
      <c r="Z258" s="564"/>
      <c r="AA258" s="563"/>
      <c r="AB258" s="157"/>
      <c r="AC258" s="157"/>
      <c r="AD258" s="565"/>
      <c r="AE258" s="607"/>
      <c r="AF258" s="157"/>
      <c r="AG258" s="157" t="s">
        <v>28</v>
      </c>
      <c r="AH258" s="565"/>
      <c r="AI258" s="490"/>
    </row>
    <row r="259" spans="1:35" ht="21" customHeight="1" thickBot="1">
      <c r="A259" s="1"/>
      <c r="B259" s="47"/>
      <c r="C259" s="570"/>
      <c r="D259" s="53"/>
      <c r="E259" s="53"/>
      <c r="F259" s="571"/>
      <c r="G259" s="570"/>
      <c r="H259" s="53"/>
      <c r="I259" s="53"/>
      <c r="J259" s="571"/>
      <c r="K259" s="570"/>
      <c r="L259" s="53"/>
      <c r="M259" s="53"/>
      <c r="N259" s="571"/>
      <c r="O259" s="570"/>
      <c r="P259" s="53"/>
      <c r="Q259" s="53"/>
      <c r="R259" s="571"/>
      <c r="S259" s="570"/>
      <c r="T259" s="53"/>
      <c r="U259" s="53"/>
      <c r="V259" s="571"/>
      <c r="W259" s="57"/>
      <c r="X259" s="53"/>
      <c r="Y259" s="53"/>
      <c r="Z259" s="571"/>
      <c r="AA259" s="57"/>
      <c r="AB259" s="53"/>
      <c r="AC259" s="53"/>
      <c r="AD259" s="573"/>
      <c r="AE259" s="57"/>
      <c r="AF259" s="53"/>
      <c r="AG259" s="53"/>
      <c r="AH259" s="573"/>
      <c r="AI259" s="536"/>
    </row>
    <row r="260" spans="1:35" ht="33" customHeight="1" thickBot="1">
      <c r="A260" s="1" t="s">
        <v>717</v>
      </c>
      <c r="B260" s="72"/>
      <c r="C260" s="312"/>
      <c r="F260" s="354"/>
      <c r="G260" s="312"/>
      <c r="J260" s="354"/>
      <c r="K260" s="312"/>
      <c r="N260" s="354"/>
      <c r="O260" s="312"/>
      <c r="R260" s="354"/>
      <c r="S260" s="312"/>
      <c r="V260" s="354"/>
      <c r="W260" s="354"/>
      <c r="Z260" s="354"/>
      <c r="AA260" s="354"/>
      <c r="AD260" s="354"/>
      <c r="AE260" s="354"/>
      <c r="AH260" s="354"/>
    </row>
    <row r="261" spans="1:35" ht="21" customHeight="1" thickBot="1">
      <c r="A261" s="861" t="s">
        <v>475</v>
      </c>
      <c r="B261" s="862" t="s">
        <v>476</v>
      </c>
      <c r="C261" s="863">
        <v>1</v>
      </c>
      <c r="D261" s="863">
        <v>2</v>
      </c>
      <c r="E261" s="863">
        <v>3</v>
      </c>
      <c r="F261" s="863">
        <v>4</v>
      </c>
      <c r="G261" s="863">
        <v>5</v>
      </c>
      <c r="H261" s="880">
        <v>6</v>
      </c>
      <c r="I261" s="880">
        <v>7</v>
      </c>
      <c r="J261" s="863">
        <v>8</v>
      </c>
      <c r="K261" s="863">
        <v>9</v>
      </c>
      <c r="L261" s="863">
        <v>10</v>
      </c>
      <c r="M261" s="863">
        <v>11</v>
      </c>
      <c r="N261" s="863">
        <v>12</v>
      </c>
      <c r="O261" s="880">
        <v>13</v>
      </c>
      <c r="P261" s="880">
        <v>14</v>
      </c>
      <c r="Q261" s="863">
        <v>15</v>
      </c>
      <c r="R261" s="863">
        <v>16</v>
      </c>
      <c r="S261" s="863">
        <v>17</v>
      </c>
      <c r="T261" s="863">
        <v>18</v>
      </c>
      <c r="U261" s="863">
        <v>19</v>
      </c>
      <c r="V261" s="880">
        <v>20</v>
      </c>
      <c r="W261" s="880">
        <v>21</v>
      </c>
      <c r="X261" s="863">
        <v>22</v>
      </c>
      <c r="Y261" s="863">
        <v>23</v>
      </c>
      <c r="Z261" s="863">
        <v>24</v>
      </c>
      <c r="AA261" s="863">
        <v>25</v>
      </c>
      <c r="AB261" s="863">
        <v>26</v>
      </c>
      <c r="AC261" s="880">
        <v>27</v>
      </c>
      <c r="AD261" s="880">
        <v>28</v>
      </c>
      <c r="AE261" s="863">
        <v>29</v>
      </c>
      <c r="AF261" s="863">
        <v>30</v>
      </c>
      <c r="AG261" s="943"/>
      <c r="AH261" s="864" t="s">
        <v>477</v>
      </c>
      <c r="AI261" s="865" t="s">
        <v>478</v>
      </c>
    </row>
    <row r="262" spans="1:35" ht="21" customHeight="1">
      <c r="A262" s="438"/>
      <c r="B262" s="916" t="s">
        <v>718</v>
      </c>
      <c r="C262" s="768" t="s">
        <v>491</v>
      </c>
      <c r="D262" s="768" t="s">
        <v>491</v>
      </c>
      <c r="E262" s="768" t="s">
        <v>491</v>
      </c>
      <c r="F262" s="768" t="s">
        <v>491</v>
      </c>
      <c r="G262" s="768" t="s">
        <v>491</v>
      </c>
      <c r="H262" s="768"/>
      <c r="I262" s="768"/>
      <c r="J262" s="1144" t="s">
        <v>491</v>
      </c>
      <c r="K262" s="1144" t="s">
        <v>491</v>
      </c>
      <c r="L262" s="1144" t="s">
        <v>491</v>
      </c>
      <c r="M262" s="1144" t="s">
        <v>491</v>
      </c>
      <c r="N262" s="1144" t="s">
        <v>491</v>
      </c>
      <c r="O262" s="1144"/>
      <c r="P262" s="1144"/>
      <c r="Q262" s="1144" t="s">
        <v>491</v>
      </c>
      <c r="R262" s="1144" t="s">
        <v>491</v>
      </c>
      <c r="S262" s="1144" t="s">
        <v>491</v>
      </c>
      <c r="T262" s="1144" t="s">
        <v>491</v>
      </c>
      <c r="U262" s="1144" t="s">
        <v>491</v>
      </c>
      <c r="V262" s="1144"/>
      <c r="W262" s="1144"/>
      <c r="X262" s="768" t="s">
        <v>491</v>
      </c>
      <c r="Y262" s="768" t="s">
        <v>491</v>
      </c>
      <c r="Z262" s="768" t="s">
        <v>491</v>
      </c>
      <c r="AA262" s="768" t="s">
        <v>491</v>
      </c>
      <c r="AB262" s="768" t="s">
        <v>491</v>
      </c>
      <c r="AC262" s="768"/>
      <c r="AD262" s="768"/>
      <c r="AE262" s="768" t="s">
        <v>491</v>
      </c>
      <c r="AF262" s="768" t="s">
        <v>491</v>
      </c>
      <c r="AG262" s="871"/>
      <c r="AH262" s="909">
        <v>82</v>
      </c>
      <c r="AI262" s="910">
        <v>37</v>
      </c>
    </row>
    <row r="263" spans="1:35" ht="21" customHeight="1">
      <c r="A263" s="442"/>
      <c r="B263" s="613" t="s">
        <v>719</v>
      </c>
      <c r="C263" s="768" t="s">
        <v>491</v>
      </c>
      <c r="D263" s="768" t="s">
        <v>491</v>
      </c>
      <c r="E263" s="768" t="s">
        <v>491</v>
      </c>
      <c r="F263" s="768" t="s">
        <v>491</v>
      </c>
      <c r="G263" s="768" t="s">
        <v>491</v>
      </c>
      <c r="H263" s="768"/>
      <c r="I263" s="768"/>
      <c r="J263" s="768" t="s">
        <v>491</v>
      </c>
      <c r="K263" s="768" t="s">
        <v>491</v>
      </c>
      <c r="L263" s="768" t="s">
        <v>491</v>
      </c>
      <c r="M263" s="768" t="s">
        <v>491</v>
      </c>
      <c r="N263" s="768" t="s">
        <v>491</v>
      </c>
      <c r="O263" s="768"/>
      <c r="P263" s="768"/>
      <c r="Q263" s="768" t="s">
        <v>491</v>
      </c>
      <c r="R263" s="768" t="s">
        <v>491</v>
      </c>
      <c r="S263" s="768" t="s">
        <v>491</v>
      </c>
      <c r="T263" s="768" t="s">
        <v>491</v>
      </c>
      <c r="U263" s="768" t="s">
        <v>491</v>
      </c>
      <c r="V263" s="768"/>
      <c r="W263" s="768"/>
      <c r="X263" s="768" t="s">
        <v>491</v>
      </c>
      <c r="Y263" s="768" t="s">
        <v>491</v>
      </c>
      <c r="Z263" s="768" t="s">
        <v>491</v>
      </c>
      <c r="AA263" s="768" t="s">
        <v>491</v>
      </c>
      <c r="AB263" s="768" t="s">
        <v>491</v>
      </c>
      <c r="AC263" s="768"/>
      <c r="AD263" s="768"/>
      <c r="AE263" s="768" t="s">
        <v>491</v>
      </c>
      <c r="AF263" s="768" t="s">
        <v>491</v>
      </c>
      <c r="AG263" s="762"/>
      <c r="AH263" s="628">
        <v>75</v>
      </c>
      <c r="AI263" s="629">
        <v>37</v>
      </c>
    </row>
    <row r="264" spans="1:35" ht="21" customHeight="1">
      <c r="A264" s="442"/>
      <c r="B264" s="613" t="s">
        <v>720</v>
      </c>
      <c r="C264" s="768" t="s">
        <v>491</v>
      </c>
      <c r="D264" s="1038" t="s">
        <v>491</v>
      </c>
      <c r="E264" s="1038" t="s">
        <v>491</v>
      </c>
      <c r="F264" s="1038" t="s">
        <v>493</v>
      </c>
      <c r="G264" s="768" t="s">
        <v>491</v>
      </c>
      <c r="H264" s="768"/>
      <c r="I264" s="768"/>
      <c r="J264" s="768" t="s">
        <v>491</v>
      </c>
      <c r="K264" s="768" t="s">
        <v>491</v>
      </c>
      <c r="L264" s="768" t="s">
        <v>491</v>
      </c>
      <c r="M264" s="768" t="s">
        <v>491</v>
      </c>
      <c r="N264" s="768" t="s">
        <v>491</v>
      </c>
      <c r="O264" s="768"/>
      <c r="P264" s="768"/>
      <c r="Q264" s="768" t="s">
        <v>491</v>
      </c>
      <c r="R264" s="768" t="s">
        <v>491</v>
      </c>
      <c r="S264" s="768" t="s">
        <v>491</v>
      </c>
      <c r="T264" s="768" t="s">
        <v>491</v>
      </c>
      <c r="U264" s="768" t="s">
        <v>491</v>
      </c>
      <c r="V264" s="768"/>
      <c r="W264" s="768"/>
      <c r="X264" s="768" t="s">
        <v>491</v>
      </c>
      <c r="Y264" s="768" t="s">
        <v>491</v>
      </c>
      <c r="Z264" s="768" t="s">
        <v>491</v>
      </c>
      <c r="AA264" s="768" t="s">
        <v>491</v>
      </c>
      <c r="AB264" s="768" t="s">
        <v>491</v>
      </c>
      <c r="AC264" s="768"/>
      <c r="AD264" s="768"/>
      <c r="AE264" s="768" t="s">
        <v>491</v>
      </c>
      <c r="AF264" s="768" t="s">
        <v>491</v>
      </c>
      <c r="AG264" s="762"/>
      <c r="AH264" s="628">
        <v>37</v>
      </c>
      <c r="AI264" s="629">
        <v>37</v>
      </c>
    </row>
    <row r="265" spans="1:35" ht="21" customHeight="1">
      <c r="A265" s="442"/>
      <c r="B265" s="613" t="s">
        <v>721</v>
      </c>
      <c r="C265" s="768" t="s">
        <v>491</v>
      </c>
      <c r="D265" s="768" t="s">
        <v>491</v>
      </c>
      <c r="E265" s="768" t="s">
        <v>491</v>
      </c>
      <c r="F265" s="768" t="s">
        <v>491</v>
      </c>
      <c r="G265" s="768" t="s">
        <v>491</v>
      </c>
      <c r="H265" s="768"/>
      <c r="I265" s="768"/>
      <c r="J265" s="768" t="s">
        <v>491</v>
      </c>
      <c r="K265" s="768" t="s">
        <v>491</v>
      </c>
      <c r="L265" s="768" t="s">
        <v>491</v>
      </c>
      <c r="M265" s="768" t="s">
        <v>491</v>
      </c>
      <c r="N265" s="768" t="s">
        <v>491</v>
      </c>
      <c r="O265" s="768"/>
      <c r="P265" s="768"/>
      <c r="Q265" s="768" t="s">
        <v>491</v>
      </c>
      <c r="R265" s="768" t="s">
        <v>491</v>
      </c>
      <c r="S265" s="768" t="s">
        <v>491</v>
      </c>
      <c r="T265" s="768" t="s">
        <v>491</v>
      </c>
      <c r="U265" s="768" t="s">
        <v>491</v>
      </c>
      <c r="V265" s="768"/>
      <c r="W265" s="768"/>
      <c r="X265" s="768" t="s">
        <v>491</v>
      </c>
      <c r="Y265" s="768" t="s">
        <v>491</v>
      </c>
      <c r="Z265" s="768" t="s">
        <v>491</v>
      </c>
      <c r="AA265" s="768" t="s">
        <v>491</v>
      </c>
      <c r="AB265" s="768" t="s">
        <v>491</v>
      </c>
      <c r="AC265" s="768"/>
      <c r="AD265" s="768"/>
      <c r="AE265" s="768" t="s">
        <v>491</v>
      </c>
      <c r="AF265" s="768" t="s">
        <v>491</v>
      </c>
      <c r="AG265" s="762"/>
      <c r="AH265" s="628">
        <v>136</v>
      </c>
      <c r="AI265" s="629">
        <v>0</v>
      </c>
    </row>
    <row r="266" spans="1:35" ht="21" customHeight="1">
      <c r="A266" s="442"/>
      <c r="B266" s="613" t="s">
        <v>722</v>
      </c>
      <c r="C266" s="768" t="s">
        <v>491</v>
      </c>
      <c r="D266" s="768" t="s">
        <v>491</v>
      </c>
      <c r="E266" s="768" t="s">
        <v>491</v>
      </c>
      <c r="F266" s="768" t="s">
        <v>491</v>
      </c>
      <c r="G266" s="768" t="s">
        <v>491</v>
      </c>
      <c r="H266" s="768"/>
      <c r="I266" s="768"/>
      <c r="J266" s="768" t="s">
        <v>491</v>
      </c>
      <c r="K266" s="768" t="s">
        <v>491</v>
      </c>
      <c r="L266" s="768" t="s">
        <v>491</v>
      </c>
      <c r="M266" s="768" t="s">
        <v>491</v>
      </c>
      <c r="N266" s="1038" t="s">
        <v>491</v>
      </c>
      <c r="O266" s="1038"/>
      <c r="P266" s="1038"/>
      <c r="Q266" s="768" t="s">
        <v>491</v>
      </c>
      <c r="R266" s="768" t="s">
        <v>491</v>
      </c>
      <c r="S266" s="768" t="s">
        <v>491</v>
      </c>
      <c r="T266" s="768" t="s">
        <v>491</v>
      </c>
      <c r="U266" s="768" t="s">
        <v>491</v>
      </c>
      <c r="V266" s="768"/>
      <c r="W266" s="768"/>
      <c r="X266" s="768" t="s">
        <v>491</v>
      </c>
      <c r="Y266" s="768" t="s">
        <v>491</v>
      </c>
      <c r="Z266" s="768" t="s">
        <v>491</v>
      </c>
      <c r="AA266" s="768" t="s">
        <v>491</v>
      </c>
      <c r="AB266" s="768" t="s">
        <v>491</v>
      </c>
      <c r="AC266" s="768"/>
      <c r="AD266" s="768"/>
      <c r="AE266" s="768" t="s">
        <v>491</v>
      </c>
      <c r="AF266" s="768" t="s">
        <v>491</v>
      </c>
      <c r="AG266" s="762"/>
      <c r="AH266" s="628">
        <v>92</v>
      </c>
      <c r="AI266" s="629">
        <v>19</v>
      </c>
    </row>
    <row r="267" spans="1:35" ht="21" customHeight="1">
      <c r="A267" s="442"/>
      <c r="B267" s="613" t="s">
        <v>723</v>
      </c>
      <c r="C267" s="768" t="s">
        <v>491</v>
      </c>
      <c r="D267" s="768" t="s">
        <v>491</v>
      </c>
      <c r="E267" s="768" t="s">
        <v>491</v>
      </c>
      <c r="F267" s="768" t="s">
        <v>491</v>
      </c>
      <c r="G267" s="768" t="s">
        <v>491</v>
      </c>
      <c r="H267" s="768"/>
      <c r="I267" s="768"/>
      <c r="J267" s="768" t="s">
        <v>491</v>
      </c>
      <c r="K267" s="768" t="s">
        <v>491</v>
      </c>
      <c r="L267" s="768" t="s">
        <v>491</v>
      </c>
      <c r="M267" s="768" t="s">
        <v>491</v>
      </c>
      <c r="N267" s="768" t="s">
        <v>491</v>
      </c>
      <c r="O267" s="768"/>
      <c r="P267" s="768"/>
      <c r="Q267" s="768" t="s">
        <v>491</v>
      </c>
      <c r="R267" s="768" t="s">
        <v>491</v>
      </c>
      <c r="S267" s="768" t="s">
        <v>491</v>
      </c>
      <c r="T267" s="768" t="s">
        <v>491</v>
      </c>
      <c r="U267" s="768" t="s">
        <v>491</v>
      </c>
      <c r="V267" s="768"/>
      <c r="W267" s="768"/>
      <c r="X267" s="768" t="s">
        <v>491</v>
      </c>
      <c r="Y267" s="768" t="s">
        <v>491</v>
      </c>
      <c r="Z267" s="768" t="s">
        <v>491</v>
      </c>
      <c r="AA267" s="768" t="s">
        <v>491</v>
      </c>
      <c r="AB267" s="768" t="s">
        <v>491</v>
      </c>
      <c r="AC267" s="768"/>
      <c r="AD267" s="768"/>
      <c r="AE267" s="970" t="s">
        <v>491</v>
      </c>
      <c r="AF267" s="970" t="s">
        <v>491</v>
      </c>
      <c r="AG267" s="762"/>
      <c r="AH267" s="628">
        <v>79</v>
      </c>
      <c r="AI267" s="629">
        <v>37</v>
      </c>
    </row>
    <row r="268" spans="1:35" ht="21" customHeight="1">
      <c r="A268" s="442"/>
      <c r="B268" s="613" t="s">
        <v>724</v>
      </c>
      <c r="C268" s="768" t="s">
        <v>491</v>
      </c>
      <c r="D268" s="768" t="s">
        <v>491</v>
      </c>
      <c r="E268" s="768" t="s">
        <v>491</v>
      </c>
      <c r="F268" s="768" t="s">
        <v>491</v>
      </c>
      <c r="G268" s="768" t="s">
        <v>491</v>
      </c>
      <c r="H268" s="768"/>
      <c r="I268" s="768"/>
      <c r="J268" s="768" t="s">
        <v>491</v>
      </c>
      <c r="K268" s="768" t="s">
        <v>491</v>
      </c>
      <c r="L268" s="768" t="s">
        <v>491</v>
      </c>
      <c r="M268" s="768" t="s">
        <v>491</v>
      </c>
      <c r="N268" s="768" t="s">
        <v>491</v>
      </c>
      <c r="O268" s="768"/>
      <c r="P268" s="768"/>
      <c r="Q268" s="768" t="s">
        <v>491</v>
      </c>
      <c r="R268" s="768" t="s">
        <v>491</v>
      </c>
      <c r="S268" s="768" t="s">
        <v>491</v>
      </c>
      <c r="T268" s="768" t="s">
        <v>491</v>
      </c>
      <c r="U268" s="768" t="s">
        <v>491</v>
      </c>
      <c r="V268" s="768"/>
      <c r="W268" s="768"/>
      <c r="X268" s="768" t="s">
        <v>491</v>
      </c>
      <c r="Y268" s="768" t="s">
        <v>491</v>
      </c>
      <c r="Z268" s="768" t="s">
        <v>491</v>
      </c>
      <c r="AA268" s="768" t="s">
        <v>491</v>
      </c>
      <c r="AB268" s="768" t="s">
        <v>491</v>
      </c>
      <c r="AC268" s="768"/>
      <c r="AD268" s="768"/>
      <c r="AE268" s="768" t="s">
        <v>491</v>
      </c>
      <c r="AF268" s="768" t="s">
        <v>491</v>
      </c>
      <c r="AG268" s="762"/>
      <c r="AH268" s="628">
        <v>75</v>
      </c>
      <c r="AI268" s="629">
        <v>25</v>
      </c>
    </row>
    <row r="269" spans="1:35" ht="21" customHeight="1">
      <c r="A269" s="442"/>
      <c r="B269" s="613" t="s">
        <v>725</v>
      </c>
      <c r="C269" s="768" t="s">
        <v>491</v>
      </c>
      <c r="D269" s="768" t="s">
        <v>491</v>
      </c>
      <c r="E269" s="768" t="s">
        <v>491</v>
      </c>
      <c r="F269" s="768" t="s">
        <v>491</v>
      </c>
      <c r="G269" s="768" t="s">
        <v>491</v>
      </c>
      <c r="H269" s="768"/>
      <c r="I269" s="768"/>
      <c r="J269" s="768" t="s">
        <v>491</v>
      </c>
      <c r="K269" s="768" t="s">
        <v>491</v>
      </c>
      <c r="L269" s="768" t="s">
        <v>491</v>
      </c>
      <c r="M269" s="768" t="s">
        <v>491</v>
      </c>
      <c r="N269" s="768" t="s">
        <v>491</v>
      </c>
      <c r="O269" s="768"/>
      <c r="P269" s="768"/>
      <c r="Q269" s="768" t="s">
        <v>491</v>
      </c>
      <c r="R269" s="768" t="s">
        <v>491</v>
      </c>
      <c r="S269" s="768" t="s">
        <v>491</v>
      </c>
      <c r="T269" s="768" t="s">
        <v>491</v>
      </c>
      <c r="U269" s="768" t="s">
        <v>491</v>
      </c>
      <c r="V269" s="768"/>
      <c r="W269" s="768"/>
      <c r="X269" s="768" t="s">
        <v>491</v>
      </c>
      <c r="Y269" s="768" t="s">
        <v>491</v>
      </c>
      <c r="Z269" s="768" t="s">
        <v>491</v>
      </c>
      <c r="AA269" s="768" t="s">
        <v>491</v>
      </c>
      <c r="AB269" s="768" t="s">
        <v>491</v>
      </c>
      <c r="AC269" s="768"/>
      <c r="AD269" s="768"/>
      <c r="AE269" s="768" t="s">
        <v>491</v>
      </c>
      <c r="AF269" s="768" t="s">
        <v>491</v>
      </c>
      <c r="AG269" s="762"/>
      <c r="AH269" s="628">
        <v>83</v>
      </c>
      <c r="AI269" s="629">
        <v>37</v>
      </c>
    </row>
    <row r="270" spans="1:35" ht="21" customHeight="1">
      <c r="A270" s="442"/>
      <c r="B270" s="613" t="s">
        <v>726</v>
      </c>
      <c r="C270" s="1038" t="s">
        <v>491</v>
      </c>
      <c r="D270" s="1038" t="s">
        <v>491</v>
      </c>
      <c r="E270" s="1038" t="s">
        <v>491</v>
      </c>
      <c r="F270" s="1038" t="s">
        <v>491</v>
      </c>
      <c r="G270" s="1038" t="s">
        <v>491</v>
      </c>
      <c r="H270" s="1038"/>
      <c r="I270" s="1038"/>
      <c r="J270" s="1038" t="s">
        <v>491</v>
      </c>
      <c r="K270" s="1038" t="s">
        <v>491</v>
      </c>
      <c r="L270" s="1038" t="s">
        <v>491</v>
      </c>
      <c r="M270" s="1038" t="s">
        <v>491</v>
      </c>
      <c r="N270" s="1038" t="s">
        <v>491</v>
      </c>
      <c r="O270" s="1038"/>
      <c r="P270" s="1038"/>
      <c r="Q270" s="1038" t="s">
        <v>491</v>
      </c>
      <c r="R270" s="1038" t="s">
        <v>491</v>
      </c>
      <c r="S270" s="1038" t="s">
        <v>491</v>
      </c>
      <c r="T270" s="1038" t="s">
        <v>491</v>
      </c>
      <c r="U270" s="1038" t="s">
        <v>493</v>
      </c>
      <c r="V270" s="768"/>
      <c r="W270" s="768"/>
      <c r="X270" s="768" t="s">
        <v>491</v>
      </c>
      <c r="Y270" s="768" t="s">
        <v>491</v>
      </c>
      <c r="Z270" s="768" t="s">
        <v>491</v>
      </c>
      <c r="AA270" s="768" t="s">
        <v>491</v>
      </c>
      <c r="AB270" s="768" t="s">
        <v>491</v>
      </c>
      <c r="AC270" s="768"/>
      <c r="AD270" s="768"/>
      <c r="AE270" s="768" t="s">
        <v>491</v>
      </c>
      <c r="AF270" s="768" t="s">
        <v>491</v>
      </c>
      <c r="AG270" s="762"/>
      <c r="AH270" s="628">
        <v>98</v>
      </c>
      <c r="AI270" s="629">
        <v>37</v>
      </c>
    </row>
    <row r="271" spans="1:35" ht="21" customHeight="1">
      <c r="A271" s="442"/>
      <c r="B271" s="613" t="s">
        <v>727</v>
      </c>
      <c r="C271" s="768" t="s">
        <v>491</v>
      </c>
      <c r="D271" s="768" t="s">
        <v>491</v>
      </c>
      <c r="E271" s="768" t="s">
        <v>491</v>
      </c>
      <c r="F271" s="768" t="s">
        <v>491</v>
      </c>
      <c r="G271" s="768" t="s">
        <v>491</v>
      </c>
      <c r="H271" s="768"/>
      <c r="I271" s="768"/>
      <c r="J271" s="1038" t="s">
        <v>491</v>
      </c>
      <c r="K271" s="1038" t="s">
        <v>491</v>
      </c>
      <c r="L271" s="1038" t="s">
        <v>491</v>
      </c>
      <c r="M271" s="1038" t="s">
        <v>491</v>
      </c>
      <c r="N271" s="1038" t="s">
        <v>491</v>
      </c>
      <c r="O271" s="768"/>
      <c r="P271" s="768"/>
      <c r="Q271" s="768" t="s">
        <v>491</v>
      </c>
      <c r="R271" s="768" t="s">
        <v>491</v>
      </c>
      <c r="S271" s="768" t="s">
        <v>491</v>
      </c>
      <c r="T271" s="768" t="s">
        <v>491</v>
      </c>
      <c r="U271" s="768" t="s">
        <v>491</v>
      </c>
      <c r="V271" s="768"/>
      <c r="W271" s="768"/>
      <c r="X271" s="768" t="s">
        <v>491</v>
      </c>
      <c r="Y271" s="768" t="s">
        <v>491</v>
      </c>
      <c r="Z271" s="768" t="s">
        <v>491</v>
      </c>
      <c r="AA271" s="768" t="s">
        <v>491</v>
      </c>
      <c r="AB271" s="768" t="s">
        <v>491</v>
      </c>
      <c r="AC271" s="768"/>
      <c r="AD271" s="768"/>
      <c r="AE271" s="768" t="s">
        <v>491</v>
      </c>
      <c r="AF271" s="768" t="s">
        <v>491</v>
      </c>
      <c r="AG271" s="762"/>
      <c r="AH271" s="628">
        <v>75.5</v>
      </c>
      <c r="AI271" s="629">
        <v>25</v>
      </c>
    </row>
    <row r="272" spans="1:35" ht="21" customHeight="1">
      <c r="A272" s="442"/>
      <c r="B272" s="153" t="s">
        <v>728</v>
      </c>
      <c r="C272" s="768" t="s">
        <v>491</v>
      </c>
      <c r="D272" s="768" t="s">
        <v>491</v>
      </c>
      <c r="E272" s="768" t="s">
        <v>491</v>
      </c>
      <c r="F272" s="768" t="s">
        <v>491</v>
      </c>
      <c r="G272" s="768" t="s">
        <v>491</v>
      </c>
      <c r="H272" s="768"/>
      <c r="I272" s="768"/>
      <c r="J272" s="768" t="s">
        <v>491</v>
      </c>
      <c r="K272" s="768" t="s">
        <v>491</v>
      </c>
      <c r="L272" s="768" t="s">
        <v>491</v>
      </c>
      <c r="M272" s="768" t="s">
        <v>491</v>
      </c>
      <c r="N272" s="768" t="s">
        <v>491</v>
      </c>
      <c r="O272" s="768"/>
      <c r="P272" s="768"/>
      <c r="Q272" s="768" t="s">
        <v>491</v>
      </c>
      <c r="R272" s="768" t="s">
        <v>491</v>
      </c>
      <c r="S272" s="768" t="s">
        <v>491</v>
      </c>
      <c r="T272" s="768" t="s">
        <v>491</v>
      </c>
      <c r="U272" s="768" t="s">
        <v>491</v>
      </c>
      <c r="V272" s="768"/>
      <c r="W272" s="768"/>
      <c r="X272" s="768" t="s">
        <v>491</v>
      </c>
      <c r="Y272" s="1038" t="s">
        <v>491</v>
      </c>
      <c r="Z272" s="1038" t="s">
        <v>491</v>
      </c>
      <c r="AA272" s="1038" t="s">
        <v>493</v>
      </c>
      <c r="AB272" s="768" t="s">
        <v>491</v>
      </c>
      <c r="AC272" s="768"/>
      <c r="AD272" s="768"/>
      <c r="AE272" s="768" t="s">
        <v>491</v>
      </c>
      <c r="AF272" s="768" t="s">
        <v>491</v>
      </c>
      <c r="AG272" s="762"/>
      <c r="AH272" s="628">
        <v>75</v>
      </c>
      <c r="AI272" s="629">
        <v>0</v>
      </c>
    </row>
    <row r="273" spans="1:35" ht="21" customHeight="1">
      <c r="A273" s="442"/>
      <c r="B273" s="153" t="s">
        <v>729</v>
      </c>
      <c r="C273" s="768" t="s">
        <v>491</v>
      </c>
      <c r="D273" s="768" t="s">
        <v>491</v>
      </c>
      <c r="E273" s="768" t="s">
        <v>491</v>
      </c>
      <c r="F273" s="768" t="s">
        <v>491</v>
      </c>
      <c r="G273" s="768" t="s">
        <v>491</v>
      </c>
      <c r="H273" s="768"/>
      <c r="I273" s="768"/>
      <c r="J273" s="768" t="s">
        <v>491</v>
      </c>
      <c r="K273" s="768" t="s">
        <v>491</v>
      </c>
      <c r="L273" s="768" t="s">
        <v>491</v>
      </c>
      <c r="M273" s="768" t="s">
        <v>491</v>
      </c>
      <c r="N273" s="768" t="s">
        <v>491</v>
      </c>
      <c r="O273" s="768"/>
      <c r="P273" s="768"/>
      <c r="Q273" s="768" t="s">
        <v>491</v>
      </c>
      <c r="R273" s="768" t="s">
        <v>491</v>
      </c>
      <c r="S273" s="768" t="s">
        <v>491</v>
      </c>
      <c r="T273" s="768" t="s">
        <v>491</v>
      </c>
      <c r="U273" s="970" t="s">
        <v>491</v>
      </c>
      <c r="V273" s="768"/>
      <c r="W273" s="768"/>
      <c r="X273" s="768" t="s">
        <v>491</v>
      </c>
      <c r="Y273" s="768" t="s">
        <v>491</v>
      </c>
      <c r="Z273" s="768" t="s">
        <v>491</v>
      </c>
      <c r="AA273" s="768" t="s">
        <v>491</v>
      </c>
      <c r="AB273" s="768" t="s">
        <v>491</v>
      </c>
      <c r="AC273" s="768"/>
      <c r="AD273" s="768"/>
      <c r="AE273" s="768" t="s">
        <v>491</v>
      </c>
      <c r="AF273" s="768" t="s">
        <v>491</v>
      </c>
      <c r="AG273" s="762"/>
      <c r="AH273" s="628">
        <v>68</v>
      </c>
      <c r="AI273" s="629">
        <v>0</v>
      </c>
    </row>
    <row r="274" spans="1:35" ht="21" customHeight="1">
      <c r="A274" s="134"/>
      <c r="B274" s="134" t="s">
        <v>730</v>
      </c>
      <c r="C274" s="768" t="s">
        <v>491</v>
      </c>
      <c r="D274" s="768" t="s">
        <v>491</v>
      </c>
      <c r="E274" s="768" t="s">
        <v>491</v>
      </c>
      <c r="F274" s="768" t="s">
        <v>491</v>
      </c>
      <c r="G274" s="768" t="s">
        <v>491</v>
      </c>
      <c r="H274" s="768"/>
      <c r="I274" s="768"/>
      <c r="J274" s="768" t="s">
        <v>491</v>
      </c>
      <c r="K274" s="768" t="s">
        <v>491</v>
      </c>
      <c r="L274" s="768" t="s">
        <v>491</v>
      </c>
      <c r="M274" s="768" t="s">
        <v>491</v>
      </c>
      <c r="N274" s="768" t="s">
        <v>491</v>
      </c>
      <c r="O274" s="768"/>
      <c r="P274" s="768"/>
      <c r="Q274" s="768" t="s">
        <v>491</v>
      </c>
      <c r="R274" s="768" t="s">
        <v>491</v>
      </c>
      <c r="S274" s="768" t="s">
        <v>491</v>
      </c>
      <c r="T274" s="768" t="s">
        <v>491</v>
      </c>
      <c r="U274" s="768" t="s">
        <v>491</v>
      </c>
      <c r="V274" s="768"/>
      <c r="W274" s="768"/>
      <c r="X274" s="768" t="s">
        <v>491</v>
      </c>
      <c r="Y274" s="768" t="s">
        <v>491</v>
      </c>
      <c r="Z274" s="768" t="s">
        <v>491</v>
      </c>
      <c r="AA274" s="768" t="s">
        <v>491</v>
      </c>
      <c r="AB274" s="768" t="s">
        <v>491</v>
      </c>
      <c r="AC274" s="768"/>
      <c r="AD274" s="768"/>
      <c r="AE274" s="768" t="s">
        <v>491</v>
      </c>
      <c r="AF274" s="768" t="s">
        <v>491</v>
      </c>
      <c r="AG274" s="848"/>
      <c r="AH274" s="849">
        <v>82</v>
      </c>
      <c r="AI274" s="850">
        <v>18</v>
      </c>
    </row>
    <row r="275" spans="1:35" ht="21" customHeight="1" thickBot="1">
      <c r="A275" s="917"/>
      <c r="B275" s="917" t="s">
        <v>731</v>
      </c>
      <c r="C275" s="950" t="s">
        <v>491</v>
      </c>
      <c r="D275" s="867" t="s">
        <v>491</v>
      </c>
      <c r="E275" s="867" t="s">
        <v>491</v>
      </c>
      <c r="F275" s="867" t="s">
        <v>491</v>
      </c>
      <c r="G275" s="867" t="s">
        <v>491</v>
      </c>
      <c r="H275" s="867"/>
      <c r="I275" s="867"/>
      <c r="J275" s="867" t="s">
        <v>491</v>
      </c>
      <c r="K275" s="867" t="s">
        <v>491</v>
      </c>
      <c r="L275" s="867" t="s">
        <v>491</v>
      </c>
      <c r="M275" s="867" t="s">
        <v>491</v>
      </c>
      <c r="N275" s="867" t="s">
        <v>491</v>
      </c>
      <c r="O275" s="867"/>
      <c r="P275" s="867"/>
      <c r="Q275" s="867" t="s">
        <v>491</v>
      </c>
      <c r="R275" s="867" t="s">
        <v>491</v>
      </c>
      <c r="S275" s="867" t="s">
        <v>491</v>
      </c>
      <c r="T275" s="867" t="s">
        <v>491</v>
      </c>
      <c r="U275" s="867" t="s">
        <v>491</v>
      </c>
      <c r="V275" s="867"/>
      <c r="W275" s="867"/>
      <c r="X275" s="867" t="s">
        <v>491</v>
      </c>
      <c r="Y275" s="867" t="s">
        <v>491</v>
      </c>
      <c r="Z275" s="867" t="s">
        <v>491</v>
      </c>
      <c r="AA275" s="867" t="s">
        <v>491</v>
      </c>
      <c r="AB275" s="867" t="s">
        <v>491</v>
      </c>
      <c r="AC275" s="867"/>
      <c r="AD275" s="867"/>
      <c r="AE275" s="867" t="s">
        <v>491</v>
      </c>
      <c r="AF275" s="867" t="s">
        <v>491</v>
      </c>
      <c r="AG275" s="875"/>
      <c r="AH275" s="914">
        <v>185</v>
      </c>
      <c r="AI275" s="915">
        <v>37</v>
      </c>
    </row>
  </sheetData>
  <sheetProtection password="CC44" sheet="1" objects="1" scenarios="1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59" max="16383" man="1"/>
  </rowBreak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40"/>
  <dimension ref="A1:AL275"/>
  <sheetViews>
    <sheetView topLeftCell="A209" zoomScale="70" zoomScaleNormal="70" workbookViewId="0">
      <selection activeCell="L268" sqref="L268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449</v>
      </c>
    </row>
    <row r="2" spans="1:35" ht="13.35" customHeight="1">
      <c r="B2" s="443" t="s">
        <v>450</v>
      </c>
      <c r="C2" s="444" t="s">
        <v>451</v>
      </c>
      <c r="D2" s="445"/>
      <c r="E2" s="446" t="s">
        <v>452</v>
      </c>
      <c r="F2" s="447"/>
      <c r="G2" s="448"/>
      <c r="H2" s="448"/>
      <c r="I2" s="448"/>
      <c r="J2" s="448"/>
      <c r="K2" s="449"/>
      <c r="L2" s="450" t="s">
        <v>453</v>
      </c>
      <c r="M2" s="451"/>
      <c r="N2" s="380"/>
      <c r="O2" s="452" t="s">
        <v>454</v>
      </c>
      <c r="P2" s="453"/>
      <c r="Q2" s="454"/>
      <c r="R2" s="455"/>
      <c r="S2" s="456" t="s">
        <v>455</v>
      </c>
      <c r="T2" s="457"/>
      <c r="U2" s="458"/>
      <c r="V2" s="457"/>
      <c r="W2" s="459" t="s">
        <v>456</v>
      </c>
      <c r="X2" s="368"/>
      <c r="Y2" s="460"/>
      <c r="Z2" s="461" t="s">
        <v>457</v>
      </c>
      <c r="AA2" s="462"/>
      <c r="AB2" s="463"/>
      <c r="AC2" s="464"/>
      <c r="AD2" s="465" t="s">
        <v>458</v>
      </c>
      <c r="AE2" s="466"/>
      <c r="AF2" s="466"/>
      <c r="AG2" s="467"/>
    </row>
    <row r="3" spans="1:35" ht="13.35" customHeight="1">
      <c r="A3" s="1"/>
      <c r="B3" s="468" t="s">
        <v>459</v>
      </c>
      <c r="C3" s="469" t="s">
        <v>460</v>
      </c>
      <c r="D3" s="470"/>
      <c r="E3" s="471"/>
      <c r="F3" s="472"/>
      <c r="G3" s="472"/>
      <c r="H3" s="473" t="s">
        <v>461</v>
      </c>
      <c r="I3" s="474"/>
      <c r="J3" s="474"/>
      <c r="K3" s="475"/>
      <c r="L3" s="476" t="s">
        <v>462</v>
      </c>
      <c r="M3" s="157"/>
      <c r="N3" s="477"/>
      <c r="O3" s="474"/>
      <c r="P3" s="474"/>
      <c r="Q3" s="474"/>
      <c r="R3" s="474"/>
      <c r="S3" s="55"/>
      <c r="T3" s="478" t="s">
        <v>463</v>
      </c>
      <c r="U3" s="479"/>
      <c r="V3" s="480"/>
      <c r="W3" s="481"/>
      <c r="X3" s="482"/>
      <c r="Y3" s="473" t="s">
        <v>464</v>
      </c>
      <c r="Z3" s="157"/>
      <c r="AA3" s="157"/>
      <c r="AB3" s="483"/>
      <c r="AC3" s="484"/>
      <c r="AD3" s="485" t="s">
        <v>465</v>
      </c>
      <c r="AE3" s="486"/>
      <c r="AF3" s="486"/>
      <c r="AG3" s="487"/>
    </row>
    <row r="4" spans="1:35" ht="13.35" customHeight="1">
      <c r="A4" s="1" t="s">
        <v>466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 t="s">
        <v>14</v>
      </c>
      <c r="B5" s="1"/>
    </row>
    <row r="6" spans="1:35" ht="21.95" customHeight="1">
      <c r="A6" s="488" t="s">
        <v>467</v>
      </c>
      <c r="B6" s="157"/>
      <c r="C6" s="489"/>
      <c r="D6" s="488" t="s">
        <v>468</v>
      </c>
      <c r="E6" s="157"/>
      <c r="F6" s="157"/>
      <c r="G6" s="157"/>
      <c r="H6" s="490"/>
      <c r="I6" s="157"/>
      <c r="J6" s="157"/>
      <c r="K6" s="157"/>
      <c r="L6" s="488" t="s">
        <v>769</v>
      </c>
      <c r="M6" s="157"/>
      <c r="N6" s="157"/>
      <c r="O6" s="157"/>
      <c r="P6" s="157"/>
      <c r="Q6" s="157"/>
      <c r="R6" s="157"/>
      <c r="S6" s="489"/>
      <c r="T6" s="491" t="s">
        <v>470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35" ht="21.95" customHeight="1">
      <c r="A7" s="488" t="s">
        <v>471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472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35" ht="21.95" customHeight="1">
      <c r="A8" s="496" t="s">
        <v>473</v>
      </c>
      <c r="L8" s="496"/>
      <c r="AB8" s="1"/>
    </row>
    <row r="9" spans="1:35" ht="21.95" customHeight="1" thickBot="1">
      <c r="B9" s="497" t="s">
        <v>474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35" ht="21.95" customHeight="1">
      <c r="A10" s="442" t="s">
        <v>475</v>
      </c>
      <c r="B10" s="297" t="s">
        <v>476</v>
      </c>
      <c r="C10" s="787">
        <v>1</v>
      </c>
      <c r="D10" s="787">
        <v>2</v>
      </c>
      <c r="E10" s="787">
        <v>3</v>
      </c>
      <c r="F10" s="788">
        <v>4</v>
      </c>
      <c r="G10" s="788">
        <v>5</v>
      </c>
      <c r="H10" s="787">
        <v>6</v>
      </c>
      <c r="I10" s="766">
        <v>7</v>
      </c>
      <c r="J10" s="766">
        <v>8</v>
      </c>
      <c r="K10" s="787">
        <v>9</v>
      </c>
      <c r="L10" s="787">
        <v>10</v>
      </c>
      <c r="M10" s="788">
        <v>11</v>
      </c>
      <c r="N10" s="788">
        <v>12</v>
      </c>
      <c r="O10" s="787">
        <v>13</v>
      </c>
      <c r="P10" s="766">
        <v>14</v>
      </c>
      <c r="Q10" s="766">
        <v>15</v>
      </c>
      <c r="R10" s="787">
        <v>16</v>
      </c>
      <c r="S10" s="787">
        <v>17</v>
      </c>
      <c r="T10" s="788">
        <v>18</v>
      </c>
      <c r="U10" s="788">
        <v>19</v>
      </c>
      <c r="V10" s="766">
        <v>20</v>
      </c>
      <c r="W10" s="766">
        <v>21</v>
      </c>
      <c r="X10" s="766">
        <v>22</v>
      </c>
      <c r="Y10" s="787">
        <v>23</v>
      </c>
      <c r="Z10" s="787">
        <v>24</v>
      </c>
      <c r="AA10" s="788">
        <v>25</v>
      </c>
      <c r="AB10" s="788">
        <v>26</v>
      </c>
      <c r="AC10" s="787">
        <v>27</v>
      </c>
      <c r="AD10" s="766">
        <v>28</v>
      </c>
      <c r="AE10" s="766">
        <v>29</v>
      </c>
      <c r="AF10" s="787">
        <v>30</v>
      </c>
      <c r="AG10" s="787">
        <v>31</v>
      </c>
      <c r="AH10" s="498" t="s">
        <v>477</v>
      </c>
      <c r="AI10" s="499" t="s">
        <v>478</v>
      </c>
    </row>
    <row r="11" spans="1:35" ht="21.95" customHeight="1">
      <c r="A11" s="500"/>
      <c r="B11" s="501"/>
      <c r="C11" s="768"/>
      <c r="D11" s="768"/>
      <c r="E11" s="768"/>
      <c r="F11" s="768"/>
      <c r="G11" s="768"/>
      <c r="H11" s="768"/>
      <c r="I11" s="768"/>
      <c r="J11" s="768"/>
      <c r="K11" s="768"/>
      <c r="L11" s="768"/>
      <c r="M11" s="768"/>
      <c r="N11" s="768"/>
      <c r="O11" s="768"/>
      <c r="P11" s="768"/>
      <c r="Q11" s="768"/>
      <c r="R11" s="768"/>
      <c r="S11" s="768"/>
      <c r="T11" s="768"/>
      <c r="U11" s="768"/>
      <c r="V11" s="768"/>
      <c r="W11" s="768"/>
      <c r="X11" s="768"/>
      <c r="Y11" s="768"/>
      <c r="Z11" s="768"/>
      <c r="AA11" s="768"/>
      <c r="AB11" s="768"/>
      <c r="AC11" s="768"/>
      <c r="AD11" s="768"/>
      <c r="AE11" s="768"/>
      <c r="AF11" s="768"/>
      <c r="AG11" s="502"/>
      <c r="AH11" s="924"/>
      <c r="AI11" s="925"/>
    </row>
    <row r="12" spans="1:35" ht="21.95" customHeight="1">
      <c r="A12" s="503" t="s">
        <v>479</v>
      </c>
      <c r="B12" s="457"/>
      <c r="C12" s="504"/>
      <c r="D12" s="504"/>
      <c r="E12" s="504"/>
      <c r="F12" s="504"/>
      <c r="G12" s="504"/>
      <c r="H12" s="504"/>
      <c r="I12" s="504"/>
      <c r="J12" s="504"/>
      <c r="K12" s="504"/>
      <c r="L12" s="504"/>
      <c r="M12" s="504"/>
      <c r="N12" s="504"/>
      <c r="O12" s="504"/>
      <c r="P12" s="504"/>
      <c r="Q12" s="504"/>
      <c r="R12" s="504"/>
      <c r="S12" s="504"/>
      <c r="T12" s="504"/>
      <c r="U12" s="504"/>
      <c r="V12" s="504"/>
      <c r="W12" s="504"/>
      <c r="X12" s="504"/>
      <c r="Y12" s="504"/>
      <c r="Z12" s="504"/>
      <c r="AA12" s="504"/>
      <c r="AB12" s="504"/>
      <c r="AC12" s="504"/>
      <c r="AD12" s="504"/>
      <c r="AE12" s="504"/>
      <c r="AF12" s="504"/>
      <c r="AG12" s="505"/>
      <c r="AH12" s="506"/>
      <c r="AI12" s="507"/>
    </row>
    <row r="13" spans="1:35" ht="21.95" customHeight="1">
      <c r="A13" s="508">
        <v>8546</v>
      </c>
      <c r="B13" s="509" t="s">
        <v>480</v>
      </c>
      <c r="C13" s="764">
        <v>1</v>
      </c>
      <c r="D13" s="764">
        <v>1</v>
      </c>
      <c r="E13" s="764">
        <v>1</v>
      </c>
      <c r="F13" s="764"/>
      <c r="G13" s="764"/>
      <c r="H13" s="768">
        <v>2</v>
      </c>
      <c r="I13" s="764">
        <v>2</v>
      </c>
      <c r="J13" s="1131" t="s">
        <v>491</v>
      </c>
      <c r="K13" s="764">
        <v>2</v>
      </c>
      <c r="L13" s="764">
        <v>2</v>
      </c>
      <c r="M13" s="764" t="s">
        <v>484</v>
      </c>
      <c r="N13" s="764" t="s">
        <v>484</v>
      </c>
      <c r="O13" s="764" t="s">
        <v>481</v>
      </c>
      <c r="P13" s="764" t="s">
        <v>481</v>
      </c>
      <c r="Q13" s="764" t="s">
        <v>481</v>
      </c>
      <c r="R13" s="764" t="s">
        <v>481</v>
      </c>
      <c r="S13" s="764" t="s">
        <v>481</v>
      </c>
      <c r="T13" s="764"/>
      <c r="U13" s="764"/>
      <c r="V13" s="972">
        <v>3</v>
      </c>
      <c r="W13" s="972">
        <v>3</v>
      </c>
      <c r="X13" s="972">
        <v>3</v>
      </c>
      <c r="Y13" s="972">
        <v>3</v>
      </c>
      <c r="Z13" s="972">
        <v>3</v>
      </c>
      <c r="AA13" s="972"/>
      <c r="AB13" s="972"/>
      <c r="AC13" s="764">
        <v>4</v>
      </c>
      <c r="AD13" s="764">
        <v>4</v>
      </c>
      <c r="AE13" s="764">
        <v>4</v>
      </c>
      <c r="AF13" s="764">
        <v>4</v>
      </c>
      <c r="AG13" s="771">
        <v>4</v>
      </c>
      <c r="AH13" s="924">
        <v>47</v>
      </c>
      <c r="AI13" s="925">
        <v>37</v>
      </c>
    </row>
    <row r="14" spans="1:35" ht="21.95" customHeight="1">
      <c r="A14" s="500">
        <v>8546</v>
      </c>
      <c r="B14" s="347" t="s">
        <v>483</v>
      </c>
      <c r="C14" s="768">
        <v>4</v>
      </c>
      <c r="D14" s="768">
        <v>4</v>
      </c>
      <c r="E14" s="768">
        <v>4</v>
      </c>
      <c r="F14" s="768" t="s">
        <v>482</v>
      </c>
      <c r="G14" s="768" t="s">
        <v>482</v>
      </c>
      <c r="H14" s="768" t="s">
        <v>481</v>
      </c>
      <c r="I14" s="768" t="s">
        <v>481</v>
      </c>
      <c r="J14" s="768" t="s">
        <v>481</v>
      </c>
      <c r="K14" s="768" t="s">
        <v>481</v>
      </c>
      <c r="L14" s="768" t="s">
        <v>481</v>
      </c>
      <c r="M14" s="768"/>
      <c r="N14" s="768"/>
      <c r="O14" s="768">
        <v>1</v>
      </c>
      <c r="P14" s="768">
        <v>1</v>
      </c>
      <c r="Q14" s="768">
        <v>1</v>
      </c>
      <c r="R14" s="768">
        <v>1</v>
      </c>
      <c r="S14" s="768">
        <v>1</v>
      </c>
      <c r="T14" s="768"/>
      <c r="U14" s="768"/>
      <c r="V14" s="768">
        <v>2</v>
      </c>
      <c r="W14" s="768">
        <v>2</v>
      </c>
      <c r="X14" s="768">
        <v>2</v>
      </c>
      <c r="Y14" s="768">
        <v>2</v>
      </c>
      <c r="Z14" s="768">
        <v>2</v>
      </c>
      <c r="AA14" s="768" t="s">
        <v>484</v>
      </c>
      <c r="AB14" s="768" t="s">
        <v>484</v>
      </c>
      <c r="AC14" s="768" t="s">
        <v>481</v>
      </c>
      <c r="AD14" s="768" t="s">
        <v>481</v>
      </c>
      <c r="AE14" s="768" t="s">
        <v>481</v>
      </c>
      <c r="AF14" s="768" t="s">
        <v>481</v>
      </c>
      <c r="AG14" s="769" t="s">
        <v>481</v>
      </c>
      <c r="AH14" s="924">
        <v>82.5</v>
      </c>
      <c r="AI14" s="925">
        <v>37</v>
      </c>
    </row>
    <row r="15" spans="1:35" ht="21.95" customHeight="1">
      <c r="A15" s="500">
        <v>8546</v>
      </c>
      <c r="B15" s="347" t="s">
        <v>174</v>
      </c>
      <c r="C15" s="768" t="s">
        <v>481</v>
      </c>
      <c r="D15" s="768" t="s">
        <v>481</v>
      </c>
      <c r="E15" s="768" t="s">
        <v>481</v>
      </c>
      <c r="F15" s="768"/>
      <c r="G15" s="768"/>
      <c r="H15" s="768">
        <v>1</v>
      </c>
      <c r="I15" s="768">
        <v>1</v>
      </c>
      <c r="J15" s="768">
        <v>1</v>
      </c>
      <c r="K15" s="977">
        <v>1</v>
      </c>
      <c r="L15" s="977">
        <v>1</v>
      </c>
      <c r="M15" s="768"/>
      <c r="N15" s="768"/>
      <c r="O15" s="768">
        <v>2</v>
      </c>
      <c r="P15" s="768">
        <v>2</v>
      </c>
      <c r="Q15" s="768">
        <v>2</v>
      </c>
      <c r="R15" s="768">
        <v>2</v>
      </c>
      <c r="S15" s="768">
        <v>2</v>
      </c>
      <c r="T15" s="768" t="s">
        <v>484</v>
      </c>
      <c r="U15" s="768" t="s">
        <v>484</v>
      </c>
      <c r="V15" s="768" t="s">
        <v>481</v>
      </c>
      <c r="W15" s="768" t="s">
        <v>481</v>
      </c>
      <c r="X15" s="768" t="s">
        <v>481</v>
      </c>
      <c r="Y15" s="768" t="s">
        <v>481</v>
      </c>
      <c r="Z15" s="768" t="s">
        <v>481</v>
      </c>
      <c r="AA15" s="768"/>
      <c r="AB15" s="768"/>
      <c r="AC15" s="970">
        <v>3</v>
      </c>
      <c r="AD15" s="970">
        <v>3</v>
      </c>
      <c r="AE15" s="970">
        <v>3</v>
      </c>
      <c r="AF15" s="970">
        <v>3</v>
      </c>
      <c r="AG15" s="971">
        <v>3</v>
      </c>
      <c r="AH15" s="924">
        <v>7.25</v>
      </c>
      <c r="AI15" s="925">
        <v>37</v>
      </c>
    </row>
    <row r="16" spans="1:35" ht="21.95" customHeight="1">
      <c r="A16" s="500">
        <v>8546</v>
      </c>
      <c r="B16" s="347" t="s">
        <v>486</v>
      </c>
      <c r="C16" s="768" t="s">
        <v>481</v>
      </c>
      <c r="D16" s="768" t="s">
        <v>481</v>
      </c>
      <c r="E16" s="768" t="s">
        <v>481</v>
      </c>
      <c r="F16" s="768"/>
      <c r="G16" s="768"/>
      <c r="H16" s="768">
        <v>3</v>
      </c>
      <c r="I16" s="768">
        <v>3</v>
      </c>
      <c r="J16" s="768">
        <v>3</v>
      </c>
      <c r="K16" s="768">
        <v>3</v>
      </c>
      <c r="L16" s="768">
        <v>3</v>
      </c>
      <c r="M16" s="768"/>
      <c r="N16" s="768"/>
      <c r="O16" s="768">
        <v>4</v>
      </c>
      <c r="P16" s="768">
        <v>4</v>
      </c>
      <c r="Q16" s="768">
        <v>4</v>
      </c>
      <c r="R16" s="768">
        <v>4</v>
      </c>
      <c r="S16" s="768">
        <v>4</v>
      </c>
      <c r="T16" s="768" t="s">
        <v>482</v>
      </c>
      <c r="U16" s="768" t="s">
        <v>482</v>
      </c>
      <c r="V16" s="768" t="s">
        <v>481</v>
      </c>
      <c r="W16" s="768" t="s">
        <v>481</v>
      </c>
      <c r="X16" s="768" t="s">
        <v>481</v>
      </c>
      <c r="Y16" s="768" t="s">
        <v>481</v>
      </c>
      <c r="Z16" s="768" t="s">
        <v>481</v>
      </c>
      <c r="AA16" s="768"/>
      <c r="AB16" s="768"/>
      <c r="AC16" s="768">
        <v>1</v>
      </c>
      <c r="AD16" s="768">
        <v>1</v>
      </c>
      <c r="AE16" s="768">
        <v>1</v>
      </c>
      <c r="AF16" s="768">
        <v>1</v>
      </c>
      <c r="AG16" s="769">
        <v>1</v>
      </c>
      <c r="AH16" s="924">
        <v>67.25</v>
      </c>
      <c r="AI16" s="925">
        <v>37</v>
      </c>
    </row>
    <row r="17" spans="1:37" ht="21.95" customHeight="1">
      <c r="A17" s="500">
        <v>8546</v>
      </c>
      <c r="B17" s="347" t="s">
        <v>487</v>
      </c>
      <c r="C17" s="768">
        <v>2</v>
      </c>
      <c r="D17" s="768">
        <v>2</v>
      </c>
      <c r="E17" s="768">
        <v>2</v>
      </c>
      <c r="F17" s="768" t="s">
        <v>484</v>
      </c>
      <c r="G17" s="768" t="s">
        <v>484</v>
      </c>
      <c r="H17" s="768" t="s">
        <v>481</v>
      </c>
      <c r="I17" s="768" t="s">
        <v>481</v>
      </c>
      <c r="J17" s="768" t="s">
        <v>481</v>
      </c>
      <c r="K17" s="768" t="s">
        <v>481</v>
      </c>
      <c r="L17" s="768" t="s">
        <v>481</v>
      </c>
      <c r="M17" s="1044" t="s">
        <v>482</v>
      </c>
      <c r="N17" s="1044" t="s">
        <v>482</v>
      </c>
      <c r="O17" s="768">
        <v>3</v>
      </c>
      <c r="P17" s="768">
        <v>3</v>
      </c>
      <c r="Q17" s="768">
        <v>3</v>
      </c>
      <c r="R17" s="768">
        <v>3</v>
      </c>
      <c r="S17" s="768">
        <v>3</v>
      </c>
      <c r="T17" s="768"/>
      <c r="U17" s="768"/>
      <c r="V17" s="768">
        <v>4</v>
      </c>
      <c r="W17" s="768">
        <v>4</v>
      </c>
      <c r="X17" s="768">
        <v>4</v>
      </c>
      <c r="Y17" s="768">
        <v>4</v>
      </c>
      <c r="Z17" s="768">
        <v>4</v>
      </c>
      <c r="AA17" s="768" t="s">
        <v>482</v>
      </c>
      <c r="AB17" s="768" t="s">
        <v>482</v>
      </c>
      <c r="AC17" s="768" t="s">
        <v>481</v>
      </c>
      <c r="AD17" s="768" t="s">
        <v>481</v>
      </c>
      <c r="AE17" s="768" t="s">
        <v>481</v>
      </c>
      <c r="AF17" s="768" t="s">
        <v>481</v>
      </c>
      <c r="AG17" s="769" t="s">
        <v>481</v>
      </c>
      <c r="AH17" s="924">
        <v>78.75</v>
      </c>
      <c r="AI17" s="925">
        <v>37</v>
      </c>
    </row>
    <row r="18" spans="1:37" ht="21.95" customHeight="1">
      <c r="A18" s="500">
        <v>8546</v>
      </c>
      <c r="B18" s="347" t="s">
        <v>488</v>
      </c>
      <c r="C18" s="768">
        <v>3</v>
      </c>
      <c r="D18" s="768">
        <v>3</v>
      </c>
      <c r="E18" s="977">
        <v>3</v>
      </c>
      <c r="F18" s="768"/>
      <c r="G18" s="768"/>
      <c r="H18" s="970">
        <v>4</v>
      </c>
      <c r="I18" s="970">
        <v>4</v>
      </c>
      <c r="J18" s="970">
        <v>4</v>
      </c>
      <c r="K18" s="970">
        <v>4</v>
      </c>
      <c r="L18" s="970">
        <v>4</v>
      </c>
      <c r="M18" s="970" t="s">
        <v>482</v>
      </c>
      <c r="N18" s="970" t="s">
        <v>482</v>
      </c>
      <c r="O18" s="768" t="s">
        <v>481</v>
      </c>
      <c r="P18" s="768" t="s">
        <v>481</v>
      </c>
      <c r="Q18" s="768" t="s">
        <v>481</v>
      </c>
      <c r="R18" s="768" t="s">
        <v>481</v>
      </c>
      <c r="S18" s="768" t="s">
        <v>481</v>
      </c>
      <c r="T18" s="768"/>
      <c r="U18" s="768"/>
      <c r="V18" s="977">
        <v>1</v>
      </c>
      <c r="W18" s="977">
        <v>1</v>
      </c>
      <c r="X18" s="977">
        <v>1</v>
      </c>
      <c r="Y18" s="977">
        <v>1</v>
      </c>
      <c r="Z18" s="977">
        <v>1</v>
      </c>
      <c r="AA18" s="768"/>
      <c r="AB18" s="768"/>
      <c r="AC18" s="768">
        <v>2</v>
      </c>
      <c r="AD18" s="768">
        <v>2</v>
      </c>
      <c r="AE18" s="768">
        <v>2</v>
      </c>
      <c r="AF18" s="768">
        <v>2</v>
      </c>
      <c r="AG18" s="769">
        <v>2</v>
      </c>
      <c r="AH18" s="924">
        <v>13</v>
      </c>
      <c r="AI18" s="925">
        <v>37</v>
      </c>
    </row>
    <row r="19" spans="1:37" ht="21.95" customHeight="1">
      <c r="A19" s="512" t="s">
        <v>489</v>
      </c>
      <c r="B19" s="513"/>
      <c r="C19" s="504"/>
      <c r="D19" s="504"/>
      <c r="E19" s="504"/>
      <c r="F19" s="504"/>
      <c r="G19" s="504"/>
      <c r="H19" s="504"/>
      <c r="I19" s="504"/>
      <c r="J19" s="504"/>
      <c r="K19" s="504"/>
      <c r="L19" s="504"/>
      <c r="M19" s="504"/>
      <c r="N19" s="504"/>
      <c r="O19" s="504"/>
      <c r="P19" s="504"/>
      <c r="Q19" s="504"/>
      <c r="R19" s="504"/>
      <c r="S19" s="504"/>
      <c r="T19" s="504"/>
      <c r="U19" s="504"/>
      <c r="V19" s="504"/>
      <c r="W19" s="504"/>
      <c r="X19" s="504"/>
      <c r="Y19" s="504"/>
      <c r="Z19" s="504"/>
      <c r="AA19" s="504"/>
      <c r="AB19" s="504"/>
      <c r="AC19" s="504"/>
      <c r="AD19" s="504"/>
      <c r="AE19" s="504"/>
      <c r="AF19" s="504"/>
      <c r="AG19" s="505"/>
      <c r="AH19" s="506"/>
      <c r="AI19" s="507"/>
    </row>
    <row r="20" spans="1:37" ht="21.95" customHeight="1">
      <c r="A20" s="500">
        <v>8500</v>
      </c>
      <c r="B20" s="186" t="s">
        <v>188</v>
      </c>
      <c r="C20" s="768" t="s">
        <v>491</v>
      </c>
      <c r="D20" s="768" t="s">
        <v>491</v>
      </c>
      <c r="E20" s="768" t="s">
        <v>491</v>
      </c>
      <c r="F20" s="768"/>
      <c r="G20" s="768"/>
      <c r="H20" s="768" t="s">
        <v>491</v>
      </c>
      <c r="I20" s="768" t="s">
        <v>491</v>
      </c>
      <c r="J20" s="768" t="s">
        <v>491</v>
      </c>
      <c r="K20" s="768" t="s">
        <v>485</v>
      </c>
      <c r="L20" s="768" t="s">
        <v>485</v>
      </c>
      <c r="M20" s="768"/>
      <c r="N20" s="768"/>
      <c r="O20" s="768" t="s">
        <v>491</v>
      </c>
      <c r="P20" s="768" t="s">
        <v>491</v>
      </c>
      <c r="Q20" s="768" t="s">
        <v>491</v>
      </c>
      <c r="R20" s="768" t="s">
        <v>491</v>
      </c>
      <c r="S20" s="768" t="s">
        <v>491</v>
      </c>
      <c r="T20" s="768"/>
      <c r="U20" s="768"/>
      <c r="V20" s="768" t="s">
        <v>491</v>
      </c>
      <c r="W20" s="768" t="s">
        <v>491</v>
      </c>
      <c r="X20" s="768" t="s">
        <v>491</v>
      </c>
      <c r="Y20" s="768" t="s">
        <v>491</v>
      </c>
      <c r="Z20" s="768" t="s">
        <v>491</v>
      </c>
      <c r="AA20" s="768"/>
      <c r="AB20" s="768"/>
      <c r="AC20" s="768" t="s">
        <v>491</v>
      </c>
      <c r="AD20" s="768" t="s">
        <v>491</v>
      </c>
      <c r="AE20" s="768" t="s">
        <v>491</v>
      </c>
      <c r="AF20" s="768" t="s">
        <v>491</v>
      </c>
      <c r="AG20" s="768" t="s">
        <v>491</v>
      </c>
      <c r="AH20" s="924">
        <v>103.25</v>
      </c>
      <c r="AI20" s="925">
        <v>37</v>
      </c>
    </row>
    <row r="21" spans="1:37" ht="21.95" customHeight="1">
      <c r="A21" s="500">
        <v>8500</v>
      </c>
      <c r="B21" s="153" t="s">
        <v>492</v>
      </c>
      <c r="C21" s="768" t="s">
        <v>491</v>
      </c>
      <c r="D21" s="768" t="s">
        <v>491</v>
      </c>
      <c r="E21" s="768">
        <v>3</v>
      </c>
      <c r="F21" s="768"/>
      <c r="G21" s="768"/>
      <c r="H21" s="768" t="s">
        <v>491</v>
      </c>
      <c r="I21" s="768" t="s">
        <v>491</v>
      </c>
      <c r="J21" s="768">
        <v>2</v>
      </c>
      <c r="K21" s="768">
        <v>1</v>
      </c>
      <c r="L21" s="768">
        <v>1</v>
      </c>
      <c r="M21" s="768"/>
      <c r="N21" s="768"/>
      <c r="O21" s="970" t="s">
        <v>491</v>
      </c>
      <c r="P21" s="970" t="s">
        <v>491</v>
      </c>
      <c r="Q21" s="970" t="s">
        <v>491</v>
      </c>
      <c r="R21" s="970" t="s">
        <v>491</v>
      </c>
      <c r="S21" s="970" t="s">
        <v>491</v>
      </c>
      <c r="T21" s="970"/>
      <c r="U21" s="970"/>
      <c r="V21" s="768">
        <v>1</v>
      </c>
      <c r="W21" s="768">
        <v>1</v>
      </c>
      <c r="X21" s="768">
        <v>1</v>
      </c>
      <c r="Y21" s="768">
        <v>1</v>
      </c>
      <c r="Z21" s="768">
        <v>1</v>
      </c>
      <c r="AA21" s="768"/>
      <c r="AB21" s="768"/>
      <c r="AC21" s="768">
        <v>3</v>
      </c>
      <c r="AD21" s="768">
        <v>3</v>
      </c>
      <c r="AE21" s="768">
        <v>3</v>
      </c>
      <c r="AF21" s="768">
        <v>3</v>
      </c>
      <c r="AG21" s="768">
        <v>3</v>
      </c>
      <c r="AH21" s="924">
        <v>43</v>
      </c>
      <c r="AI21" s="925">
        <v>37</v>
      </c>
    </row>
    <row r="22" spans="1:37" ht="21.95" customHeight="1" thickBot="1">
      <c r="A22" s="952"/>
      <c r="B22" s="895"/>
      <c r="C22" s="867"/>
      <c r="D22" s="867"/>
      <c r="E22" s="867"/>
      <c r="F22" s="867"/>
      <c r="G22" s="867"/>
      <c r="H22" s="867"/>
      <c r="I22" s="867"/>
      <c r="J22" s="867"/>
      <c r="K22" s="867"/>
      <c r="L22" s="867"/>
      <c r="M22" s="867"/>
      <c r="N22" s="867"/>
      <c r="O22" s="867"/>
      <c r="P22" s="867"/>
      <c r="Q22" s="867"/>
      <c r="R22" s="867"/>
      <c r="S22" s="867"/>
      <c r="T22" s="867"/>
      <c r="U22" s="867"/>
      <c r="V22" s="867"/>
      <c r="W22" s="867"/>
      <c r="X22" s="867"/>
      <c r="Y22" s="867"/>
      <c r="Z22" s="867"/>
      <c r="AA22" s="867"/>
      <c r="AB22" s="867"/>
      <c r="AC22" s="867"/>
      <c r="AD22" s="867"/>
      <c r="AE22" s="867"/>
      <c r="AF22" s="867"/>
      <c r="AG22" s="867"/>
      <c r="AH22" s="953">
        <v>185</v>
      </c>
      <c r="AI22" s="515">
        <v>37</v>
      </c>
    </row>
    <row r="23" spans="1:37" ht="21.95" customHeight="1">
      <c r="A23" s="516"/>
      <c r="C23" s="517"/>
      <c r="D23" s="517"/>
      <c r="E23" s="517"/>
      <c r="F23" s="517"/>
      <c r="G23" s="517"/>
      <c r="H23" s="517"/>
      <c r="I23" s="517"/>
      <c r="J23" s="517"/>
      <c r="K23" s="517"/>
      <c r="L23" s="517"/>
      <c r="M23" s="517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17"/>
      <c r="Y23" s="517"/>
      <c r="Z23" s="517"/>
      <c r="AA23" s="517"/>
      <c r="AB23" s="517"/>
      <c r="AC23" s="517"/>
      <c r="AD23" s="517"/>
      <c r="AE23" s="517"/>
      <c r="AF23" s="517"/>
      <c r="AG23" s="517"/>
    </row>
    <row r="24" spans="1:37" ht="21.95" customHeight="1">
      <c r="A24" s="516"/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</row>
    <row r="25" spans="1:37" ht="21.95" customHeight="1">
      <c r="A25" s="516"/>
      <c r="C25" s="517"/>
      <c r="D25" s="517"/>
      <c r="E25" s="517"/>
      <c r="F25" s="517"/>
      <c r="G25" s="517"/>
      <c r="H25" s="517"/>
      <c r="I25" s="517"/>
      <c r="J25" s="517"/>
      <c r="K25" s="517"/>
      <c r="L25" s="517"/>
      <c r="M25" s="517"/>
      <c r="N25" s="517"/>
      <c r="O25" s="517"/>
      <c r="P25" s="517"/>
      <c r="Q25" s="517"/>
      <c r="R25" s="517"/>
      <c r="S25" s="517"/>
      <c r="T25" s="517"/>
      <c r="U25" s="517"/>
      <c r="V25" s="517"/>
      <c r="W25" s="517"/>
      <c r="X25" s="517"/>
      <c r="Y25" s="517"/>
      <c r="Z25" s="517"/>
      <c r="AA25" s="517"/>
      <c r="AB25" s="517"/>
      <c r="AC25" s="517"/>
      <c r="AD25" s="517"/>
      <c r="AE25" s="517"/>
      <c r="AF25" s="517"/>
      <c r="AG25" s="517"/>
    </row>
    <row r="26" spans="1:37" ht="21.95" customHeight="1">
      <c r="A26" s="516"/>
      <c r="C26" s="517"/>
      <c r="D26" s="517"/>
      <c r="E26" s="517"/>
      <c r="F26" s="517"/>
      <c r="G26" s="517"/>
      <c r="H26" s="517"/>
      <c r="I26" s="517"/>
      <c r="J26" s="517"/>
      <c r="K26" s="517"/>
      <c r="L26" s="517"/>
      <c r="M26" s="517"/>
      <c r="N26" s="517"/>
      <c r="O26" s="517"/>
      <c r="P26" s="517"/>
      <c r="Q26" s="517"/>
      <c r="R26" s="517"/>
      <c r="S26" s="517"/>
      <c r="T26" s="517"/>
      <c r="U26" s="517"/>
      <c r="V26" s="517"/>
      <c r="W26" s="517"/>
      <c r="X26" s="517"/>
      <c r="Y26" s="517"/>
      <c r="Z26" s="517"/>
      <c r="AA26" s="517"/>
      <c r="AB26" s="517"/>
      <c r="AC26" s="517"/>
      <c r="AD26" s="517"/>
      <c r="AE26" s="517"/>
      <c r="AF26" s="517"/>
      <c r="AG26" s="517"/>
    </row>
    <row r="27" spans="1:37" ht="21.95" customHeight="1">
      <c r="A27" s="516"/>
      <c r="C27" s="517"/>
      <c r="D27" s="517"/>
      <c r="E27" s="517"/>
      <c r="F27" s="517"/>
      <c r="G27" s="517"/>
      <c r="H27" s="517"/>
      <c r="I27" s="517"/>
      <c r="J27" s="517"/>
      <c r="K27" s="517"/>
      <c r="L27" s="517"/>
      <c r="M27" s="517"/>
      <c r="N27" s="517"/>
      <c r="O27" s="517"/>
      <c r="P27" s="517"/>
      <c r="Q27" s="517"/>
      <c r="R27" s="517"/>
      <c r="S27" s="517"/>
      <c r="T27" s="517"/>
      <c r="U27" s="517"/>
      <c r="V27" s="517"/>
      <c r="W27" s="517"/>
      <c r="X27" s="517"/>
      <c r="Y27" s="517"/>
      <c r="Z27" s="517"/>
      <c r="AA27" s="517"/>
      <c r="AB27" s="517"/>
      <c r="AC27" s="517"/>
      <c r="AD27" s="517"/>
      <c r="AE27" s="517"/>
      <c r="AF27" s="517"/>
      <c r="AG27" s="517"/>
    </row>
    <row r="28" spans="1:37" ht="21.95" customHeight="1">
      <c r="A28" s="516"/>
      <c r="C28" s="517"/>
      <c r="D28" s="517"/>
      <c r="E28" s="517"/>
      <c r="F28" s="517"/>
      <c r="G28" s="517"/>
      <c r="H28" s="517"/>
      <c r="I28" s="517"/>
      <c r="J28" s="517"/>
      <c r="K28" s="517"/>
      <c r="L28" s="517"/>
      <c r="M28" s="517"/>
      <c r="N28" s="517"/>
      <c r="O28" s="517"/>
      <c r="P28" s="517"/>
      <c r="Q28" s="517"/>
      <c r="R28" s="517"/>
      <c r="S28" s="517"/>
      <c r="T28" s="517"/>
      <c r="U28" s="517"/>
      <c r="V28" s="517"/>
      <c r="W28" s="517"/>
      <c r="X28" s="517"/>
      <c r="Y28" s="517"/>
      <c r="Z28" s="517"/>
      <c r="AA28" s="517"/>
      <c r="AB28" s="517"/>
      <c r="AC28" s="517"/>
      <c r="AD28" s="517"/>
      <c r="AE28" s="517"/>
      <c r="AF28" s="517"/>
      <c r="AG28" s="517"/>
    </row>
    <row r="29" spans="1:37" ht="21.95" customHeight="1">
      <c r="A29" s="516"/>
      <c r="C29" s="517"/>
      <c r="D29" s="517"/>
      <c r="E29" s="517"/>
      <c r="F29" s="517"/>
      <c r="G29" s="517"/>
      <c r="H29" s="517"/>
      <c r="I29" s="517"/>
      <c r="J29" s="517"/>
      <c r="K29" s="517"/>
      <c r="L29" s="517"/>
      <c r="M29" s="517"/>
      <c r="N29" s="517"/>
      <c r="O29" s="517"/>
      <c r="P29" s="517"/>
      <c r="Q29" s="517"/>
      <c r="R29" s="517"/>
      <c r="S29" s="517"/>
      <c r="T29" s="517"/>
      <c r="U29" s="517"/>
      <c r="V29" s="517"/>
      <c r="W29" s="517"/>
      <c r="X29" s="517"/>
      <c r="Y29" s="517"/>
      <c r="Z29" s="517"/>
      <c r="AA29" s="517"/>
      <c r="AB29" s="517"/>
      <c r="AC29" s="517"/>
      <c r="AD29" s="517"/>
      <c r="AE29" s="517"/>
      <c r="AF29" s="517"/>
      <c r="AG29" s="517"/>
    </row>
    <row r="30" spans="1:37" ht="21.95" customHeight="1" thickBot="1">
      <c r="A30" s="1" t="s">
        <v>494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495</v>
      </c>
      <c r="B31" s="518"/>
      <c r="C31" s="518"/>
      <c r="D31" s="425" t="s">
        <v>496</v>
      </c>
      <c r="E31" s="519"/>
      <c r="F31" s="519"/>
      <c r="G31" s="519"/>
      <c r="H31" s="519"/>
      <c r="I31" s="519"/>
      <c r="J31" s="519"/>
      <c r="K31" s="519"/>
      <c r="L31" s="519"/>
      <c r="M31" s="520" t="s">
        <v>497</v>
      </c>
      <c r="N31" s="519"/>
      <c r="O31" s="519"/>
      <c r="P31" s="519"/>
      <c r="Q31" s="519"/>
      <c r="R31" s="519"/>
      <c r="S31" s="521"/>
      <c r="T31" s="521" t="s">
        <v>770</v>
      </c>
      <c r="U31" s="519"/>
      <c r="V31" s="519"/>
      <c r="W31" s="519"/>
      <c r="X31" s="519"/>
      <c r="Y31" s="519"/>
      <c r="Z31" s="238"/>
      <c r="AA31" s="522" t="s">
        <v>499</v>
      </c>
      <c r="AB31" s="51"/>
      <c r="AC31" s="51"/>
      <c r="AD31" s="51"/>
      <c r="AE31" s="51"/>
      <c r="AF31" s="51"/>
      <c r="AG31" s="523"/>
      <c r="AK31" s="1"/>
    </row>
    <row r="32" spans="1:37" ht="21.95" customHeight="1">
      <c r="A32" s="524" t="s">
        <v>500</v>
      </c>
      <c r="B32" s="135"/>
      <c r="C32" s="135"/>
      <c r="D32" s="495" t="s">
        <v>501</v>
      </c>
      <c r="E32" s="491"/>
      <c r="F32" s="157"/>
      <c r="G32" s="157"/>
      <c r="H32" s="157"/>
      <c r="I32" s="157"/>
      <c r="J32" s="157"/>
      <c r="K32" s="157"/>
      <c r="L32" s="489"/>
      <c r="M32" s="525" t="s">
        <v>502</v>
      </c>
      <c r="N32" s="135"/>
      <c r="O32" s="526"/>
      <c r="P32" s="135"/>
      <c r="Q32" s="135"/>
      <c r="R32" s="135"/>
      <c r="S32" s="527"/>
      <c r="T32" s="495" t="s">
        <v>503</v>
      </c>
      <c r="U32" s="157"/>
      <c r="V32" s="491"/>
      <c r="W32" s="157"/>
      <c r="X32" s="157"/>
      <c r="Y32" s="157"/>
      <c r="Z32" s="489"/>
      <c r="AA32" s="1" t="s">
        <v>504</v>
      </c>
      <c r="AD32" s="496"/>
      <c r="AG32" s="528"/>
      <c r="AK32" s="1"/>
    </row>
    <row r="33" spans="1:38" ht="21.95" customHeight="1">
      <c r="A33" s="529" t="s">
        <v>505</v>
      </c>
      <c r="B33" s="157"/>
      <c r="C33" s="157"/>
      <c r="D33" s="157"/>
      <c r="E33" s="157"/>
      <c r="F33" s="157"/>
      <c r="G33" s="489"/>
      <c r="H33" s="495" t="s">
        <v>506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0" t="s">
        <v>507</v>
      </c>
      <c r="AA33" s="526"/>
      <c r="AB33" s="135"/>
      <c r="AC33" s="135"/>
      <c r="AD33" s="135"/>
      <c r="AE33" s="135"/>
      <c r="AF33" s="135"/>
      <c r="AG33" s="531"/>
      <c r="AK33" s="312"/>
    </row>
    <row r="34" spans="1:38" ht="21.95" customHeight="1" thickBot="1">
      <c r="A34" s="532" t="s">
        <v>508</v>
      </c>
      <c r="B34" s="53"/>
      <c r="C34" s="53"/>
      <c r="D34" s="53"/>
      <c r="E34" s="53"/>
      <c r="F34" s="53"/>
      <c r="G34" s="533"/>
      <c r="H34" s="534" t="s">
        <v>509</v>
      </c>
      <c r="I34" s="533"/>
      <c r="J34" s="53"/>
      <c r="K34" s="53"/>
      <c r="L34" s="53"/>
      <c r="M34" s="53"/>
      <c r="N34" s="53"/>
      <c r="O34" s="53"/>
      <c r="P34" s="53"/>
      <c r="Q34" s="535"/>
      <c r="R34" s="535"/>
      <c r="S34" s="535"/>
      <c r="T34" s="53"/>
      <c r="U34" s="534" t="s">
        <v>510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6"/>
      <c r="AK34" s="1"/>
    </row>
    <row r="35" spans="1:38" ht="21.95" customHeight="1" thickBot="1">
      <c r="B35" s="537" t="s">
        <v>474</v>
      </c>
      <c r="C35" s="538"/>
      <c r="D35" s="538"/>
      <c r="E35" s="538"/>
      <c r="F35" s="538"/>
      <c r="G35" s="538"/>
      <c r="H35" s="538"/>
      <c r="I35" s="538"/>
      <c r="J35" s="538"/>
      <c r="K35" s="538"/>
      <c r="L35" s="538"/>
      <c r="M35" s="538"/>
      <c r="N35" s="538"/>
      <c r="O35" s="538"/>
      <c r="P35" s="538"/>
      <c r="Q35" s="538"/>
      <c r="R35" s="538"/>
      <c r="S35" s="538"/>
      <c r="T35" s="538"/>
      <c r="U35" s="538"/>
      <c r="V35" s="538"/>
      <c r="W35" s="538"/>
      <c r="X35" s="538"/>
      <c r="Y35" s="538"/>
      <c r="Z35" s="538"/>
      <c r="AA35" s="538"/>
      <c r="AB35" s="538"/>
      <c r="AC35" s="538"/>
      <c r="AD35" s="538"/>
      <c r="AE35" s="538"/>
      <c r="AF35" s="538"/>
      <c r="AG35" s="538"/>
      <c r="AH35" s="1"/>
    </row>
    <row r="36" spans="1:38" ht="21.95" customHeight="1" thickBot="1">
      <c r="A36" s="539" t="s">
        <v>475</v>
      </c>
      <c r="B36" s="182" t="s">
        <v>476</v>
      </c>
      <c r="C36" s="787">
        <v>1</v>
      </c>
      <c r="D36" s="787">
        <v>2</v>
      </c>
      <c r="E36" s="787">
        <v>3</v>
      </c>
      <c r="F36" s="788">
        <v>4</v>
      </c>
      <c r="G36" s="788">
        <v>5</v>
      </c>
      <c r="H36" s="787">
        <v>6</v>
      </c>
      <c r="I36" s="787">
        <v>7</v>
      </c>
      <c r="J36" s="787">
        <v>8</v>
      </c>
      <c r="K36" s="787">
        <v>9</v>
      </c>
      <c r="L36" s="787">
        <v>10</v>
      </c>
      <c r="M36" s="788">
        <v>11</v>
      </c>
      <c r="N36" s="788">
        <v>12</v>
      </c>
      <c r="O36" s="787">
        <v>13</v>
      </c>
      <c r="P36" s="787">
        <v>14</v>
      </c>
      <c r="Q36" s="787">
        <v>15</v>
      </c>
      <c r="R36" s="787">
        <v>16</v>
      </c>
      <c r="S36" s="787">
        <v>17</v>
      </c>
      <c r="T36" s="788">
        <v>18</v>
      </c>
      <c r="U36" s="788">
        <v>19</v>
      </c>
      <c r="V36" s="787">
        <v>20</v>
      </c>
      <c r="W36" s="787">
        <v>21</v>
      </c>
      <c r="X36" s="787">
        <v>22</v>
      </c>
      <c r="Y36" s="787">
        <v>23</v>
      </c>
      <c r="Z36" s="787">
        <v>24</v>
      </c>
      <c r="AA36" s="788">
        <v>25</v>
      </c>
      <c r="AB36" s="788">
        <v>26</v>
      </c>
      <c r="AC36" s="787">
        <v>27</v>
      </c>
      <c r="AD36" s="787">
        <v>28</v>
      </c>
      <c r="AE36" s="787">
        <v>29</v>
      </c>
      <c r="AF36" s="787">
        <v>30</v>
      </c>
      <c r="AG36" s="787">
        <v>31</v>
      </c>
      <c r="AH36" s="498" t="s">
        <v>477</v>
      </c>
      <c r="AI36" s="499" t="s">
        <v>478</v>
      </c>
      <c r="AL36" t="s">
        <v>28</v>
      </c>
    </row>
    <row r="37" spans="1:38" ht="21.95" customHeight="1">
      <c r="A37" s="540">
        <v>1</v>
      </c>
      <c r="B37" s="45" t="s">
        <v>511</v>
      </c>
      <c r="C37" s="1016">
        <v>3</v>
      </c>
      <c r="D37" s="1016" t="s">
        <v>591</v>
      </c>
      <c r="E37" s="1016">
        <v>3</v>
      </c>
      <c r="F37" s="763"/>
      <c r="G37" s="763"/>
      <c r="H37" s="763">
        <v>11</v>
      </c>
      <c r="I37" s="763">
        <v>11</v>
      </c>
      <c r="J37" s="763">
        <v>11</v>
      </c>
      <c r="K37" s="763">
        <v>11</v>
      </c>
      <c r="L37" s="763">
        <v>11</v>
      </c>
      <c r="M37" s="763" t="s">
        <v>517</v>
      </c>
      <c r="N37" s="763" t="s">
        <v>517</v>
      </c>
      <c r="O37" s="763" t="s">
        <v>481</v>
      </c>
      <c r="P37" s="763" t="s">
        <v>481</v>
      </c>
      <c r="Q37" s="763" t="s">
        <v>481</v>
      </c>
      <c r="R37" s="763" t="s">
        <v>481</v>
      </c>
      <c r="S37" s="763" t="s">
        <v>481</v>
      </c>
      <c r="T37" s="763"/>
      <c r="U37" s="763"/>
      <c r="V37" s="1016">
        <v>8</v>
      </c>
      <c r="W37" s="1016">
        <v>8</v>
      </c>
      <c r="X37" s="1016">
        <v>8</v>
      </c>
      <c r="Y37" s="1016">
        <v>8</v>
      </c>
      <c r="Z37" s="1016">
        <v>8</v>
      </c>
      <c r="AA37" s="1016" t="s">
        <v>513</v>
      </c>
      <c r="AB37" s="1016" t="s">
        <v>513</v>
      </c>
      <c r="AC37" s="1016" t="s">
        <v>481</v>
      </c>
      <c r="AD37" s="1016" t="s">
        <v>481</v>
      </c>
      <c r="AE37" s="1016" t="s">
        <v>481</v>
      </c>
      <c r="AF37" s="1016" t="s">
        <v>481</v>
      </c>
      <c r="AG37" s="1227" t="s">
        <v>481</v>
      </c>
      <c r="AH37" s="924">
        <v>91.5</v>
      </c>
      <c r="AI37" s="925">
        <v>37</v>
      </c>
    </row>
    <row r="38" spans="1:38" ht="21.95" customHeight="1">
      <c r="A38" s="541">
        <v>6</v>
      </c>
      <c r="B38" s="153" t="s">
        <v>650</v>
      </c>
      <c r="C38" s="1158">
        <v>1</v>
      </c>
      <c r="D38" s="1158">
        <v>1</v>
      </c>
      <c r="E38" s="1158">
        <v>1</v>
      </c>
      <c r="F38" s="1158"/>
      <c r="G38" s="1158"/>
      <c r="H38" s="1158">
        <v>9</v>
      </c>
      <c r="I38" s="1158">
        <v>9</v>
      </c>
      <c r="J38" s="1158">
        <v>9</v>
      </c>
      <c r="K38" s="1158">
        <v>9</v>
      </c>
      <c r="L38" s="1158">
        <v>9</v>
      </c>
      <c r="M38" s="970" t="s">
        <v>519</v>
      </c>
      <c r="N38" s="970" t="s">
        <v>519</v>
      </c>
      <c r="O38" s="768" t="s">
        <v>481</v>
      </c>
      <c r="P38" s="768" t="s">
        <v>481</v>
      </c>
      <c r="Q38" s="768" t="s">
        <v>481</v>
      </c>
      <c r="R38" s="768" t="s">
        <v>481</v>
      </c>
      <c r="S38" s="768" t="s">
        <v>481</v>
      </c>
      <c r="T38" s="768"/>
      <c r="U38" s="768"/>
      <c r="V38" s="768">
        <v>6</v>
      </c>
      <c r="W38" s="768">
        <v>6</v>
      </c>
      <c r="X38" s="768">
        <v>6</v>
      </c>
      <c r="Y38" s="768">
        <v>6</v>
      </c>
      <c r="Z38" s="1044">
        <v>6</v>
      </c>
      <c r="AA38" s="768" t="s">
        <v>512</v>
      </c>
      <c r="AB38" s="768" t="s">
        <v>513</v>
      </c>
      <c r="AC38" s="768" t="s">
        <v>481</v>
      </c>
      <c r="AD38" s="768" t="s">
        <v>481</v>
      </c>
      <c r="AE38" s="768" t="s">
        <v>481</v>
      </c>
      <c r="AF38" s="768" t="s">
        <v>481</v>
      </c>
      <c r="AG38" s="774" t="s">
        <v>481</v>
      </c>
      <c r="AH38" s="924">
        <v>99</v>
      </c>
      <c r="AI38" s="925">
        <v>37</v>
      </c>
    </row>
    <row r="39" spans="1:38" ht="21.95" customHeight="1" thickBot="1">
      <c r="A39" s="543">
        <v>11</v>
      </c>
      <c r="B39" s="794" t="s">
        <v>518</v>
      </c>
      <c r="C39" s="1037">
        <v>5</v>
      </c>
      <c r="D39" s="1037">
        <v>5</v>
      </c>
      <c r="E39" s="1037">
        <v>5</v>
      </c>
      <c r="F39" s="761"/>
      <c r="G39" s="761"/>
      <c r="H39" s="761">
        <v>10</v>
      </c>
      <c r="I39" s="761">
        <v>10</v>
      </c>
      <c r="J39" s="761">
        <v>10</v>
      </c>
      <c r="K39" s="761">
        <v>10</v>
      </c>
      <c r="L39" s="761">
        <v>10</v>
      </c>
      <c r="M39" s="761" t="s">
        <v>514</v>
      </c>
      <c r="N39" s="761" t="s">
        <v>514</v>
      </c>
      <c r="O39" s="761" t="s">
        <v>481</v>
      </c>
      <c r="P39" s="761" t="s">
        <v>481</v>
      </c>
      <c r="Q39" s="761" t="s">
        <v>481</v>
      </c>
      <c r="R39" s="761" t="s">
        <v>481</v>
      </c>
      <c r="S39" s="761" t="s">
        <v>481</v>
      </c>
      <c r="T39" s="761" t="s">
        <v>515</v>
      </c>
      <c r="U39" s="761" t="s">
        <v>515</v>
      </c>
      <c r="V39" s="967">
        <v>7</v>
      </c>
      <c r="W39" s="967">
        <v>7</v>
      </c>
      <c r="X39" s="967">
        <v>7</v>
      </c>
      <c r="Y39" s="967">
        <v>7</v>
      </c>
      <c r="Z39" s="967">
        <v>7</v>
      </c>
      <c r="AA39" s="967"/>
      <c r="AB39" s="967"/>
      <c r="AC39" s="761">
        <v>4</v>
      </c>
      <c r="AD39" s="761">
        <v>4</v>
      </c>
      <c r="AE39" s="761">
        <v>4</v>
      </c>
      <c r="AF39" s="761">
        <v>4</v>
      </c>
      <c r="AG39" s="775">
        <v>4</v>
      </c>
      <c r="AH39" s="924">
        <v>43</v>
      </c>
      <c r="AI39" s="925">
        <v>37</v>
      </c>
    </row>
    <row r="40" spans="1:38" ht="21.95" customHeight="1">
      <c r="A40" s="540">
        <v>2</v>
      </c>
      <c r="B40" s="45" t="s">
        <v>520</v>
      </c>
      <c r="C40" s="964">
        <v>11</v>
      </c>
      <c r="D40" s="964">
        <v>11</v>
      </c>
      <c r="E40" s="964">
        <v>11</v>
      </c>
      <c r="F40" s="1180" t="s">
        <v>517</v>
      </c>
      <c r="G40" s="1180" t="s">
        <v>517</v>
      </c>
      <c r="H40" s="764" t="s">
        <v>481</v>
      </c>
      <c r="I40" s="764" t="s">
        <v>481</v>
      </c>
      <c r="J40" s="764" t="s">
        <v>481</v>
      </c>
      <c r="K40" s="764" t="s">
        <v>481</v>
      </c>
      <c r="L40" s="764" t="s">
        <v>481</v>
      </c>
      <c r="M40" s="764"/>
      <c r="N40" s="764"/>
      <c r="O40" s="764">
        <v>8</v>
      </c>
      <c r="P40" s="764">
        <v>8</v>
      </c>
      <c r="Q40" s="764">
        <v>8</v>
      </c>
      <c r="R40" s="764">
        <v>8</v>
      </c>
      <c r="S40" s="1024">
        <v>8</v>
      </c>
      <c r="T40" s="767" t="s">
        <v>513</v>
      </c>
      <c r="U40" s="767" t="s">
        <v>513</v>
      </c>
      <c r="V40" s="764" t="s">
        <v>481</v>
      </c>
      <c r="W40" s="764" t="s">
        <v>481</v>
      </c>
      <c r="X40" s="764" t="s">
        <v>481</v>
      </c>
      <c r="Y40" s="764" t="s">
        <v>481</v>
      </c>
      <c r="Z40" s="764" t="s">
        <v>481</v>
      </c>
      <c r="AA40" s="764"/>
      <c r="AB40" s="764"/>
      <c r="AC40" s="764">
        <v>1</v>
      </c>
      <c r="AD40" s="764">
        <v>1</v>
      </c>
      <c r="AE40" s="764">
        <v>1</v>
      </c>
      <c r="AF40" s="764">
        <v>1</v>
      </c>
      <c r="AG40" s="764">
        <v>1</v>
      </c>
      <c r="AH40" s="924">
        <v>60</v>
      </c>
      <c r="AI40" s="925">
        <v>37</v>
      </c>
    </row>
    <row r="41" spans="1:38" ht="21.95" customHeight="1">
      <c r="A41" s="541">
        <v>7</v>
      </c>
      <c r="B41" s="153" t="s">
        <v>522</v>
      </c>
      <c r="C41" s="768">
        <v>9</v>
      </c>
      <c r="D41" s="768">
        <v>9</v>
      </c>
      <c r="E41" s="768">
        <v>9</v>
      </c>
      <c r="F41" s="768" t="s">
        <v>519</v>
      </c>
      <c r="G41" s="768" t="s">
        <v>514</v>
      </c>
      <c r="H41" s="768" t="s">
        <v>481</v>
      </c>
      <c r="I41" s="768" t="s">
        <v>481</v>
      </c>
      <c r="J41" s="768" t="s">
        <v>481</v>
      </c>
      <c r="K41" s="768" t="s">
        <v>481</v>
      </c>
      <c r="L41" s="768" t="s">
        <v>481</v>
      </c>
      <c r="M41" s="768"/>
      <c r="N41" s="768"/>
      <c r="O41" s="768">
        <v>6</v>
      </c>
      <c r="P41" s="768">
        <v>6</v>
      </c>
      <c r="Q41" s="768">
        <v>6</v>
      </c>
      <c r="R41" s="768">
        <v>6</v>
      </c>
      <c r="S41" s="768">
        <v>6</v>
      </c>
      <c r="T41" s="768" t="s">
        <v>512</v>
      </c>
      <c r="U41" s="768" t="s">
        <v>513</v>
      </c>
      <c r="V41" s="768" t="s">
        <v>481</v>
      </c>
      <c r="W41" s="768" t="s">
        <v>481</v>
      </c>
      <c r="X41" s="768" t="s">
        <v>481</v>
      </c>
      <c r="Y41" s="768" t="s">
        <v>481</v>
      </c>
      <c r="Z41" s="768" t="s">
        <v>481</v>
      </c>
      <c r="AA41" s="768"/>
      <c r="AB41" s="768"/>
      <c r="AC41" s="768">
        <v>5</v>
      </c>
      <c r="AD41" s="768">
        <v>5</v>
      </c>
      <c r="AE41" s="768">
        <v>5</v>
      </c>
      <c r="AF41" s="768">
        <v>5</v>
      </c>
      <c r="AG41" s="774">
        <v>5</v>
      </c>
      <c r="AH41" s="924">
        <v>80</v>
      </c>
      <c r="AI41" s="925">
        <v>37</v>
      </c>
    </row>
    <row r="42" spans="1:38" ht="21.95" customHeight="1" thickBot="1">
      <c r="A42" s="543">
        <v>12</v>
      </c>
      <c r="B42" s="544" t="s">
        <v>523</v>
      </c>
      <c r="C42" s="761">
        <v>10</v>
      </c>
      <c r="D42" s="761">
        <v>10</v>
      </c>
      <c r="E42" s="761">
        <v>10</v>
      </c>
      <c r="F42" s="761" t="s">
        <v>514</v>
      </c>
      <c r="G42" s="761" t="s">
        <v>514</v>
      </c>
      <c r="H42" s="761" t="s">
        <v>481</v>
      </c>
      <c r="I42" s="761" t="s">
        <v>481</v>
      </c>
      <c r="J42" s="761" t="s">
        <v>481</v>
      </c>
      <c r="K42" s="761" t="s">
        <v>481</v>
      </c>
      <c r="L42" s="761" t="s">
        <v>481</v>
      </c>
      <c r="M42" s="761" t="s">
        <v>515</v>
      </c>
      <c r="N42" s="761" t="s">
        <v>515</v>
      </c>
      <c r="O42" s="761">
        <v>7</v>
      </c>
      <c r="P42" s="761">
        <v>7</v>
      </c>
      <c r="Q42" s="761">
        <v>7</v>
      </c>
      <c r="R42" s="761">
        <v>7</v>
      </c>
      <c r="S42" s="761">
        <v>7</v>
      </c>
      <c r="T42" s="761"/>
      <c r="U42" s="761"/>
      <c r="V42" s="1241">
        <v>4</v>
      </c>
      <c r="W42" s="1241">
        <v>4</v>
      </c>
      <c r="X42" s="1241">
        <v>4</v>
      </c>
      <c r="Y42" s="1241">
        <v>4</v>
      </c>
      <c r="Z42" s="1241">
        <v>4</v>
      </c>
      <c r="AA42" s="761"/>
      <c r="AB42" s="761"/>
      <c r="AC42" s="1037">
        <v>3</v>
      </c>
      <c r="AD42" s="1037">
        <v>3</v>
      </c>
      <c r="AE42" s="1037">
        <v>3</v>
      </c>
      <c r="AF42" s="1037">
        <v>3</v>
      </c>
      <c r="AG42" s="1145">
        <v>3</v>
      </c>
      <c r="AH42" s="924">
        <v>86</v>
      </c>
      <c r="AI42" s="925">
        <v>37</v>
      </c>
    </row>
    <row r="43" spans="1:38" ht="21.95" customHeight="1">
      <c r="A43" s="545">
        <v>3</v>
      </c>
      <c r="B43" s="836" t="s">
        <v>524</v>
      </c>
      <c r="C43" s="763" t="s">
        <v>481</v>
      </c>
      <c r="D43" s="763" t="s">
        <v>481</v>
      </c>
      <c r="E43" s="763" t="s">
        <v>481</v>
      </c>
      <c r="F43" s="763"/>
      <c r="G43" s="763"/>
      <c r="H43" s="763">
        <v>8</v>
      </c>
      <c r="I43" s="763">
        <v>8</v>
      </c>
      <c r="J43" s="1156">
        <v>8</v>
      </c>
      <c r="K43" s="1156">
        <v>8</v>
      </c>
      <c r="L43" s="1156">
        <v>8</v>
      </c>
      <c r="M43" s="1156" t="s">
        <v>513</v>
      </c>
      <c r="N43" s="1156" t="s">
        <v>513</v>
      </c>
      <c r="O43" s="763" t="s">
        <v>481</v>
      </c>
      <c r="P43" s="763" t="s">
        <v>481</v>
      </c>
      <c r="Q43" s="763" t="s">
        <v>481</v>
      </c>
      <c r="R43" s="763" t="s">
        <v>481</v>
      </c>
      <c r="S43" s="763" t="s">
        <v>481</v>
      </c>
      <c r="T43" s="763"/>
      <c r="U43" s="763"/>
      <c r="V43" s="1156">
        <v>1</v>
      </c>
      <c r="W43" s="1156">
        <v>1</v>
      </c>
      <c r="X43" s="1156">
        <v>1</v>
      </c>
      <c r="Y43" s="1156">
        <v>1</v>
      </c>
      <c r="Z43" s="1156">
        <v>1</v>
      </c>
      <c r="AA43" s="763"/>
      <c r="AB43" s="763"/>
      <c r="AC43" s="1156">
        <v>9</v>
      </c>
      <c r="AD43" s="1156">
        <v>9</v>
      </c>
      <c r="AE43" s="1156">
        <v>9</v>
      </c>
      <c r="AF43" s="1156">
        <v>9</v>
      </c>
      <c r="AG43" s="1211">
        <v>9</v>
      </c>
      <c r="AH43" s="924">
        <v>93</v>
      </c>
      <c r="AI43" s="925">
        <v>37</v>
      </c>
    </row>
    <row r="44" spans="1:38" ht="21.95" customHeight="1">
      <c r="A44" s="541">
        <v>8</v>
      </c>
      <c r="B44" s="319" t="s">
        <v>525</v>
      </c>
      <c r="C44" s="768" t="s">
        <v>481</v>
      </c>
      <c r="D44" s="768" t="s">
        <v>481</v>
      </c>
      <c r="E44" s="768" t="s">
        <v>481</v>
      </c>
      <c r="F44" s="768"/>
      <c r="G44" s="768"/>
      <c r="H44" s="768">
        <v>6</v>
      </c>
      <c r="I44" s="768">
        <v>6</v>
      </c>
      <c r="J44" s="768">
        <v>6</v>
      </c>
      <c r="K44" s="768">
        <v>6</v>
      </c>
      <c r="L44" s="768">
        <v>6</v>
      </c>
      <c r="M44" s="768" t="s">
        <v>512</v>
      </c>
      <c r="N44" s="768" t="s">
        <v>513</v>
      </c>
      <c r="O44" s="768" t="s">
        <v>481</v>
      </c>
      <c r="P44" s="768" t="s">
        <v>481</v>
      </c>
      <c r="Q44" s="768" t="s">
        <v>481</v>
      </c>
      <c r="R44" s="768" t="s">
        <v>481</v>
      </c>
      <c r="S44" s="768" t="s">
        <v>481</v>
      </c>
      <c r="T44" s="768"/>
      <c r="U44" s="768"/>
      <c r="V44" s="970">
        <v>5</v>
      </c>
      <c r="W44" s="970">
        <v>5</v>
      </c>
      <c r="X44" s="970">
        <v>5</v>
      </c>
      <c r="Y44" s="970">
        <v>5</v>
      </c>
      <c r="Z44" s="970">
        <v>5</v>
      </c>
      <c r="AA44" s="970"/>
      <c r="AB44" s="970"/>
      <c r="AC44" s="768">
        <v>10</v>
      </c>
      <c r="AD44" s="768">
        <v>10</v>
      </c>
      <c r="AE44" s="768">
        <v>10</v>
      </c>
      <c r="AF44" s="768">
        <v>10</v>
      </c>
      <c r="AG44" s="1038">
        <v>10</v>
      </c>
      <c r="AH44" s="924">
        <v>100.5</v>
      </c>
      <c r="AI44" s="925">
        <v>12.5</v>
      </c>
    </row>
    <row r="45" spans="1:38" ht="21.95" customHeight="1" thickBot="1">
      <c r="A45" s="543">
        <v>13</v>
      </c>
      <c r="B45" s="52" t="s">
        <v>526</v>
      </c>
      <c r="C45" s="1068" t="s">
        <v>481</v>
      </c>
      <c r="D45" s="1068" t="s">
        <v>481</v>
      </c>
      <c r="E45" s="1068" t="s">
        <v>481</v>
      </c>
      <c r="F45" s="1068" t="s">
        <v>515</v>
      </c>
      <c r="G45" s="1068" t="s">
        <v>515</v>
      </c>
      <c r="H45" s="1068">
        <v>7</v>
      </c>
      <c r="I45" s="1068">
        <v>7</v>
      </c>
      <c r="J45" s="1068">
        <v>7</v>
      </c>
      <c r="K45" s="1068">
        <v>7</v>
      </c>
      <c r="L45" s="1068">
        <v>7</v>
      </c>
      <c r="M45" s="761"/>
      <c r="N45" s="761"/>
      <c r="O45" s="1068">
        <v>4</v>
      </c>
      <c r="P45" s="1068">
        <v>4</v>
      </c>
      <c r="Q45" s="1068">
        <v>4</v>
      </c>
      <c r="R45" s="1068">
        <v>4</v>
      </c>
      <c r="S45" s="1068">
        <v>4</v>
      </c>
      <c r="T45" s="1068"/>
      <c r="U45" s="1068"/>
      <c r="V45" s="1068">
        <v>3</v>
      </c>
      <c r="W45" s="1068">
        <v>3</v>
      </c>
      <c r="X45" s="1068">
        <v>3</v>
      </c>
      <c r="Y45" s="1068">
        <v>3</v>
      </c>
      <c r="Z45" s="1068">
        <v>3</v>
      </c>
      <c r="AA45" s="761"/>
      <c r="AB45" s="761"/>
      <c r="AC45" s="1068">
        <v>11</v>
      </c>
      <c r="AD45" s="1068">
        <v>11</v>
      </c>
      <c r="AE45" s="1068">
        <v>11</v>
      </c>
      <c r="AF45" s="1068">
        <v>11</v>
      </c>
      <c r="AG45" s="1068">
        <v>11</v>
      </c>
      <c r="AH45" s="924">
        <v>150.5</v>
      </c>
      <c r="AI45" s="925">
        <v>37</v>
      </c>
    </row>
    <row r="46" spans="1:38" ht="21.95" customHeight="1">
      <c r="A46" s="545">
        <v>4</v>
      </c>
      <c r="B46" s="319" t="s">
        <v>527</v>
      </c>
      <c r="C46" s="764">
        <v>8</v>
      </c>
      <c r="D46" s="764">
        <v>8</v>
      </c>
      <c r="E46" s="764">
        <v>8</v>
      </c>
      <c r="F46" s="764" t="s">
        <v>513</v>
      </c>
      <c r="G46" s="764" t="s">
        <v>513</v>
      </c>
      <c r="H46" s="764">
        <v>4</v>
      </c>
      <c r="I46" s="764">
        <v>4</v>
      </c>
      <c r="J46" s="764">
        <v>4</v>
      </c>
      <c r="K46" s="764">
        <v>4</v>
      </c>
      <c r="L46" s="764">
        <v>4</v>
      </c>
      <c r="M46" s="764"/>
      <c r="N46" s="764"/>
      <c r="O46" s="764" t="s">
        <v>491</v>
      </c>
      <c r="P46" s="764" t="s">
        <v>491</v>
      </c>
      <c r="Q46" s="764" t="s">
        <v>491</v>
      </c>
      <c r="R46" s="764">
        <v>1</v>
      </c>
      <c r="S46" s="764">
        <v>1</v>
      </c>
      <c r="T46" s="1024" t="s">
        <v>514</v>
      </c>
      <c r="U46" s="1024" t="s">
        <v>514</v>
      </c>
      <c r="V46" s="764">
        <v>9</v>
      </c>
      <c r="W46" s="764">
        <v>9</v>
      </c>
      <c r="X46" s="764">
        <v>9</v>
      </c>
      <c r="Y46" s="764">
        <v>9</v>
      </c>
      <c r="Z46" s="764">
        <v>9</v>
      </c>
      <c r="AA46" s="764" t="s">
        <v>519</v>
      </c>
      <c r="AB46" s="764" t="s">
        <v>514</v>
      </c>
      <c r="AC46" s="764" t="s">
        <v>481</v>
      </c>
      <c r="AD46" s="764" t="s">
        <v>481</v>
      </c>
      <c r="AE46" s="764" t="s">
        <v>481</v>
      </c>
      <c r="AF46" s="764" t="s">
        <v>481</v>
      </c>
      <c r="AG46" s="771" t="s">
        <v>481</v>
      </c>
      <c r="AH46" s="924">
        <v>62</v>
      </c>
      <c r="AI46" s="925">
        <v>37</v>
      </c>
    </row>
    <row r="47" spans="1:38" ht="21.95" customHeight="1">
      <c r="A47" s="541">
        <v>9</v>
      </c>
      <c r="B47" s="319" t="s">
        <v>528</v>
      </c>
      <c r="C47" s="768">
        <v>6</v>
      </c>
      <c r="D47" s="768">
        <v>6</v>
      </c>
      <c r="E47" s="768">
        <v>6</v>
      </c>
      <c r="F47" s="768" t="s">
        <v>512</v>
      </c>
      <c r="G47" s="768" t="s">
        <v>513</v>
      </c>
      <c r="H47" s="768" t="s">
        <v>481</v>
      </c>
      <c r="I47" s="768" t="s">
        <v>481</v>
      </c>
      <c r="J47" s="768" t="s">
        <v>481</v>
      </c>
      <c r="K47" s="768" t="s">
        <v>481</v>
      </c>
      <c r="L47" s="768" t="s">
        <v>481</v>
      </c>
      <c r="M47" s="768"/>
      <c r="N47" s="768"/>
      <c r="O47" s="977">
        <v>5</v>
      </c>
      <c r="P47" s="1038" t="s">
        <v>485</v>
      </c>
      <c r="Q47" s="1038" t="s">
        <v>485</v>
      </c>
      <c r="R47" s="1038" t="s">
        <v>485</v>
      </c>
      <c r="S47" s="1038" t="s">
        <v>485</v>
      </c>
      <c r="T47" s="768"/>
      <c r="U47" s="768"/>
      <c r="V47" s="768">
        <v>10</v>
      </c>
      <c r="W47" s="768">
        <v>10</v>
      </c>
      <c r="X47" s="768">
        <v>10</v>
      </c>
      <c r="Y47" s="768">
        <v>10</v>
      </c>
      <c r="Z47" s="768">
        <v>10</v>
      </c>
      <c r="AA47" s="768" t="s">
        <v>514</v>
      </c>
      <c r="AB47" s="768" t="s">
        <v>514</v>
      </c>
      <c r="AC47" s="768" t="s">
        <v>481</v>
      </c>
      <c r="AD47" s="768" t="s">
        <v>481</v>
      </c>
      <c r="AE47" s="768" t="s">
        <v>481</v>
      </c>
      <c r="AF47" s="768" t="s">
        <v>481</v>
      </c>
      <c r="AG47" s="769" t="s">
        <v>481</v>
      </c>
      <c r="AH47" s="924">
        <v>128</v>
      </c>
      <c r="AI47" s="925">
        <v>37</v>
      </c>
    </row>
    <row r="48" spans="1:38" ht="21.95" customHeight="1" thickBot="1">
      <c r="A48" s="543">
        <v>14</v>
      </c>
      <c r="B48" s="544" t="s">
        <v>529</v>
      </c>
      <c r="C48" s="761">
        <v>7</v>
      </c>
      <c r="D48" s="772">
        <v>7</v>
      </c>
      <c r="E48" s="767">
        <v>7</v>
      </c>
      <c r="F48" s="767"/>
      <c r="G48" s="767"/>
      <c r="H48" s="767">
        <v>4</v>
      </c>
      <c r="I48" s="767">
        <v>4</v>
      </c>
      <c r="J48" s="767">
        <v>4</v>
      </c>
      <c r="K48" s="767">
        <v>4</v>
      </c>
      <c r="L48" s="772">
        <v>4</v>
      </c>
      <c r="M48" s="772"/>
      <c r="N48" s="772"/>
      <c r="O48" s="772">
        <v>3</v>
      </c>
      <c r="P48" s="772">
        <v>3</v>
      </c>
      <c r="Q48" s="772">
        <v>3</v>
      </c>
      <c r="R48" s="772">
        <v>3</v>
      </c>
      <c r="S48" s="772">
        <v>3</v>
      </c>
      <c r="T48" s="772"/>
      <c r="U48" s="772"/>
      <c r="V48" s="1143">
        <v>11</v>
      </c>
      <c r="W48" s="1143">
        <v>11</v>
      </c>
      <c r="X48" s="1143" t="s">
        <v>733</v>
      </c>
      <c r="Y48" s="1146">
        <v>11</v>
      </c>
      <c r="Z48" s="1146">
        <v>11</v>
      </c>
      <c r="AA48" s="761" t="s">
        <v>517</v>
      </c>
      <c r="AB48" s="761" t="s">
        <v>517</v>
      </c>
      <c r="AC48" s="761" t="s">
        <v>481</v>
      </c>
      <c r="AD48" s="761" t="s">
        <v>481</v>
      </c>
      <c r="AE48" s="761" t="s">
        <v>481</v>
      </c>
      <c r="AF48" s="761" t="s">
        <v>481</v>
      </c>
      <c r="AG48" s="780" t="s">
        <v>481</v>
      </c>
      <c r="AH48" s="924">
        <v>129</v>
      </c>
      <c r="AI48" s="925">
        <v>37</v>
      </c>
    </row>
    <row r="49" spans="1:35" ht="21.95" customHeight="1">
      <c r="A49" s="540">
        <v>5</v>
      </c>
      <c r="B49" s="542" t="s">
        <v>530</v>
      </c>
      <c r="C49" s="763" t="s">
        <v>481</v>
      </c>
      <c r="D49" s="763" t="s">
        <v>481</v>
      </c>
      <c r="E49" s="763" t="s">
        <v>481</v>
      </c>
      <c r="F49" s="763"/>
      <c r="G49" s="763"/>
      <c r="H49" s="763">
        <v>1</v>
      </c>
      <c r="I49" s="763">
        <v>1</v>
      </c>
      <c r="J49" s="763">
        <v>1</v>
      </c>
      <c r="K49" s="763">
        <v>1</v>
      </c>
      <c r="L49" s="763">
        <v>1</v>
      </c>
      <c r="M49" s="763"/>
      <c r="N49" s="763"/>
      <c r="O49" s="763">
        <v>9</v>
      </c>
      <c r="P49" s="763">
        <v>9</v>
      </c>
      <c r="Q49" s="763">
        <v>9</v>
      </c>
      <c r="R49" s="763">
        <v>9</v>
      </c>
      <c r="S49" s="763">
        <v>9</v>
      </c>
      <c r="T49" s="763" t="s">
        <v>519</v>
      </c>
      <c r="U49" s="763" t="s">
        <v>514</v>
      </c>
      <c r="V49" s="763" t="s">
        <v>481</v>
      </c>
      <c r="W49" s="763" t="s">
        <v>481</v>
      </c>
      <c r="X49" s="763" t="s">
        <v>481</v>
      </c>
      <c r="Y49" s="763" t="s">
        <v>481</v>
      </c>
      <c r="Z49" s="763" t="s">
        <v>481</v>
      </c>
      <c r="AA49" s="768"/>
      <c r="AB49" s="768"/>
      <c r="AC49" s="768">
        <v>6</v>
      </c>
      <c r="AD49" s="768">
        <v>6</v>
      </c>
      <c r="AE49" s="781">
        <v>6</v>
      </c>
      <c r="AF49" s="763">
        <v>6</v>
      </c>
      <c r="AG49" s="781">
        <v>6</v>
      </c>
      <c r="AH49" s="924">
        <v>70</v>
      </c>
      <c r="AI49" s="925">
        <v>37</v>
      </c>
    </row>
    <row r="50" spans="1:35" ht="21.95" customHeight="1">
      <c r="A50" s="541">
        <v>10</v>
      </c>
      <c r="B50" s="319" t="s">
        <v>531</v>
      </c>
      <c r="C50" s="768" t="s">
        <v>481</v>
      </c>
      <c r="D50" s="768" t="s">
        <v>481</v>
      </c>
      <c r="E50" s="768" t="s">
        <v>481</v>
      </c>
      <c r="F50" s="768"/>
      <c r="G50" s="768"/>
      <c r="H50" s="768">
        <v>7</v>
      </c>
      <c r="I50" s="768">
        <v>7</v>
      </c>
      <c r="J50" s="768">
        <v>7</v>
      </c>
      <c r="K50" s="1144">
        <v>5</v>
      </c>
      <c r="L50" s="1144">
        <v>5</v>
      </c>
      <c r="M50" s="768"/>
      <c r="N50" s="768"/>
      <c r="O50" s="768">
        <v>10</v>
      </c>
      <c r="P50" s="768">
        <v>10</v>
      </c>
      <c r="Q50" s="768">
        <v>10</v>
      </c>
      <c r="R50" s="768">
        <v>10</v>
      </c>
      <c r="S50" s="1038">
        <v>10</v>
      </c>
      <c r="T50" s="1038" t="s">
        <v>514</v>
      </c>
      <c r="U50" s="1038" t="s">
        <v>771</v>
      </c>
      <c r="V50" s="768" t="s">
        <v>481</v>
      </c>
      <c r="W50" s="768" t="s">
        <v>481</v>
      </c>
      <c r="X50" s="768" t="s">
        <v>481</v>
      </c>
      <c r="Y50" s="768" t="s">
        <v>481</v>
      </c>
      <c r="Z50" s="768" t="s">
        <v>481</v>
      </c>
      <c r="AA50" s="768" t="s">
        <v>515</v>
      </c>
      <c r="AB50" s="768" t="s">
        <v>515</v>
      </c>
      <c r="AC50" s="768">
        <v>7</v>
      </c>
      <c r="AD50" s="768">
        <v>7</v>
      </c>
      <c r="AE50" s="769">
        <v>7</v>
      </c>
      <c r="AF50" s="768">
        <v>7</v>
      </c>
      <c r="AG50" s="769">
        <v>7</v>
      </c>
      <c r="AH50" s="924">
        <v>100</v>
      </c>
      <c r="AI50" s="925">
        <v>37</v>
      </c>
    </row>
    <row r="51" spans="1:35" ht="21.95" customHeight="1" thickBot="1">
      <c r="A51" s="543">
        <v>15</v>
      </c>
      <c r="B51" s="52" t="s">
        <v>532</v>
      </c>
      <c r="C51" s="1037">
        <v>4</v>
      </c>
      <c r="D51" s="1037">
        <v>4</v>
      </c>
      <c r="E51" s="1037">
        <v>4</v>
      </c>
      <c r="F51" s="761"/>
      <c r="G51" s="761"/>
      <c r="H51" s="1037">
        <v>3</v>
      </c>
      <c r="I51" s="1037">
        <v>3</v>
      </c>
      <c r="J51" s="1037">
        <v>3</v>
      </c>
      <c r="K51" s="1037">
        <v>3</v>
      </c>
      <c r="L51" s="1037">
        <v>3</v>
      </c>
      <c r="M51" s="761"/>
      <c r="N51" s="761"/>
      <c r="O51" s="761">
        <v>11</v>
      </c>
      <c r="P51" s="761">
        <v>11</v>
      </c>
      <c r="Q51" s="761">
        <v>11</v>
      </c>
      <c r="R51" s="761">
        <v>11</v>
      </c>
      <c r="S51" s="761">
        <v>11</v>
      </c>
      <c r="T51" s="761" t="s">
        <v>517</v>
      </c>
      <c r="U51" s="761" t="s">
        <v>517</v>
      </c>
      <c r="V51" s="761" t="s">
        <v>481</v>
      </c>
      <c r="W51" s="761" t="s">
        <v>481</v>
      </c>
      <c r="X51" s="761" t="s">
        <v>481</v>
      </c>
      <c r="Y51" s="761" t="s">
        <v>481</v>
      </c>
      <c r="Z51" s="761" t="s">
        <v>481</v>
      </c>
      <c r="AA51" s="761"/>
      <c r="AB51" s="761"/>
      <c r="AC51" s="761">
        <v>8</v>
      </c>
      <c r="AD51" s="761">
        <v>8</v>
      </c>
      <c r="AE51" s="780">
        <v>8</v>
      </c>
      <c r="AF51" s="761">
        <v>8</v>
      </c>
      <c r="AG51" s="780">
        <v>8</v>
      </c>
      <c r="AH51" s="924">
        <v>94</v>
      </c>
      <c r="AI51" s="925">
        <v>37</v>
      </c>
    </row>
    <row r="52" spans="1:35" ht="21.95" customHeight="1">
      <c r="A52" s="516"/>
      <c r="C52" s="538"/>
      <c r="D52" s="538"/>
      <c r="E52" s="538"/>
      <c r="F52" s="538"/>
      <c r="G52" s="538"/>
      <c r="H52" s="538"/>
      <c r="I52" s="538"/>
      <c r="J52" s="538"/>
      <c r="K52" s="538"/>
      <c r="L52" s="538"/>
      <c r="M52" s="538"/>
      <c r="N52" s="538"/>
      <c r="O52" s="538"/>
      <c r="P52" s="538"/>
      <c r="Q52" s="538"/>
      <c r="R52" s="538"/>
      <c r="S52" s="538"/>
      <c r="T52" s="538"/>
      <c r="U52" s="538"/>
      <c r="V52" s="538"/>
      <c r="W52" s="538"/>
      <c r="X52" s="538"/>
      <c r="Y52" s="538"/>
      <c r="Z52" s="538"/>
      <c r="AA52" s="538"/>
      <c r="AB52" s="538"/>
      <c r="AC52" s="538"/>
      <c r="AD52" s="538"/>
      <c r="AE52" s="538"/>
      <c r="AF52" s="538"/>
      <c r="AG52" s="538"/>
      <c r="AH52" s="1"/>
    </row>
    <row r="53" spans="1:35" ht="21.95" customHeight="1">
      <c r="A53" s="516"/>
      <c r="C53" s="538"/>
      <c r="D53" s="538"/>
      <c r="E53" s="538"/>
      <c r="F53" s="538"/>
      <c r="G53" s="538"/>
      <c r="H53" s="538"/>
      <c r="I53" s="538"/>
      <c r="J53" s="538"/>
      <c r="K53" s="538"/>
      <c r="L53" s="538"/>
      <c r="M53" s="538"/>
      <c r="N53" s="538"/>
      <c r="O53" s="538"/>
      <c r="P53" s="538"/>
      <c r="Q53" s="538"/>
      <c r="R53" s="538"/>
      <c r="S53" s="538"/>
      <c r="T53" s="538"/>
      <c r="U53" s="538"/>
      <c r="V53" s="538"/>
      <c r="W53" s="538"/>
      <c r="X53" s="538"/>
      <c r="Y53" s="538"/>
      <c r="Z53" s="538"/>
      <c r="AA53" s="538"/>
      <c r="AB53" s="538"/>
      <c r="AC53" s="538"/>
      <c r="AD53" s="538"/>
      <c r="AE53" s="538"/>
      <c r="AF53" s="538"/>
      <c r="AG53" s="538"/>
      <c r="AH53" s="1"/>
    </row>
    <row r="54" spans="1:35" ht="21.95" customHeight="1">
      <c r="A54" s="516"/>
      <c r="C54" s="538"/>
      <c r="D54" s="538"/>
      <c r="E54" s="538"/>
      <c r="F54" s="538"/>
      <c r="G54" s="538"/>
      <c r="H54" s="538"/>
      <c r="I54" s="538"/>
      <c r="J54" s="538"/>
      <c r="K54" s="538"/>
      <c r="L54" s="538"/>
      <c r="M54" s="538"/>
      <c r="N54" s="538"/>
      <c r="O54" s="538"/>
      <c r="P54" s="538"/>
      <c r="Q54" s="538"/>
      <c r="R54" s="538"/>
      <c r="S54" s="538"/>
      <c r="T54" s="538"/>
      <c r="U54" s="538"/>
      <c r="V54" s="538"/>
      <c r="W54" s="538"/>
      <c r="X54" s="538"/>
      <c r="Y54" s="538"/>
      <c r="Z54" s="538"/>
      <c r="AA54" s="538"/>
      <c r="AB54" s="538"/>
      <c r="AC54" s="538"/>
      <c r="AD54" s="538"/>
      <c r="AE54" s="538"/>
      <c r="AF54" s="538"/>
      <c r="AG54" s="538"/>
      <c r="AH54" s="1"/>
    </row>
    <row r="55" spans="1:35" ht="21.95" customHeight="1" thickBot="1">
      <c r="A55" s="554"/>
      <c r="C55" s="555"/>
      <c r="D55" s="555"/>
      <c r="E55" s="555"/>
      <c r="F55" s="555"/>
      <c r="G55" s="555"/>
      <c r="H55" s="555"/>
      <c r="I55" s="555"/>
      <c r="J55" s="555"/>
      <c r="K55" s="555"/>
      <c r="L55" s="555"/>
      <c r="M55" s="555"/>
      <c r="N55" s="555"/>
      <c r="O55" s="555"/>
      <c r="P55" s="555"/>
      <c r="Q55" s="555"/>
      <c r="R55" s="555"/>
      <c r="S55" s="555"/>
      <c r="T55" s="555"/>
      <c r="U55" s="555"/>
      <c r="V55" s="555"/>
      <c r="W55" s="555"/>
      <c r="X55" s="555"/>
      <c r="Y55" s="555"/>
      <c r="Z55" s="555"/>
      <c r="AA55" s="555"/>
      <c r="AB55" s="555"/>
      <c r="AC55" s="555"/>
      <c r="AD55" s="555"/>
      <c r="AE55" s="555"/>
      <c r="AF55" s="555"/>
      <c r="AG55" s="555"/>
      <c r="AH55" s="556"/>
      <c r="AI55" s="556"/>
    </row>
    <row r="56" spans="1:35" ht="21.95" customHeight="1">
      <c r="A56" s="361"/>
      <c r="B56" s="23" t="s">
        <v>533</v>
      </c>
      <c r="C56" s="7"/>
      <c r="D56" s="414" t="s">
        <v>2</v>
      </c>
      <c r="E56" s="547"/>
      <c r="F56" s="7"/>
      <c r="G56" s="6" t="s">
        <v>3</v>
      </c>
      <c r="H56" s="548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49"/>
      <c r="R56" s="118"/>
      <c r="S56" s="6" t="s">
        <v>7</v>
      </c>
      <c r="T56" s="550"/>
      <c r="U56" s="118"/>
      <c r="V56" s="6" t="s">
        <v>8</v>
      </c>
      <c r="W56" s="549"/>
      <c r="X56" s="349" t="s">
        <v>9</v>
      </c>
      <c r="Y56" s="557"/>
      <c r="Z56" s="557"/>
      <c r="AA56" s="558"/>
      <c r="AB56" s="27" t="s">
        <v>10</v>
      </c>
      <c r="AC56" s="551"/>
      <c r="AD56" s="551"/>
      <c r="AE56" s="559"/>
      <c r="AF56" s="559"/>
      <c r="AG56" s="560"/>
    </row>
    <row r="57" spans="1:35" ht="21.95" customHeight="1">
      <c r="A57" s="361"/>
      <c r="B57" s="306" t="s">
        <v>534</v>
      </c>
      <c r="C57" s="561" t="s">
        <v>535</v>
      </c>
      <c r="D57" s="483"/>
      <c r="E57" s="484"/>
      <c r="F57" s="561" t="s">
        <v>535</v>
      </c>
      <c r="G57" s="483"/>
      <c r="H57" s="484"/>
      <c r="I57" s="561" t="s">
        <v>535</v>
      </c>
      <c r="J57" s="483"/>
      <c r="K57" s="484"/>
      <c r="L57" s="561" t="s">
        <v>535</v>
      </c>
      <c r="M57" s="483"/>
      <c r="N57" s="484"/>
      <c r="O57" s="561" t="s">
        <v>116</v>
      </c>
      <c r="P57" s="483"/>
      <c r="Q57" s="484"/>
      <c r="R57" s="561"/>
      <c r="S57" s="483"/>
      <c r="T57" s="484"/>
      <c r="U57" s="561"/>
      <c r="V57" s="483"/>
      <c r="W57" s="484"/>
      <c r="X57" s="561"/>
      <c r="Y57" s="483"/>
      <c r="Z57" s="483"/>
      <c r="AA57" s="483"/>
      <c r="AB57" s="476"/>
      <c r="AC57" s="483"/>
      <c r="AD57" s="483"/>
      <c r="AE57" s="483"/>
      <c r="AF57" s="483"/>
      <c r="AG57" s="562"/>
    </row>
    <row r="58" spans="1:35" ht="21.95" customHeight="1">
      <c r="A58" s="361"/>
      <c r="B58" s="306" t="s">
        <v>536</v>
      </c>
      <c r="C58" s="561" t="s">
        <v>147</v>
      </c>
      <c r="D58" s="483"/>
      <c r="E58" s="484"/>
      <c r="F58" s="561" t="s">
        <v>147</v>
      </c>
      <c r="G58" s="483"/>
      <c r="H58" s="484"/>
      <c r="I58" s="561" t="s">
        <v>147</v>
      </c>
      <c r="J58" s="483"/>
      <c r="K58" s="484"/>
      <c r="L58" s="561" t="s">
        <v>147</v>
      </c>
      <c r="M58" s="483"/>
      <c r="N58" s="484"/>
      <c r="O58" s="561" t="s">
        <v>537</v>
      </c>
      <c r="P58" s="483"/>
      <c r="Q58" s="484"/>
      <c r="R58" s="561"/>
      <c r="S58" s="483"/>
      <c r="T58" s="484"/>
      <c r="U58" s="561"/>
      <c r="V58" s="483"/>
      <c r="W58" s="484"/>
      <c r="X58" s="561"/>
      <c r="Y58" s="483"/>
      <c r="Z58" s="483"/>
      <c r="AA58" s="483"/>
      <c r="AB58" s="476"/>
      <c r="AC58" s="483"/>
      <c r="AD58" s="483"/>
      <c r="AE58" s="483"/>
      <c r="AF58" s="483"/>
      <c r="AG58" s="562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 thickBot="1">
      <c r="A60" s="861" t="s">
        <v>475</v>
      </c>
      <c r="B60" s="862" t="s">
        <v>476</v>
      </c>
      <c r="C60" s="863">
        <v>1</v>
      </c>
      <c r="D60" s="863">
        <v>2</v>
      </c>
      <c r="E60" s="863">
        <v>3</v>
      </c>
      <c r="F60" s="880">
        <v>4</v>
      </c>
      <c r="G60" s="880">
        <v>5</v>
      </c>
      <c r="H60" s="863">
        <v>6</v>
      </c>
      <c r="I60" s="863">
        <v>7</v>
      </c>
      <c r="J60" s="863">
        <v>8</v>
      </c>
      <c r="K60" s="863">
        <v>9</v>
      </c>
      <c r="L60" s="863">
        <v>10</v>
      </c>
      <c r="M60" s="880">
        <v>11</v>
      </c>
      <c r="N60" s="880">
        <v>12</v>
      </c>
      <c r="O60" s="863">
        <v>13</v>
      </c>
      <c r="P60" s="863">
        <v>14</v>
      </c>
      <c r="Q60" s="863">
        <v>15</v>
      </c>
      <c r="R60" s="863">
        <v>16</v>
      </c>
      <c r="S60" s="863">
        <v>17</v>
      </c>
      <c r="T60" s="880">
        <v>18</v>
      </c>
      <c r="U60" s="880">
        <v>19</v>
      </c>
      <c r="V60" s="863">
        <v>20</v>
      </c>
      <c r="W60" s="863">
        <v>21</v>
      </c>
      <c r="X60" s="863">
        <v>22</v>
      </c>
      <c r="Y60" s="863">
        <v>23</v>
      </c>
      <c r="Z60" s="863">
        <v>24</v>
      </c>
      <c r="AA60" s="880">
        <v>25</v>
      </c>
      <c r="AB60" s="880">
        <v>26</v>
      </c>
      <c r="AC60" s="863">
        <v>27</v>
      </c>
      <c r="AD60" s="863">
        <v>28</v>
      </c>
      <c r="AE60" s="863">
        <v>29</v>
      </c>
      <c r="AF60" s="863">
        <v>30</v>
      </c>
      <c r="AG60" s="943">
        <v>31</v>
      </c>
      <c r="AH60" s="864" t="s">
        <v>477</v>
      </c>
      <c r="AI60" s="865" t="s">
        <v>478</v>
      </c>
    </row>
    <row r="61" spans="1:35" ht="21.95" customHeight="1">
      <c r="A61" s="860">
        <v>8520</v>
      </c>
      <c r="B61" s="860" t="s">
        <v>538</v>
      </c>
      <c r="C61" s="972" t="s">
        <v>539</v>
      </c>
      <c r="D61" s="972" t="s">
        <v>539</v>
      </c>
      <c r="E61" s="972" t="s">
        <v>539</v>
      </c>
      <c r="F61" s="972"/>
      <c r="G61" s="972"/>
      <c r="H61" s="763" t="s">
        <v>539</v>
      </c>
      <c r="I61" s="764" t="s">
        <v>539</v>
      </c>
      <c r="J61" s="987" t="s">
        <v>491</v>
      </c>
      <c r="K61" s="764" t="s">
        <v>539</v>
      </c>
      <c r="L61" s="764" t="s">
        <v>539</v>
      </c>
      <c r="M61" s="764"/>
      <c r="N61" s="764"/>
      <c r="O61" s="764" t="s">
        <v>539</v>
      </c>
      <c r="P61" s="764" t="s">
        <v>539</v>
      </c>
      <c r="Q61" s="764" t="s">
        <v>539</v>
      </c>
      <c r="R61" s="764" t="s">
        <v>539</v>
      </c>
      <c r="S61" s="764" t="s">
        <v>539</v>
      </c>
      <c r="T61" s="764"/>
      <c r="U61" s="764"/>
      <c r="V61" s="764" t="s">
        <v>539</v>
      </c>
      <c r="W61" s="764" t="s">
        <v>539</v>
      </c>
      <c r="X61" s="764" t="s">
        <v>539</v>
      </c>
      <c r="Y61" s="871" t="s">
        <v>539</v>
      </c>
      <c r="Z61" s="764" t="s">
        <v>539</v>
      </c>
      <c r="AA61" s="764"/>
      <c r="AB61" s="764"/>
      <c r="AC61" s="764" t="s">
        <v>539</v>
      </c>
      <c r="AD61" s="764" t="s">
        <v>539</v>
      </c>
      <c r="AE61" s="764" t="s">
        <v>539</v>
      </c>
      <c r="AF61" s="764" t="s">
        <v>539</v>
      </c>
      <c r="AG61" s="764" t="s">
        <v>539</v>
      </c>
      <c r="AH61" s="510">
        <v>75</v>
      </c>
      <c r="AI61" s="511">
        <v>37</v>
      </c>
    </row>
    <row r="62" spans="1:35" ht="21.95" customHeight="1" thickBot="1">
      <c r="A62" s="866">
        <v>8521</v>
      </c>
      <c r="B62" s="866"/>
      <c r="C62" s="867" t="s">
        <v>540</v>
      </c>
      <c r="D62" s="867" t="s">
        <v>540</v>
      </c>
      <c r="E62" s="867" t="s">
        <v>540</v>
      </c>
      <c r="F62" s="867"/>
      <c r="G62" s="867"/>
      <c r="H62" s="867" t="s">
        <v>540</v>
      </c>
      <c r="I62" s="867" t="s">
        <v>540</v>
      </c>
      <c r="J62" s="867" t="s">
        <v>540</v>
      </c>
      <c r="K62" s="867" t="s">
        <v>540</v>
      </c>
      <c r="L62" s="867" t="s">
        <v>540</v>
      </c>
      <c r="M62" s="867"/>
      <c r="N62" s="867"/>
      <c r="O62" s="867" t="s">
        <v>540</v>
      </c>
      <c r="P62" s="867" t="s">
        <v>540</v>
      </c>
      <c r="Q62" s="867" t="s">
        <v>540</v>
      </c>
      <c r="R62" s="867" t="s">
        <v>540</v>
      </c>
      <c r="S62" s="867" t="s">
        <v>540</v>
      </c>
      <c r="T62" s="867"/>
      <c r="U62" s="867"/>
      <c r="V62" s="867" t="s">
        <v>540</v>
      </c>
      <c r="W62" s="867" t="s">
        <v>540</v>
      </c>
      <c r="X62" s="867" t="s">
        <v>540</v>
      </c>
      <c r="Y62" s="871" t="s">
        <v>540</v>
      </c>
      <c r="Z62" s="867" t="s">
        <v>540</v>
      </c>
      <c r="AA62" s="867"/>
      <c r="AB62" s="867"/>
      <c r="AC62" s="867" t="s">
        <v>540</v>
      </c>
      <c r="AD62" s="867" t="s">
        <v>540</v>
      </c>
      <c r="AE62" s="867" t="s">
        <v>540</v>
      </c>
      <c r="AF62" s="867" t="s">
        <v>540</v>
      </c>
      <c r="AG62" s="867" t="s">
        <v>540</v>
      </c>
      <c r="AH62" s="868">
        <v>185</v>
      </c>
      <c r="AI62" s="869">
        <v>37</v>
      </c>
    </row>
    <row r="63" spans="1:35" ht="21.95" customHeight="1">
      <c r="A63" s="361"/>
      <c r="B63" s="361"/>
      <c r="C63" s="538"/>
      <c r="D63" s="517"/>
      <c r="E63" s="517"/>
      <c r="F63" s="517"/>
      <c r="G63" s="517"/>
      <c r="H63" s="517"/>
      <c r="I63" s="517"/>
      <c r="J63" s="517"/>
      <c r="K63" s="517"/>
      <c r="L63" s="517"/>
      <c r="M63" s="517"/>
      <c r="N63" s="517"/>
      <c r="O63" s="517"/>
      <c r="P63" s="517"/>
      <c r="Q63" s="517"/>
      <c r="R63" s="517"/>
      <c r="S63" s="517"/>
      <c r="T63" s="517"/>
      <c r="U63" s="517"/>
      <c r="V63" s="517"/>
      <c r="W63" s="517"/>
      <c r="X63" s="517"/>
      <c r="Y63" s="517"/>
      <c r="Z63" s="517"/>
      <c r="AA63" s="517"/>
      <c r="AB63" s="517"/>
      <c r="AC63" s="517"/>
      <c r="AD63" s="517"/>
      <c r="AE63" s="517"/>
      <c r="AF63" s="517"/>
      <c r="AG63" s="517"/>
      <c r="AH63" s="556"/>
      <c r="AI63" s="556"/>
    </row>
    <row r="64" spans="1:35" ht="21.95" customHeight="1">
      <c r="A64" s="361"/>
      <c r="B64" s="361"/>
      <c r="C64" s="538"/>
      <c r="D64" s="517"/>
      <c r="E64" s="517"/>
      <c r="F64" s="517"/>
      <c r="G64" s="517"/>
      <c r="H64" s="517"/>
      <c r="I64" s="517"/>
      <c r="J64" s="517"/>
      <c r="K64" s="517"/>
      <c r="L64" s="517"/>
      <c r="M64" s="517"/>
      <c r="N64" s="517"/>
      <c r="O64" s="517"/>
      <c r="P64" s="517"/>
      <c r="Q64" s="517"/>
      <c r="R64" s="517"/>
      <c r="S64" s="517"/>
      <c r="T64" s="517"/>
      <c r="U64" s="517"/>
      <c r="V64" s="517"/>
      <c r="W64" s="517"/>
      <c r="X64" s="517"/>
      <c r="Y64" s="517"/>
      <c r="Z64" s="517"/>
      <c r="AA64" s="517"/>
      <c r="AB64" s="517"/>
      <c r="AC64" s="517"/>
      <c r="AD64" s="517"/>
      <c r="AE64" s="517"/>
      <c r="AF64" s="517"/>
      <c r="AG64" s="517"/>
      <c r="AH64" s="556"/>
      <c r="AI64" s="556"/>
    </row>
    <row r="65" spans="1:35" ht="21.95" customHeight="1">
      <c r="A65" s="361"/>
      <c r="B65" s="361"/>
      <c r="C65" s="538"/>
      <c r="D65" s="517"/>
      <c r="E65" s="517"/>
      <c r="F65" s="517"/>
      <c r="G65" s="517"/>
      <c r="H65" s="517"/>
      <c r="I65" s="517"/>
      <c r="J65" s="517"/>
      <c r="K65" s="517"/>
      <c r="L65" s="517"/>
      <c r="M65" s="517"/>
      <c r="N65" s="517"/>
      <c r="O65" s="517"/>
      <c r="P65" s="517"/>
      <c r="Q65" s="517"/>
      <c r="R65" s="517"/>
      <c r="S65" s="517"/>
      <c r="T65" s="517"/>
      <c r="U65" s="517"/>
      <c r="V65" s="517"/>
      <c r="W65" s="517"/>
      <c r="X65" s="517"/>
      <c r="Y65" s="517"/>
      <c r="Z65" s="517"/>
      <c r="AA65" s="517"/>
      <c r="AB65" s="517"/>
      <c r="AC65" s="517"/>
      <c r="AD65" s="517"/>
      <c r="AE65" s="517"/>
      <c r="AF65" s="517"/>
      <c r="AG65" s="517"/>
      <c r="AH65" s="556"/>
      <c r="AI65" s="556"/>
    </row>
    <row r="66" spans="1:35" ht="21.95" customHeight="1" thickBot="1">
      <c r="A66" s="1" t="s">
        <v>541</v>
      </c>
      <c r="D66" s="361"/>
      <c r="E66" s="361"/>
      <c r="F66" s="361"/>
      <c r="G66" s="546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35" ht="21.95" customHeight="1">
      <c r="A67" s="1"/>
      <c r="B67" s="23" t="s">
        <v>542</v>
      </c>
      <c r="C67" s="7"/>
      <c r="D67" s="522" t="s">
        <v>2</v>
      </c>
      <c r="E67" s="51"/>
      <c r="F67" s="548"/>
      <c r="G67" s="7"/>
      <c r="H67" s="522" t="s">
        <v>3</v>
      </c>
      <c r="I67" s="51"/>
      <c r="J67" s="548"/>
      <c r="K67" s="7"/>
      <c r="L67" s="522" t="s">
        <v>4</v>
      </c>
      <c r="M67" s="51"/>
      <c r="N67" s="548"/>
      <c r="O67" s="7"/>
      <c r="P67" s="522" t="s">
        <v>5</v>
      </c>
      <c r="Q67" s="51"/>
      <c r="R67" s="548"/>
      <c r="S67" s="7"/>
      <c r="T67" s="522" t="s">
        <v>6</v>
      </c>
      <c r="U67" s="51"/>
      <c r="V67" s="548"/>
      <c r="W67" s="27"/>
      <c r="X67" s="713" t="s">
        <v>7</v>
      </c>
      <c r="Y67" s="519"/>
      <c r="Z67" s="238"/>
      <c r="AA67" s="7"/>
      <c r="AB67" s="522" t="s">
        <v>8</v>
      </c>
      <c r="AC67" s="51"/>
      <c r="AD67" s="51"/>
      <c r="AE67" s="349" t="s">
        <v>9</v>
      </c>
      <c r="AF67" s="51"/>
      <c r="AG67" s="51"/>
      <c r="AH67" s="51"/>
      <c r="AI67" s="523"/>
    </row>
    <row r="68" spans="1:35" ht="21.95" customHeight="1">
      <c r="A68" s="1"/>
      <c r="B68" s="129" t="s">
        <v>324</v>
      </c>
      <c r="C68" s="563" t="s">
        <v>735</v>
      </c>
      <c r="E68" s="157"/>
      <c r="F68" s="564"/>
      <c r="G68" s="563" t="s">
        <v>735</v>
      </c>
      <c r="H68" s="157"/>
      <c r="I68" s="157"/>
      <c r="J68" s="564"/>
      <c r="K68" s="563" t="s">
        <v>735</v>
      </c>
      <c r="L68" s="157"/>
      <c r="M68" s="157"/>
      <c r="N68" s="564"/>
      <c r="O68" s="563" t="s">
        <v>544</v>
      </c>
      <c r="P68" s="157"/>
      <c r="Q68" s="157"/>
      <c r="R68" s="564"/>
      <c r="S68" s="563" t="s">
        <v>736</v>
      </c>
      <c r="T68" s="157"/>
      <c r="U68" s="157"/>
      <c r="V68" s="565"/>
      <c r="W68" s="714"/>
      <c r="X68" s="715"/>
      <c r="Y68" s="715"/>
      <c r="Z68" s="716"/>
      <c r="AA68" s="565"/>
      <c r="AB68" s="157"/>
      <c r="AC68" s="157"/>
      <c r="AD68" s="565"/>
      <c r="AE68" s="121">
        <v>37</v>
      </c>
      <c r="AG68" s="157"/>
      <c r="AH68" s="565"/>
      <c r="AI68" s="490"/>
    </row>
    <row r="69" spans="1:35" ht="21.95" customHeight="1">
      <c r="A69" s="1"/>
      <c r="B69" s="129" t="s">
        <v>325</v>
      </c>
      <c r="C69" s="563" t="s">
        <v>546</v>
      </c>
      <c r="D69" s="157"/>
      <c r="E69" s="157"/>
      <c r="F69" s="564"/>
      <c r="G69" s="563" t="s">
        <v>546</v>
      </c>
      <c r="H69" s="157"/>
      <c r="I69" s="157"/>
      <c r="J69" s="564"/>
      <c r="K69" s="563" t="s">
        <v>546</v>
      </c>
      <c r="L69" s="157"/>
      <c r="M69" s="157"/>
      <c r="N69" s="564"/>
      <c r="O69" s="563" t="s">
        <v>547</v>
      </c>
      <c r="P69" s="157"/>
      <c r="Q69" s="157"/>
      <c r="R69" s="564"/>
      <c r="S69" s="563" t="s">
        <v>548</v>
      </c>
      <c r="T69" s="157"/>
      <c r="U69" s="157"/>
      <c r="V69" s="564"/>
      <c r="W69" s="604" t="s">
        <v>549</v>
      </c>
      <c r="X69" s="55"/>
      <c r="Y69" s="55"/>
      <c r="Z69" s="55"/>
      <c r="AA69" s="563" t="s">
        <v>550</v>
      </c>
      <c r="AB69" s="563"/>
      <c r="AC69" s="563"/>
      <c r="AD69" s="563"/>
      <c r="AE69" s="155">
        <v>68.25</v>
      </c>
      <c r="AF69" s="157"/>
      <c r="AG69" s="567"/>
      <c r="AH69" s="568"/>
      <c r="AI69" s="569"/>
    </row>
    <row r="70" spans="1:35" ht="21.95" customHeight="1">
      <c r="A70" s="1"/>
      <c r="B70" s="129" t="s">
        <v>326</v>
      </c>
      <c r="C70" s="712" t="s">
        <v>167</v>
      </c>
      <c r="D70" s="157"/>
      <c r="E70" s="157"/>
      <c r="F70" s="564"/>
      <c r="G70" s="157" t="s">
        <v>167</v>
      </c>
      <c r="H70" s="157"/>
      <c r="I70" s="157"/>
      <c r="J70" s="564"/>
      <c r="K70" s="157" t="s">
        <v>167</v>
      </c>
      <c r="L70" s="157"/>
      <c r="M70" s="157"/>
      <c r="N70" s="564"/>
      <c r="O70" s="157" t="s">
        <v>167</v>
      </c>
      <c r="P70" s="157"/>
      <c r="Q70" s="157"/>
      <c r="R70" s="564"/>
      <c r="S70" s="157" t="s">
        <v>167</v>
      </c>
      <c r="T70" s="157"/>
      <c r="U70" s="157"/>
      <c r="V70" s="564"/>
      <c r="W70" s="563"/>
      <c r="X70" s="157"/>
      <c r="Y70" s="157"/>
      <c r="Z70" s="564"/>
      <c r="AA70" s="563"/>
      <c r="AB70" s="157"/>
      <c r="AC70" s="157"/>
      <c r="AD70" s="565"/>
      <c r="AE70" s="566">
        <v>0</v>
      </c>
      <c r="AF70" s="567"/>
      <c r="AG70" s="157"/>
      <c r="AH70" s="565"/>
      <c r="AI70" s="490"/>
    </row>
    <row r="71" spans="1:35" ht="21.95" customHeight="1" thickBot="1">
      <c r="A71" s="1"/>
      <c r="B71" s="47"/>
      <c r="C71" s="570"/>
      <c r="D71" s="53"/>
      <c r="E71" s="53"/>
      <c r="F71" s="571"/>
      <c r="G71" s="570"/>
      <c r="H71" s="53"/>
      <c r="I71" s="53"/>
      <c r="J71" s="571"/>
      <c r="K71" s="570"/>
      <c r="L71" s="53"/>
      <c r="M71" s="53"/>
      <c r="N71" s="571"/>
      <c r="O71" s="570"/>
      <c r="P71" s="53"/>
      <c r="Q71" s="53"/>
      <c r="R71" s="571"/>
      <c r="S71" s="570"/>
      <c r="T71" s="53"/>
      <c r="U71" s="53"/>
      <c r="V71" s="571"/>
      <c r="W71" s="53"/>
      <c r="X71" s="53"/>
      <c r="Y71" s="53"/>
      <c r="Z71" s="53"/>
      <c r="AA71" s="53"/>
      <c r="AB71" s="53"/>
      <c r="AC71" s="53"/>
      <c r="AD71" s="53"/>
      <c r="AE71" s="572"/>
      <c r="AF71" s="53"/>
      <c r="AG71" s="53"/>
      <c r="AH71" s="573"/>
      <c r="AI71" s="536"/>
    </row>
    <row r="72" spans="1:35" ht="21.95" customHeight="1" thickBot="1">
      <c r="A72" s="574"/>
      <c r="B72" s="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</row>
    <row r="73" spans="1:35" ht="21.95" customHeight="1" thickBot="1">
      <c r="A73" s="861"/>
      <c r="B73" s="862" t="s">
        <v>476</v>
      </c>
      <c r="C73" s="863">
        <v>1</v>
      </c>
      <c r="D73" s="863">
        <v>2</v>
      </c>
      <c r="E73" s="863">
        <v>3</v>
      </c>
      <c r="F73" s="880">
        <v>4</v>
      </c>
      <c r="G73" s="880">
        <v>5</v>
      </c>
      <c r="H73" s="863">
        <v>6</v>
      </c>
      <c r="I73" s="863">
        <v>7</v>
      </c>
      <c r="J73" s="863">
        <v>8</v>
      </c>
      <c r="K73" s="863">
        <v>9</v>
      </c>
      <c r="L73" s="863">
        <v>10</v>
      </c>
      <c r="M73" s="880">
        <v>11</v>
      </c>
      <c r="N73" s="880">
        <v>12</v>
      </c>
      <c r="O73" s="863">
        <v>13</v>
      </c>
      <c r="P73" s="863">
        <v>14</v>
      </c>
      <c r="Q73" s="863">
        <v>15</v>
      </c>
      <c r="R73" s="863">
        <v>16</v>
      </c>
      <c r="S73" s="863">
        <v>17</v>
      </c>
      <c r="T73" s="880">
        <v>18</v>
      </c>
      <c r="U73" s="880">
        <v>19</v>
      </c>
      <c r="V73" s="863">
        <v>20</v>
      </c>
      <c r="W73" s="863">
        <v>21</v>
      </c>
      <c r="X73" s="863">
        <v>22</v>
      </c>
      <c r="Y73" s="863">
        <v>23</v>
      </c>
      <c r="Z73" s="863">
        <v>24</v>
      </c>
      <c r="AA73" s="880">
        <v>25</v>
      </c>
      <c r="AB73" s="880">
        <v>26</v>
      </c>
      <c r="AC73" s="863">
        <v>27</v>
      </c>
      <c r="AD73" s="863">
        <v>28</v>
      </c>
      <c r="AE73" s="863">
        <v>29</v>
      </c>
      <c r="AF73" s="863">
        <v>30</v>
      </c>
      <c r="AG73" s="943">
        <v>31</v>
      </c>
      <c r="AH73" s="864" t="s">
        <v>477</v>
      </c>
      <c r="AI73" s="865" t="s">
        <v>478</v>
      </c>
    </row>
    <row r="74" spans="1:35" ht="21.95" customHeight="1">
      <c r="A74" s="870">
        <v>1</v>
      </c>
      <c r="B74" s="836" t="s">
        <v>551</v>
      </c>
      <c r="C74" s="1181" t="s">
        <v>552</v>
      </c>
      <c r="D74" s="1181" t="s">
        <v>552</v>
      </c>
      <c r="E74" s="1181" t="s">
        <v>552</v>
      </c>
      <c r="F74" s="1181"/>
      <c r="G74" s="1181" t="s">
        <v>513</v>
      </c>
      <c r="H74" s="1181" t="s">
        <v>553</v>
      </c>
      <c r="I74" s="1220" t="s">
        <v>553</v>
      </c>
      <c r="J74" s="1181" t="s">
        <v>553</v>
      </c>
      <c r="K74" s="1181" t="s">
        <v>554</v>
      </c>
      <c r="L74" s="1181" t="s">
        <v>554</v>
      </c>
      <c r="M74" s="1181" t="s">
        <v>555</v>
      </c>
      <c r="N74" s="1181" t="s">
        <v>555</v>
      </c>
      <c r="O74" s="1181" t="s">
        <v>481</v>
      </c>
      <c r="P74" s="1181" t="s">
        <v>481</v>
      </c>
      <c r="Q74" s="1181" t="s">
        <v>481</v>
      </c>
      <c r="R74" s="1181" t="s">
        <v>481</v>
      </c>
      <c r="S74" s="1181" t="s">
        <v>481</v>
      </c>
      <c r="T74" s="1181"/>
      <c r="U74" s="1181"/>
      <c r="V74" s="1220" t="s">
        <v>552</v>
      </c>
      <c r="W74" s="1228" t="s">
        <v>557</v>
      </c>
      <c r="X74" s="1181" t="s">
        <v>552</v>
      </c>
      <c r="Y74" s="1181" t="s">
        <v>552</v>
      </c>
      <c r="Z74" s="1181" t="s">
        <v>552</v>
      </c>
      <c r="AA74" s="1181"/>
      <c r="AB74" s="1181"/>
      <c r="AC74" s="1181" t="s">
        <v>553</v>
      </c>
      <c r="AD74" s="1181" t="s">
        <v>553</v>
      </c>
      <c r="AE74" s="871" t="s">
        <v>553</v>
      </c>
      <c r="AF74" s="871" t="s">
        <v>554</v>
      </c>
      <c r="AG74" s="871" t="s">
        <v>554</v>
      </c>
      <c r="AH74" s="510">
        <v>19.5</v>
      </c>
      <c r="AI74" s="511">
        <v>37</v>
      </c>
    </row>
    <row r="75" spans="1:35" ht="21.95" customHeight="1">
      <c r="A75" s="575">
        <v>2</v>
      </c>
      <c r="B75" s="542" t="s">
        <v>556</v>
      </c>
      <c r="C75" s="762" t="s">
        <v>553</v>
      </c>
      <c r="D75" s="768" t="s">
        <v>554</v>
      </c>
      <c r="E75" s="762" t="s">
        <v>554</v>
      </c>
      <c r="F75" s="762" t="s">
        <v>555</v>
      </c>
      <c r="G75" s="762" t="s">
        <v>555</v>
      </c>
      <c r="H75" s="762" t="s">
        <v>481</v>
      </c>
      <c r="I75" s="1025" t="s">
        <v>481</v>
      </c>
      <c r="J75" s="1025" t="s">
        <v>481</v>
      </c>
      <c r="K75" s="1025" t="s">
        <v>481</v>
      </c>
      <c r="L75" s="762" t="s">
        <v>481</v>
      </c>
      <c r="M75" s="762"/>
      <c r="N75" s="762"/>
      <c r="O75" s="762" t="s">
        <v>552</v>
      </c>
      <c r="P75" s="762" t="s">
        <v>552</v>
      </c>
      <c r="Q75" s="762" t="s">
        <v>552</v>
      </c>
      <c r="R75" s="762" t="s">
        <v>552</v>
      </c>
      <c r="S75" s="762" t="s">
        <v>552</v>
      </c>
      <c r="T75" s="762"/>
      <c r="U75" s="762"/>
      <c r="V75" s="762" t="s">
        <v>553</v>
      </c>
      <c r="W75" s="762" t="s">
        <v>553</v>
      </c>
      <c r="X75" s="762" t="s">
        <v>553</v>
      </c>
      <c r="Y75" s="762" t="s">
        <v>554</v>
      </c>
      <c r="Z75" s="762" t="s">
        <v>554</v>
      </c>
      <c r="AA75" s="1027" t="s">
        <v>555</v>
      </c>
      <c r="AB75" s="1059" t="s">
        <v>555</v>
      </c>
      <c r="AC75" s="762" t="s">
        <v>481</v>
      </c>
      <c r="AD75" s="762" t="s">
        <v>481</v>
      </c>
      <c r="AE75" s="762" t="s">
        <v>481</v>
      </c>
      <c r="AF75" s="762" t="s">
        <v>481</v>
      </c>
      <c r="AG75" s="762" t="s">
        <v>481</v>
      </c>
      <c r="AH75" s="924">
        <v>82</v>
      </c>
      <c r="AI75" s="925">
        <v>37</v>
      </c>
    </row>
    <row r="76" spans="1:35" ht="21.95" customHeight="1" thickBot="1">
      <c r="A76" s="873">
        <v>3</v>
      </c>
      <c r="B76" s="874" t="s">
        <v>558</v>
      </c>
      <c r="C76" s="928" t="s">
        <v>481</v>
      </c>
      <c r="D76" s="928" t="s">
        <v>481</v>
      </c>
      <c r="E76" s="928" t="s">
        <v>481</v>
      </c>
      <c r="F76" s="928"/>
      <c r="G76" s="928"/>
      <c r="H76" s="761" t="s">
        <v>552</v>
      </c>
      <c r="I76" s="928" t="s">
        <v>552</v>
      </c>
      <c r="J76" s="1019" t="s">
        <v>552</v>
      </c>
      <c r="K76" s="928" t="s">
        <v>552</v>
      </c>
      <c r="L76" s="1183" t="s">
        <v>552</v>
      </c>
      <c r="M76" s="928"/>
      <c r="N76" s="928"/>
      <c r="O76" s="1019" t="s">
        <v>553</v>
      </c>
      <c r="P76" s="1019" t="s">
        <v>553</v>
      </c>
      <c r="Q76" s="928" t="s">
        <v>553</v>
      </c>
      <c r="R76" s="928" t="s">
        <v>554</v>
      </c>
      <c r="S76" s="928" t="s">
        <v>554</v>
      </c>
      <c r="T76" s="928" t="s">
        <v>555</v>
      </c>
      <c r="U76" s="928" t="s">
        <v>555</v>
      </c>
      <c r="V76" s="928" t="s">
        <v>481</v>
      </c>
      <c r="W76" s="928" t="s">
        <v>481</v>
      </c>
      <c r="X76" s="928" t="s">
        <v>481</v>
      </c>
      <c r="Y76" s="928" t="s">
        <v>481</v>
      </c>
      <c r="Z76" s="928" t="s">
        <v>481</v>
      </c>
      <c r="AA76" s="928"/>
      <c r="AB76" s="928"/>
      <c r="AC76" s="928" t="s">
        <v>552</v>
      </c>
      <c r="AD76" s="928" t="s">
        <v>552</v>
      </c>
      <c r="AE76" s="1008" t="s">
        <v>552</v>
      </c>
      <c r="AF76" s="875" t="s">
        <v>552</v>
      </c>
      <c r="AG76" s="876" t="s">
        <v>552</v>
      </c>
      <c r="AH76" s="868">
        <v>108</v>
      </c>
      <c r="AI76" s="869">
        <v>37</v>
      </c>
    </row>
    <row r="77" spans="1:35" ht="21.95" customHeight="1"/>
    <row r="78" spans="1:35" ht="21.95" customHeight="1" thickBot="1">
      <c r="A78" s="312" t="s">
        <v>559</v>
      </c>
      <c r="C78" s="555"/>
      <c r="D78" s="555"/>
      <c r="E78" s="555"/>
      <c r="F78" s="555"/>
      <c r="G78" s="555"/>
      <c r="H78" s="555"/>
      <c r="I78" s="555"/>
      <c r="J78" s="555"/>
      <c r="K78" s="555"/>
      <c r="L78" s="555"/>
      <c r="M78" s="555"/>
      <c r="N78" s="555"/>
      <c r="O78" s="555"/>
      <c r="P78" s="555"/>
      <c r="Q78" s="555"/>
      <c r="R78" s="555"/>
      <c r="S78" s="555"/>
      <c r="T78" s="555"/>
      <c r="U78" s="555"/>
      <c r="V78" s="555"/>
      <c r="W78" s="555"/>
      <c r="X78" s="555"/>
      <c r="Y78" s="555"/>
      <c r="Z78" s="555"/>
      <c r="AA78" s="555"/>
      <c r="AB78" s="555"/>
      <c r="AC78" s="555"/>
      <c r="AD78" s="555"/>
      <c r="AE78" s="555"/>
      <c r="AF78" s="555"/>
      <c r="AH78" s="556"/>
      <c r="AI78" s="556"/>
    </row>
    <row r="79" spans="1:35" ht="21.95" customHeight="1">
      <c r="A79" s="576"/>
      <c r="B79" s="23" t="s">
        <v>542</v>
      </c>
      <c r="C79" s="7"/>
      <c r="D79" s="522" t="s">
        <v>2</v>
      </c>
      <c r="E79" s="51"/>
      <c r="F79" s="548"/>
      <c r="G79" s="7"/>
      <c r="H79" s="522" t="s">
        <v>3</v>
      </c>
      <c r="I79" s="51"/>
      <c r="J79" s="548"/>
      <c r="K79" s="7"/>
      <c r="L79" s="522" t="s">
        <v>4</v>
      </c>
      <c r="M79" s="51"/>
      <c r="N79" s="548"/>
      <c r="O79" s="7"/>
      <c r="P79" s="522" t="s">
        <v>5</v>
      </c>
      <c r="Q79" s="51"/>
      <c r="R79" s="548"/>
      <c r="S79" s="7"/>
      <c r="T79" s="522" t="s">
        <v>6</v>
      </c>
      <c r="U79" s="51"/>
      <c r="V79" s="548"/>
      <c r="W79" s="27"/>
      <c r="X79" s="713" t="s">
        <v>7</v>
      </c>
      <c r="Y79" s="519"/>
      <c r="Z79" s="238"/>
      <c r="AA79" s="7"/>
      <c r="AB79" s="522" t="s">
        <v>8</v>
      </c>
      <c r="AC79" s="51"/>
      <c r="AD79" s="51"/>
      <c r="AE79" s="349" t="s">
        <v>9</v>
      </c>
      <c r="AF79" s="51"/>
      <c r="AG79" s="51"/>
      <c r="AH79" s="51"/>
      <c r="AI79" s="523"/>
    </row>
    <row r="80" spans="1:35" ht="21.95" customHeight="1">
      <c r="B80" s="129" t="s">
        <v>324</v>
      </c>
      <c r="C80" s="589" t="s">
        <v>560</v>
      </c>
      <c r="E80" s="157"/>
      <c r="F80" s="564"/>
      <c r="G80" s="563" t="s">
        <v>561</v>
      </c>
      <c r="H80" s="483" t="s">
        <v>562</v>
      </c>
      <c r="I80" s="157"/>
      <c r="J80" s="564"/>
      <c r="K80" s="589" t="s">
        <v>560</v>
      </c>
      <c r="L80" s="483"/>
      <c r="M80" s="483"/>
      <c r="N80" s="588"/>
      <c r="O80" s="589" t="s">
        <v>563</v>
      </c>
      <c r="P80" s="483"/>
      <c r="Q80" s="483"/>
      <c r="R80" s="588"/>
      <c r="S80" s="589" t="s">
        <v>738</v>
      </c>
      <c r="T80" s="483"/>
      <c r="U80" s="483"/>
      <c r="V80" s="477"/>
      <c r="W80" s="714"/>
      <c r="X80" s="715"/>
      <c r="Y80" s="715"/>
      <c r="Z80" s="716"/>
      <c r="AA80" s="565"/>
      <c r="AB80" s="157"/>
      <c r="AC80" s="157"/>
      <c r="AD80" s="565"/>
      <c r="AE80" s="121">
        <v>37</v>
      </c>
      <c r="AG80" s="157"/>
      <c r="AH80" s="565"/>
      <c r="AI80" s="490"/>
    </row>
    <row r="81" spans="1:35" ht="21.95" customHeight="1">
      <c r="B81" s="129" t="s">
        <v>325</v>
      </c>
      <c r="C81" s="589" t="s">
        <v>565</v>
      </c>
      <c r="E81" s="157"/>
      <c r="F81" s="564"/>
      <c r="G81" s="589" t="s">
        <v>565</v>
      </c>
      <c r="I81" s="157"/>
      <c r="J81" s="564"/>
      <c r="K81" s="589" t="s">
        <v>565</v>
      </c>
      <c r="L81" s="157"/>
      <c r="M81" s="157"/>
      <c r="N81" s="564"/>
      <c r="O81" s="589" t="s">
        <v>566</v>
      </c>
      <c r="P81" s="157"/>
      <c r="Q81" s="157"/>
      <c r="R81" s="564"/>
      <c r="S81" s="563" t="s">
        <v>567</v>
      </c>
      <c r="T81" s="157"/>
      <c r="U81" s="157"/>
      <c r="V81" s="564"/>
      <c r="W81" s="604" t="s">
        <v>291</v>
      </c>
      <c r="X81" s="55"/>
      <c r="Y81" s="55"/>
      <c r="Z81" s="55"/>
      <c r="AA81" s="563" t="s">
        <v>28</v>
      </c>
      <c r="AB81" s="563"/>
      <c r="AC81" s="563"/>
      <c r="AD81" s="563"/>
      <c r="AE81" s="155">
        <v>37</v>
      </c>
      <c r="AF81" s="157"/>
      <c r="AG81" s="567"/>
      <c r="AH81" s="568"/>
      <c r="AI81" s="569"/>
    </row>
    <row r="82" spans="1:35" ht="21.95" customHeight="1">
      <c r="B82" s="129" t="s">
        <v>326</v>
      </c>
      <c r="C82" s="834" t="s">
        <v>568</v>
      </c>
      <c r="D82" s="157"/>
      <c r="E82" s="157"/>
      <c r="F82" s="564"/>
      <c r="G82" s="157" t="s">
        <v>569</v>
      </c>
      <c r="H82" s="157"/>
      <c r="I82" s="157"/>
      <c r="J82" s="564"/>
      <c r="K82" s="835" t="s">
        <v>570</v>
      </c>
      <c r="L82" s="157"/>
      <c r="M82" s="157"/>
      <c r="N82" s="564"/>
      <c r="O82" s="835" t="s">
        <v>571</v>
      </c>
      <c r="P82" s="157"/>
      <c r="Q82" s="157"/>
      <c r="R82" s="564"/>
      <c r="S82" s="835" t="s">
        <v>571</v>
      </c>
      <c r="T82" s="157"/>
      <c r="U82" s="157"/>
      <c r="V82" s="564"/>
      <c r="W82" s="563"/>
      <c r="X82" s="157"/>
      <c r="Y82" s="157"/>
      <c r="Z82" s="564"/>
      <c r="AA82" s="563"/>
      <c r="AB82" s="157"/>
      <c r="AC82" s="157"/>
      <c r="AD82" s="565"/>
      <c r="AE82" s="566">
        <v>36</v>
      </c>
      <c r="AF82" s="567"/>
      <c r="AG82" s="157"/>
      <c r="AH82" s="565"/>
      <c r="AI82" s="490"/>
    </row>
    <row r="83" spans="1:35" ht="21.95" customHeight="1" thickBot="1">
      <c r="B83" s="47"/>
      <c r="C83" s="570"/>
      <c r="D83" s="53"/>
      <c r="E83" s="53"/>
      <c r="F83" s="571"/>
      <c r="G83" s="570"/>
      <c r="H83" s="53"/>
      <c r="I83" s="53"/>
      <c r="J83" s="571"/>
      <c r="K83" s="570"/>
      <c r="L83" s="53"/>
      <c r="M83" s="53"/>
      <c r="N83" s="571"/>
      <c r="O83" s="570"/>
      <c r="P83" s="53"/>
      <c r="Q83" s="53"/>
      <c r="R83" s="571"/>
      <c r="S83" s="570"/>
      <c r="T83" s="53"/>
      <c r="U83" s="53"/>
      <c r="V83" s="571"/>
      <c r="W83" s="53"/>
      <c r="X83" s="53"/>
      <c r="Y83" s="53"/>
      <c r="Z83" s="53"/>
      <c r="AA83" s="53"/>
      <c r="AB83" s="53"/>
      <c r="AC83" s="53"/>
      <c r="AD83" s="53"/>
      <c r="AE83" s="572"/>
      <c r="AF83" s="53"/>
      <c r="AG83" s="53"/>
      <c r="AH83" s="573"/>
      <c r="AI83" s="536"/>
    </row>
    <row r="84" spans="1:35" ht="21.95" customHeight="1" thickBot="1"/>
    <row r="85" spans="1:35" ht="21.95" customHeight="1" thickBot="1">
      <c r="A85" s="861"/>
      <c r="B85" s="862" t="s">
        <v>476</v>
      </c>
      <c r="C85" s="863">
        <v>1</v>
      </c>
      <c r="D85" s="863">
        <v>2</v>
      </c>
      <c r="E85" s="863">
        <v>3</v>
      </c>
      <c r="F85" s="880">
        <v>4</v>
      </c>
      <c r="G85" s="880">
        <v>5</v>
      </c>
      <c r="H85" s="863">
        <v>6</v>
      </c>
      <c r="I85" s="863">
        <v>7</v>
      </c>
      <c r="J85" s="863">
        <v>8</v>
      </c>
      <c r="K85" s="863">
        <v>9</v>
      </c>
      <c r="L85" s="863">
        <v>10</v>
      </c>
      <c r="M85" s="880">
        <v>11</v>
      </c>
      <c r="N85" s="880">
        <v>12</v>
      </c>
      <c r="O85" s="863">
        <v>13</v>
      </c>
      <c r="P85" s="863">
        <v>14</v>
      </c>
      <c r="Q85" s="863">
        <v>15</v>
      </c>
      <c r="R85" s="863">
        <v>16</v>
      </c>
      <c r="S85" s="863">
        <v>17</v>
      </c>
      <c r="T85" s="880">
        <v>18</v>
      </c>
      <c r="U85" s="880">
        <v>19</v>
      </c>
      <c r="V85" s="863">
        <v>20</v>
      </c>
      <c r="W85" s="863">
        <v>21</v>
      </c>
      <c r="X85" s="863">
        <v>22</v>
      </c>
      <c r="Y85" s="863">
        <v>23</v>
      </c>
      <c r="Z85" s="863">
        <v>24</v>
      </c>
      <c r="AA85" s="880">
        <v>25</v>
      </c>
      <c r="AB85" s="880">
        <v>26</v>
      </c>
      <c r="AC85" s="863">
        <v>27</v>
      </c>
      <c r="AD85" s="863">
        <v>28</v>
      </c>
      <c r="AE85" s="863">
        <v>29</v>
      </c>
      <c r="AF85" s="863">
        <v>30</v>
      </c>
      <c r="AG85" s="943">
        <v>31</v>
      </c>
      <c r="AH85" s="864" t="s">
        <v>477</v>
      </c>
      <c r="AI85" s="865" t="s">
        <v>478</v>
      </c>
    </row>
    <row r="86" spans="1:35" ht="21.95" customHeight="1">
      <c r="A86" s="870">
        <v>1</v>
      </c>
      <c r="B86" s="54" t="s">
        <v>572</v>
      </c>
      <c r="C86" s="1181" t="s">
        <v>561</v>
      </c>
      <c r="D86" s="955" t="s">
        <v>561</v>
      </c>
      <c r="E86" s="1182" t="s">
        <v>561</v>
      </c>
      <c r="F86" s="1181"/>
      <c r="G86" s="1181"/>
      <c r="H86" s="1181" t="s">
        <v>573</v>
      </c>
      <c r="I86" s="1181" t="s">
        <v>573</v>
      </c>
      <c r="J86" s="1181" t="s">
        <v>573</v>
      </c>
      <c r="K86" s="955" t="s">
        <v>573</v>
      </c>
      <c r="L86" s="1181" t="s">
        <v>573</v>
      </c>
      <c r="M86" s="1181"/>
      <c r="N86" s="1182" t="s">
        <v>519</v>
      </c>
      <c r="O86" s="1181" t="s">
        <v>554</v>
      </c>
      <c r="P86" s="1181" t="s">
        <v>554</v>
      </c>
      <c r="Q86" s="1219" t="s">
        <v>554</v>
      </c>
      <c r="R86" s="1181" t="s">
        <v>553</v>
      </c>
      <c r="S86" s="1181" t="s">
        <v>553</v>
      </c>
      <c r="T86" s="1181"/>
      <c r="U86" s="1181"/>
      <c r="V86" s="1181" t="s">
        <v>561</v>
      </c>
      <c r="W86" s="1181" t="s">
        <v>561</v>
      </c>
      <c r="X86" s="1181" t="s">
        <v>561</v>
      </c>
      <c r="Y86" s="1181" t="s">
        <v>561</v>
      </c>
      <c r="Z86" s="1182" t="s">
        <v>561</v>
      </c>
      <c r="AA86" s="1181"/>
      <c r="AB86" s="1181"/>
      <c r="AC86" s="1181" t="s">
        <v>573</v>
      </c>
      <c r="AD86" s="1181" t="s">
        <v>573</v>
      </c>
      <c r="AE86" s="1181" t="s">
        <v>573</v>
      </c>
      <c r="AF86" s="1219" t="s">
        <v>573</v>
      </c>
      <c r="AG86" s="1014" t="s">
        <v>573</v>
      </c>
      <c r="AH86" s="510">
        <v>130.5</v>
      </c>
      <c r="AI86" s="511">
        <v>37</v>
      </c>
    </row>
    <row r="87" spans="1:35" ht="21.95" customHeight="1">
      <c r="A87" s="575">
        <v>2</v>
      </c>
      <c r="B87" s="853" t="s">
        <v>574</v>
      </c>
      <c r="C87" s="762" t="s">
        <v>573</v>
      </c>
      <c r="D87" s="762" t="s">
        <v>573</v>
      </c>
      <c r="E87" s="762" t="s">
        <v>573</v>
      </c>
      <c r="F87" s="762"/>
      <c r="G87" s="762"/>
      <c r="H87" s="768" t="s">
        <v>554</v>
      </c>
      <c r="I87" s="762" t="s">
        <v>554</v>
      </c>
      <c r="J87" s="762" t="s">
        <v>554</v>
      </c>
      <c r="K87" s="762" t="s">
        <v>553</v>
      </c>
      <c r="L87" s="1025" t="s">
        <v>553</v>
      </c>
      <c r="M87" s="762"/>
      <c r="N87" s="762"/>
      <c r="O87" s="966" t="s">
        <v>561</v>
      </c>
      <c r="P87" s="966" t="s">
        <v>561</v>
      </c>
      <c r="Q87" s="966" t="s">
        <v>561</v>
      </c>
      <c r="R87" s="966" t="s">
        <v>561</v>
      </c>
      <c r="S87" s="966" t="s">
        <v>561</v>
      </c>
      <c r="T87" s="966"/>
      <c r="U87" s="966"/>
      <c r="V87" s="762" t="s">
        <v>573</v>
      </c>
      <c r="W87" s="762" t="s">
        <v>573</v>
      </c>
      <c r="X87" s="762" t="s">
        <v>573</v>
      </c>
      <c r="Y87" s="762" t="s">
        <v>573</v>
      </c>
      <c r="Z87" s="762" t="s">
        <v>573</v>
      </c>
      <c r="AA87" s="762"/>
      <c r="AB87" s="762"/>
      <c r="AC87" s="762" t="s">
        <v>554</v>
      </c>
      <c r="AD87" s="762" t="s">
        <v>554</v>
      </c>
      <c r="AE87" s="762" t="s">
        <v>554</v>
      </c>
      <c r="AF87" s="762" t="s">
        <v>553</v>
      </c>
      <c r="AG87" s="762" t="s">
        <v>553</v>
      </c>
      <c r="AH87" s="924">
        <v>85</v>
      </c>
      <c r="AI87" s="925">
        <v>37</v>
      </c>
    </row>
    <row r="88" spans="1:35" ht="21.95" customHeight="1" thickBot="1">
      <c r="A88" s="877">
        <v>3</v>
      </c>
      <c r="B88" s="878" t="s">
        <v>575</v>
      </c>
      <c r="C88" s="928" t="s">
        <v>554</v>
      </c>
      <c r="D88" s="1183" t="s">
        <v>553</v>
      </c>
      <c r="E88" s="1183" t="s">
        <v>553</v>
      </c>
      <c r="F88" s="928"/>
      <c r="G88" s="928"/>
      <c r="H88" s="1068" t="s">
        <v>739</v>
      </c>
      <c r="I88" s="1019" t="s">
        <v>561</v>
      </c>
      <c r="J88" s="1019" t="s">
        <v>561</v>
      </c>
      <c r="K88" s="1019" t="s">
        <v>561</v>
      </c>
      <c r="L88" s="1019" t="s">
        <v>561</v>
      </c>
      <c r="M88" s="1214" t="s">
        <v>513</v>
      </c>
      <c r="N88" s="928"/>
      <c r="O88" s="928" t="s">
        <v>573</v>
      </c>
      <c r="P88" s="928" t="s">
        <v>573</v>
      </c>
      <c r="Q88" s="928" t="s">
        <v>573</v>
      </c>
      <c r="R88" s="928" t="s">
        <v>573</v>
      </c>
      <c r="S88" s="928" t="s">
        <v>573</v>
      </c>
      <c r="T88" s="928"/>
      <c r="U88" s="928"/>
      <c r="V88" s="928" t="s">
        <v>554</v>
      </c>
      <c r="W88" s="928" t="s">
        <v>554</v>
      </c>
      <c r="X88" s="928" t="s">
        <v>554</v>
      </c>
      <c r="Y88" s="928" t="s">
        <v>553</v>
      </c>
      <c r="Z88" s="1019" t="s">
        <v>553</v>
      </c>
      <c r="AA88" s="928"/>
      <c r="AB88" s="928"/>
      <c r="AC88" s="1019" t="s">
        <v>561</v>
      </c>
      <c r="AD88" s="761">
        <v>9</v>
      </c>
      <c r="AE88" s="761">
        <v>9</v>
      </c>
      <c r="AF88" s="761">
        <v>9</v>
      </c>
      <c r="AG88" s="867">
        <v>9</v>
      </c>
      <c r="AH88" s="868">
        <v>128.69999999999999</v>
      </c>
      <c r="AI88" s="869">
        <v>37</v>
      </c>
    </row>
    <row r="89" spans="1:35" ht="21.95" customHeight="1">
      <c r="A89" s="576"/>
      <c r="B89" s="583"/>
      <c r="C89" s="583"/>
      <c r="D89" s="583"/>
      <c r="E89" s="583"/>
      <c r="F89" s="583"/>
      <c r="G89" s="583"/>
      <c r="H89" s="583"/>
      <c r="I89" s="555"/>
      <c r="J89" s="555"/>
      <c r="K89" s="555"/>
      <c r="L89" s="555"/>
      <c r="M89" s="555"/>
      <c r="N89" s="555"/>
      <c r="O89" s="555"/>
      <c r="P89" s="555"/>
      <c r="Q89" s="555"/>
      <c r="R89" s="555"/>
      <c r="S89" s="555"/>
      <c r="T89" s="555"/>
      <c r="U89" s="555"/>
      <c r="V89" s="555"/>
      <c r="W89" s="555"/>
      <c r="X89" s="555"/>
      <c r="Y89" s="555"/>
      <c r="Z89" s="555"/>
      <c r="AA89" s="555"/>
      <c r="AB89" s="555"/>
      <c r="AC89" s="555"/>
      <c r="AD89" s="555"/>
      <c r="AE89" s="555"/>
      <c r="AF89" s="555"/>
      <c r="AH89" s="556"/>
      <c r="AI89" s="556"/>
    </row>
    <row r="90" spans="1:35" ht="21.95" customHeight="1">
      <c r="A90" s="576"/>
      <c r="B90" s="583"/>
      <c r="C90" s="555"/>
      <c r="D90" s="555"/>
      <c r="E90" s="555"/>
      <c r="F90" s="555"/>
      <c r="G90" s="555"/>
      <c r="H90" s="555"/>
      <c r="I90" s="555"/>
      <c r="J90" s="555"/>
      <c r="K90" s="555"/>
      <c r="L90" s="555"/>
      <c r="M90" s="555"/>
      <c r="N90" s="555"/>
      <c r="O90" s="555"/>
      <c r="P90" s="555"/>
      <c r="Q90" s="555"/>
      <c r="R90" s="555"/>
      <c r="S90" s="555"/>
      <c r="T90" s="555"/>
      <c r="U90" s="555"/>
      <c r="V90" s="555"/>
      <c r="W90" s="555"/>
      <c r="X90" s="555"/>
      <c r="Y90" s="555"/>
      <c r="Z90" s="555"/>
      <c r="AA90" s="555"/>
      <c r="AB90" s="555"/>
      <c r="AC90" s="555"/>
      <c r="AD90" s="555"/>
      <c r="AE90" s="555"/>
      <c r="AF90" s="555"/>
      <c r="AG90" s="555"/>
      <c r="AH90" s="556"/>
      <c r="AI90" s="556"/>
    </row>
    <row r="91" spans="1:35" ht="21.95" customHeight="1" thickBot="1">
      <c r="A91" s="1" t="s">
        <v>576</v>
      </c>
      <c r="D91" s="361"/>
      <c r="E91" s="361"/>
      <c r="F91" s="361"/>
      <c r="G91" s="546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5" ht="21.95" customHeight="1">
      <c r="A92" s="1"/>
      <c r="B92" s="23" t="s">
        <v>577</v>
      </c>
      <c r="C92" s="7"/>
      <c r="D92" s="522" t="s">
        <v>2</v>
      </c>
      <c r="E92" s="51"/>
      <c r="F92" s="548"/>
      <c r="G92" s="7"/>
      <c r="H92" s="522" t="s">
        <v>3</v>
      </c>
      <c r="I92" s="51"/>
      <c r="J92" s="548"/>
      <c r="K92" s="7"/>
      <c r="L92" s="522" t="s">
        <v>4</v>
      </c>
      <c r="M92" s="51"/>
      <c r="N92" s="548"/>
      <c r="O92" s="7"/>
      <c r="P92" s="522" t="s">
        <v>5</v>
      </c>
      <c r="Q92" s="51"/>
      <c r="R92" s="548"/>
      <c r="S92" s="7"/>
      <c r="T92" s="522" t="s">
        <v>6</v>
      </c>
      <c r="U92" s="51"/>
      <c r="V92" s="548"/>
      <c r="W92" s="7"/>
      <c r="X92" s="522" t="s">
        <v>7</v>
      </c>
      <c r="Y92" s="51"/>
      <c r="Z92" s="548"/>
      <c r="AA92" s="7"/>
      <c r="AB92" s="522" t="s">
        <v>8</v>
      </c>
      <c r="AC92" s="51"/>
      <c r="AD92" s="51"/>
      <c r="AE92" s="425" t="s">
        <v>10</v>
      </c>
      <c r="AF92" s="51"/>
      <c r="AG92" s="51"/>
      <c r="AH92" s="51"/>
      <c r="AI92" s="523"/>
    </row>
    <row r="93" spans="1:35" ht="21.95" customHeight="1">
      <c r="A93" s="1"/>
      <c r="B93" s="129" t="s">
        <v>324</v>
      </c>
      <c r="C93" s="121" t="s">
        <v>578</v>
      </c>
      <c r="D93" s="157"/>
      <c r="E93" s="157"/>
      <c r="F93" s="564"/>
      <c r="G93" s="121" t="s">
        <v>578</v>
      </c>
      <c r="H93" s="157"/>
      <c r="I93" s="157"/>
      <c r="J93" s="564"/>
      <c r="K93" s="121" t="s">
        <v>578</v>
      </c>
      <c r="L93" s="157"/>
      <c r="M93" s="157"/>
      <c r="N93" s="564"/>
      <c r="O93" s="121" t="s">
        <v>579</v>
      </c>
      <c r="P93" s="157"/>
      <c r="Q93" s="157"/>
      <c r="R93" s="564"/>
      <c r="S93" s="121" t="s">
        <v>167</v>
      </c>
      <c r="T93" s="157"/>
      <c r="U93" s="157"/>
      <c r="V93" s="564"/>
      <c r="W93" s="795"/>
      <c r="X93" s="577"/>
      <c r="Y93" s="577"/>
      <c r="Z93" s="578"/>
      <c r="AA93" s="563"/>
      <c r="AB93" s="157"/>
      <c r="AC93" s="157"/>
      <c r="AD93" s="565"/>
      <c r="AE93" s="128">
        <v>27</v>
      </c>
      <c r="AF93" s="157"/>
      <c r="AG93" s="157" t="s">
        <v>28</v>
      </c>
      <c r="AH93" s="565"/>
      <c r="AI93" s="490"/>
    </row>
    <row r="94" spans="1:35" ht="21.95" customHeight="1">
      <c r="A94" s="1"/>
      <c r="B94" s="129" t="s">
        <v>325</v>
      </c>
      <c r="C94" s="121" t="s">
        <v>580</v>
      </c>
      <c r="D94" s="157"/>
      <c r="E94" s="157"/>
      <c r="F94" s="564"/>
      <c r="G94" s="121" t="s">
        <v>580</v>
      </c>
      <c r="H94" s="157"/>
      <c r="I94" s="157"/>
      <c r="J94" s="564"/>
      <c r="K94" s="121" t="s">
        <v>580</v>
      </c>
      <c r="L94" s="157"/>
      <c r="M94" s="157"/>
      <c r="N94" s="564"/>
      <c r="O94" s="121" t="s">
        <v>580</v>
      </c>
      <c r="P94" s="157"/>
      <c r="Q94" s="157"/>
      <c r="R94" s="564"/>
      <c r="S94" s="121" t="s">
        <v>578</v>
      </c>
      <c r="T94" s="157"/>
      <c r="U94" s="157"/>
      <c r="V94" s="564"/>
      <c r="W94" s="121"/>
      <c r="X94" s="157"/>
      <c r="Y94" s="157"/>
      <c r="Z94" s="564"/>
      <c r="AA94" s="157"/>
      <c r="AB94" s="157"/>
      <c r="AC94" s="157"/>
      <c r="AD94" s="565"/>
      <c r="AE94" s="128">
        <v>39</v>
      </c>
      <c r="AF94" s="157"/>
      <c r="AG94" s="157"/>
      <c r="AH94" s="565"/>
      <c r="AI94" s="490"/>
    </row>
    <row r="95" spans="1:35" ht="21.95" customHeight="1">
      <c r="A95" s="1"/>
      <c r="B95" s="129" t="s">
        <v>326</v>
      </c>
      <c r="C95" s="121" t="s">
        <v>580</v>
      </c>
      <c r="D95" s="157"/>
      <c r="E95" s="157"/>
      <c r="F95" s="564"/>
      <c r="G95" s="121" t="s">
        <v>580</v>
      </c>
      <c r="H95" s="157"/>
      <c r="I95" s="157"/>
      <c r="J95" s="564"/>
      <c r="K95" s="121" t="s">
        <v>580</v>
      </c>
      <c r="L95" s="157"/>
      <c r="M95" s="157"/>
      <c r="N95" s="564"/>
      <c r="O95" s="121" t="s">
        <v>580</v>
      </c>
      <c r="P95" s="157"/>
      <c r="Q95" s="157"/>
      <c r="R95" s="564"/>
      <c r="S95" s="121" t="s">
        <v>580</v>
      </c>
      <c r="T95" s="157"/>
      <c r="U95" s="157"/>
      <c r="V95" s="564"/>
      <c r="W95" s="584" t="s">
        <v>581</v>
      </c>
      <c r="X95" s="135"/>
      <c r="Y95" s="135"/>
      <c r="Z95" s="580"/>
      <c r="AA95" s="579"/>
      <c r="AB95" s="135"/>
      <c r="AC95" s="135"/>
      <c r="AD95" s="581"/>
      <c r="AE95" s="128">
        <v>45</v>
      </c>
      <c r="AF95" s="157"/>
      <c r="AG95" s="157"/>
      <c r="AH95" s="565"/>
      <c r="AI95" s="490"/>
    </row>
    <row r="96" spans="1:35" ht="21.95" customHeight="1" thickBot="1">
      <c r="A96" s="1"/>
      <c r="B96" s="16" t="s">
        <v>236</v>
      </c>
      <c r="C96" s="57"/>
      <c r="D96" s="53"/>
      <c r="E96" s="53"/>
      <c r="F96" s="571"/>
      <c r="G96" s="57"/>
      <c r="H96" s="53"/>
      <c r="I96" s="53"/>
      <c r="J96" s="571"/>
      <c r="K96" s="57"/>
      <c r="L96" s="53"/>
      <c r="M96" s="53"/>
      <c r="N96" s="571"/>
      <c r="O96" s="57"/>
      <c r="P96" s="53"/>
      <c r="Q96" s="53"/>
      <c r="R96" s="571"/>
      <c r="S96" s="57"/>
      <c r="T96" s="53"/>
      <c r="U96" s="53"/>
      <c r="V96" s="573"/>
      <c r="W96" s="57"/>
      <c r="X96" s="573"/>
      <c r="Y96" s="53"/>
      <c r="Z96" s="571"/>
      <c r="AA96" s="57"/>
      <c r="AB96" s="573"/>
      <c r="AC96" s="53"/>
      <c r="AD96" s="571"/>
      <c r="AE96" s="582"/>
      <c r="AF96" s="53"/>
      <c r="AG96" s="53"/>
      <c r="AH96" s="573"/>
      <c r="AI96" s="536"/>
    </row>
    <row r="97" spans="1:35" ht="21.95" customHeight="1" thickBot="1">
      <c r="A97" s="574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 thickBot="1">
      <c r="A98" s="861"/>
      <c r="B98" s="862" t="s">
        <v>476</v>
      </c>
      <c r="C98" s="863">
        <v>1</v>
      </c>
      <c r="D98" s="863">
        <v>2</v>
      </c>
      <c r="E98" s="863">
        <v>3</v>
      </c>
      <c r="F98" s="880">
        <v>4</v>
      </c>
      <c r="G98" s="880">
        <v>5</v>
      </c>
      <c r="H98" s="863">
        <v>6</v>
      </c>
      <c r="I98" s="863">
        <v>7</v>
      </c>
      <c r="J98" s="863">
        <v>8</v>
      </c>
      <c r="K98" s="863">
        <v>9</v>
      </c>
      <c r="L98" s="863">
        <v>10</v>
      </c>
      <c r="M98" s="880">
        <v>11</v>
      </c>
      <c r="N98" s="880">
        <v>12</v>
      </c>
      <c r="O98" s="863">
        <v>13</v>
      </c>
      <c r="P98" s="863">
        <v>14</v>
      </c>
      <c r="Q98" s="863">
        <v>15</v>
      </c>
      <c r="R98" s="863">
        <v>16</v>
      </c>
      <c r="S98" s="863">
        <v>17</v>
      </c>
      <c r="T98" s="880">
        <v>18</v>
      </c>
      <c r="U98" s="880">
        <v>19</v>
      </c>
      <c r="V98" s="863">
        <v>20</v>
      </c>
      <c r="W98" s="863">
        <v>21</v>
      </c>
      <c r="X98" s="863">
        <v>22</v>
      </c>
      <c r="Y98" s="863">
        <v>23</v>
      </c>
      <c r="Z98" s="863">
        <v>24</v>
      </c>
      <c r="AA98" s="880">
        <v>25</v>
      </c>
      <c r="AB98" s="880">
        <v>26</v>
      </c>
      <c r="AC98" s="863">
        <v>27</v>
      </c>
      <c r="AD98" s="863">
        <v>28</v>
      </c>
      <c r="AE98" s="863">
        <v>29</v>
      </c>
      <c r="AF98" s="863">
        <v>30</v>
      </c>
      <c r="AG98" s="943">
        <v>31</v>
      </c>
      <c r="AH98" s="864" t="s">
        <v>477</v>
      </c>
      <c r="AI98" s="865" t="s">
        <v>478</v>
      </c>
    </row>
    <row r="99" spans="1:35" ht="21.95" customHeight="1">
      <c r="A99" s="870">
        <v>1</v>
      </c>
      <c r="B99" s="879" t="s">
        <v>582</v>
      </c>
      <c r="C99" s="955" t="s">
        <v>584</v>
      </c>
      <c r="D99" s="955" t="s">
        <v>584</v>
      </c>
      <c r="E99" s="955" t="s">
        <v>481</v>
      </c>
      <c r="F99" s="955"/>
      <c r="G99" s="955"/>
      <c r="H99" s="1184" t="s">
        <v>586</v>
      </c>
      <c r="I99" s="955" t="s">
        <v>585</v>
      </c>
      <c r="J99" s="955" t="s">
        <v>585</v>
      </c>
      <c r="K99" s="1184" t="s">
        <v>586</v>
      </c>
      <c r="L99" s="955" t="s">
        <v>585</v>
      </c>
      <c r="M99" s="955"/>
      <c r="N99" s="955"/>
      <c r="O99" s="955" t="s">
        <v>583</v>
      </c>
      <c r="P99" s="1184" t="s">
        <v>586</v>
      </c>
      <c r="Q99" s="1185" t="s">
        <v>583</v>
      </c>
      <c r="R99" s="1185" t="s">
        <v>583</v>
      </c>
      <c r="S99" s="1185" t="s">
        <v>583</v>
      </c>
      <c r="T99" s="1186" t="s">
        <v>583</v>
      </c>
      <c r="U99" s="955"/>
      <c r="V99" s="1184" t="s">
        <v>586</v>
      </c>
      <c r="W99" s="1184" t="s">
        <v>586</v>
      </c>
      <c r="X99" s="1230" t="s">
        <v>586</v>
      </c>
      <c r="Y99" s="1231" t="s">
        <v>584</v>
      </c>
      <c r="Z99" s="1231" t="s">
        <v>481</v>
      </c>
      <c r="AA99" s="1231"/>
      <c r="AB99" s="1231"/>
      <c r="AC99" s="1231" t="s">
        <v>585</v>
      </c>
      <c r="AD99" s="1230" t="s">
        <v>586</v>
      </c>
      <c r="AE99" s="1231" t="s">
        <v>585</v>
      </c>
      <c r="AF99" s="1231" t="s">
        <v>585</v>
      </c>
      <c r="AG99" s="1232" t="s">
        <v>585</v>
      </c>
      <c r="AH99" s="510">
        <v>95</v>
      </c>
      <c r="AI99" s="511">
        <v>37</v>
      </c>
    </row>
    <row r="100" spans="1:35" ht="21.95" customHeight="1">
      <c r="A100" s="575">
        <v>2</v>
      </c>
      <c r="B100" s="857" t="s">
        <v>587</v>
      </c>
      <c r="C100" s="768" t="s">
        <v>585</v>
      </c>
      <c r="D100" s="768" t="s">
        <v>585</v>
      </c>
      <c r="E100" s="768" t="s">
        <v>585</v>
      </c>
      <c r="F100" s="768"/>
      <c r="G100" s="768"/>
      <c r="H100" s="768" t="s">
        <v>583</v>
      </c>
      <c r="I100" s="768" t="s">
        <v>583</v>
      </c>
      <c r="J100" s="768" t="s">
        <v>583</v>
      </c>
      <c r="K100" s="768" t="s">
        <v>583</v>
      </c>
      <c r="L100" s="768" t="s">
        <v>583</v>
      </c>
      <c r="M100" s="768" t="s">
        <v>583</v>
      </c>
      <c r="N100" s="768"/>
      <c r="O100" s="970" t="s">
        <v>584</v>
      </c>
      <c r="P100" s="970" t="s">
        <v>584</v>
      </c>
      <c r="Q100" s="970" t="s">
        <v>584</v>
      </c>
      <c r="R100" s="970" t="s">
        <v>584</v>
      </c>
      <c r="S100" s="970" t="s">
        <v>481</v>
      </c>
      <c r="T100" s="970"/>
      <c r="U100" s="970"/>
      <c r="V100" s="768" t="s">
        <v>585</v>
      </c>
      <c r="W100" s="768" t="s">
        <v>585</v>
      </c>
      <c r="X100" s="768" t="s">
        <v>585</v>
      </c>
      <c r="Y100" s="1131" t="s">
        <v>585</v>
      </c>
      <c r="Z100" s="768" t="s">
        <v>585</v>
      </c>
      <c r="AA100" s="768"/>
      <c r="AB100" s="768"/>
      <c r="AC100" s="1007" t="s">
        <v>583</v>
      </c>
      <c r="AD100" s="768" t="s">
        <v>583</v>
      </c>
      <c r="AE100" s="768" t="s">
        <v>583</v>
      </c>
      <c r="AF100" s="768" t="s">
        <v>583</v>
      </c>
      <c r="AG100" s="774" t="s">
        <v>583</v>
      </c>
      <c r="AH100" s="924">
        <v>64</v>
      </c>
      <c r="AI100" s="925">
        <v>37</v>
      </c>
    </row>
    <row r="101" spans="1:35" ht="21.95" customHeight="1">
      <c r="A101" s="575">
        <v>3</v>
      </c>
      <c r="B101" s="857" t="s">
        <v>289</v>
      </c>
      <c r="C101" s="768" t="s">
        <v>583</v>
      </c>
      <c r="D101" s="768" t="s">
        <v>583</v>
      </c>
      <c r="E101" s="768" t="s">
        <v>583</v>
      </c>
      <c r="F101" s="768" t="s">
        <v>583</v>
      </c>
      <c r="G101" s="768"/>
      <c r="H101" s="970" t="s">
        <v>584</v>
      </c>
      <c r="I101" s="970" t="s">
        <v>584</v>
      </c>
      <c r="J101" s="970" t="s">
        <v>584</v>
      </c>
      <c r="K101" s="970" t="s">
        <v>584</v>
      </c>
      <c r="L101" s="970" t="s">
        <v>481</v>
      </c>
      <c r="M101" s="970"/>
      <c r="N101" s="970"/>
      <c r="O101" s="768" t="s">
        <v>585</v>
      </c>
      <c r="P101" s="768" t="s">
        <v>585</v>
      </c>
      <c r="Q101" s="768" t="s">
        <v>585</v>
      </c>
      <c r="R101" s="768" t="s">
        <v>585</v>
      </c>
      <c r="S101" s="768" t="s">
        <v>585</v>
      </c>
      <c r="T101" s="768"/>
      <c r="U101" s="768"/>
      <c r="V101" s="768" t="s">
        <v>583</v>
      </c>
      <c r="W101" s="768" t="s">
        <v>583</v>
      </c>
      <c r="X101" s="768" t="s">
        <v>583</v>
      </c>
      <c r="Y101" s="768" t="s">
        <v>583</v>
      </c>
      <c r="Z101" s="768" t="s">
        <v>583</v>
      </c>
      <c r="AA101" s="768" t="s">
        <v>583</v>
      </c>
      <c r="AB101" s="768"/>
      <c r="AC101" s="768" t="s">
        <v>584</v>
      </c>
      <c r="AD101" s="768" t="s">
        <v>584</v>
      </c>
      <c r="AE101" s="768" t="s">
        <v>584</v>
      </c>
      <c r="AF101" s="768" t="s">
        <v>584</v>
      </c>
      <c r="AG101" s="774" t="s">
        <v>481</v>
      </c>
      <c r="AH101" s="924">
        <v>90</v>
      </c>
      <c r="AI101" s="925">
        <v>37</v>
      </c>
    </row>
    <row r="102" spans="1:35" ht="21.95" customHeight="1" thickBot="1">
      <c r="A102" s="575">
        <v>4</v>
      </c>
      <c r="B102" s="857"/>
      <c r="C102" s="761"/>
      <c r="D102" s="928"/>
      <c r="E102" s="761"/>
      <c r="F102" s="761"/>
      <c r="G102" s="761"/>
      <c r="H102" s="761"/>
      <c r="I102" s="761"/>
      <c r="J102" s="928"/>
      <c r="K102" s="928"/>
      <c r="L102" s="761"/>
      <c r="M102" s="761"/>
      <c r="N102" s="761"/>
      <c r="O102" s="761"/>
      <c r="P102" s="761"/>
      <c r="Q102" s="928"/>
      <c r="R102" s="928"/>
      <c r="S102" s="928"/>
      <c r="T102" s="928"/>
      <c r="U102" s="928"/>
      <c r="V102" s="928"/>
      <c r="W102" s="928"/>
      <c r="X102" s="761"/>
      <c r="Y102" s="928"/>
      <c r="Z102" s="761"/>
      <c r="AA102" s="761"/>
      <c r="AB102" s="761"/>
      <c r="AC102" s="761"/>
      <c r="AD102" s="761"/>
      <c r="AE102" s="761"/>
      <c r="AF102" s="928"/>
      <c r="AG102" s="775"/>
      <c r="AH102" s="924">
        <v>185</v>
      </c>
      <c r="AI102" s="925">
        <v>37</v>
      </c>
    </row>
    <row r="103" spans="1:35" ht="21.95" customHeight="1">
      <c r="A103" s="576"/>
      <c r="B103" s="583"/>
      <c r="C103" s="555"/>
      <c r="D103" s="538"/>
      <c r="E103" s="538"/>
      <c r="F103" s="538"/>
      <c r="G103" s="538"/>
      <c r="H103" s="538"/>
      <c r="I103" s="555"/>
      <c r="J103" s="555"/>
      <c r="K103" s="538"/>
      <c r="L103" s="538"/>
      <c r="M103" s="538"/>
      <c r="N103" s="538"/>
      <c r="O103" s="538"/>
      <c r="P103" s="538"/>
      <c r="Q103" s="555"/>
      <c r="R103" s="538"/>
      <c r="S103" s="538"/>
      <c r="T103" s="538"/>
      <c r="U103" s="538"/>
      <c r="V103" s="538"/>
      <c r="W103" s="555"/>
      <c r="X103" s="555"/>
      <c r="Y103" s="538"/>
      <c r="Z103" s="538"/>
      <c r="AA103" s="538"/>
      <c r="AB103" s="538"/>
      <c r="AC103" s="538"/>
      <c r="AD103" s="538"/>
      <c r="AE103" s="555"/>
      <c r="AF103" s="538"/>
      <c r="AG103" s="538"/>
      <c r="AH103" s="556"/>
      <c r="AI103" s="556"/>
    </row>
    <row r="104" spans="1:35" ht="21.95" customHeight="1" thickBot="1">
      <c r="A104" s="805" t="s">
        <v>588</v>
      </c>
      <c r="B104" s="538"/>
      <c r="C104" s="555"/>
      <c r="D104" s="538"/>
      <c r="E104" s="538"/>
      <c r="F104" s="538"/>
      <c r="G104" s="538"/>
      <c r="H104" s="538"/>
      <c r="I104" s="555"/>
      <c r="J104" s="555"/>
      <c r="K104" s="538"/>
      <c r="L104" s="538"/>
      <c r="M104" s="538"/>
      <c r="N104" s="538"/>
      <c r="O104" s="538"/>
      <c r="P104" s="538"/>
      <c r="Q104" s="555"/>
      <c r="R104" s="538"/>
      <c r="S104" s="538"/>
      <c r="T104" s="538"/>
      <c r="U104" s="538"/>
      <c r="V104" s="538"/>
      <c r="W104" s="555"/>
      <c r="X104" s="555"/>
      <c r="Y104" s="538"/>
      <c r="Z104" s="538"/>
      <c r="AA104" s="538"/>
      <c r="AB104" s="538"/>
      <c r="AC104" s="538"/>
      <c r="AD104" s="538"/>
      <c r="AE104" s="555"/>
      <c r="AF104" s="538"/>
      <c r="AG104" s="538"/>
      <c r="AH104" s="556"/>
      <c r="AI104" s="556"/>
    </row>
    <row r="105" spans="1:35" ht="21.95" customHeight="1">
      <c r="A105" s="576"/>
      <c r="B105" s="806" t="s">
        <v>589</v>
      </c>
      <c r="C105" s="814"/>
      <c r="D105" s="807" t="s">
        <v>2</v>
      </c>
      <c r="E105" s="808"/>
      <c r="F105" s="809"/>
      <c r="G105" s="810"/>
      <c r="H105" s="807" t="s">
        <v>3</v>
      </c>
      <c r="I105" s="808"/>
      <c r="J105" s="809"/>
      <c r="K105" s="810"/>
      <c r="L105" s="807" t="s">
        <v>4</v>
      </c>
      <c r="M105" s="808"/>
      <c r="N105" s="809"/>
      <c r="O105" s="810"/>
      <c r="P105" s="807" t="s">
        <v>5</v>
      </c>
      <c r="Q105" s="808"/>
      <c r="R105" s="809"/>
      <c r="S105" s="810"/>
      <c r="T105" s="807" t="s">
        <v>6</v>
      </c>
      <c r="U105" s="808"/>
      <c r="V105" s="809"/>
      <c r="W105" s="810"/>
      <c r="X105" s="807" t="s">
        <v>7</v>
      </c>
      <c r="Y105" s="808"/>
      <c r="Z105" s="809"/>
      <c r="AA105" s="810"/>
      <c r="AB105" s="807" t="s">
        <v>8</v>
      </c>
      <c r="AC105" s="808"/>
      <c r="AD105" s="808"/>
      <c r="AE105" s="811" t="s">
        <v>10</v>
      </c>
      <c r="AF105" s="808"/>
      <c r="AG105" s="808"/>
      <c r="AH105" s="808"/>
      <c r="AI105" s="812"/>
    </row>
    <row r="106" spans="1:35" ht="21.95" customHeight="1">
      <c r="A106" s="576"/>
      <c r="B106" s="832" t="s">
        <v>590</v>
      </c>
      <c r="C106" s="815" t="s">
        <v>591</v>
      </c>
      <c r="D106" s="831" t="s">
        <v>592</v>
      </c>
      <c r="E106" s="816"/>
      <c r="F106" s="813"/>
      <c r="G106" s="815"/>
      <c r="H106" s="831" t="s">
        <v>592</v>
      </c>
      <c r="I106" s="816"/>
      <c r="J106" s="813"/>
      <c r="K106" s="815"/>
      <c r="L106" s="831" t="s">
        <v>592</v>
      </c>
      <c r="M106" s="816"/>
      <c r="N106" s="813"/>
      <c r="O106" s="815"/>
      <c r="P106" s="831" t="s">
        <v>593</v>
      </c>
      <c r="Q106" s="816"/>
      <c r="R106" s="813"/>
      <c r="S106" s="815"/>
      <c r="T106" s="831" t="s">
        <v>594</v>
      </c>
      <c r="U106" s="816"/>
      <c r="V106" s="813"/>
      <c r="W106" s="815"/>
      <c r="X106" s="816"/>
      <c r="Y106" s="816"/>
      <c r="Z106" s="813"/>
      <c r="AA106" s="815"/>
      <c r="AB106" s="816"/>
      <c r="AC106" s="816"/>
      <c r="AD106" s="816"/>
      <c r="AE106" s="815"/>
      <c r="AF106" s="816"/>
      <c r="AG106" s="816"/>
      <c r="AH106" s="818"/>
      <c r="AI106" s="819"/>
    </row>
    <row r="107" spans="1:35" ht="21.95" customHeight="1">
      <c r="A107" s="576"/>
      <c r="B107" s="833" t="s">
        <v>595</v>
      </c>
      <c r="C107" s="815" t="s">
        <v>596</v>
      </c>
      <c r="D107" s="831" t="s">
        <v>592</v>
      </c>
      <c r="E107" s="816"/>
      <c r="F107" s="813"/>
      <c r="G107" s="815"/>
      <c r="H107" s="831" t="s">
        <v>592</v>
      </c>
      <c r="I107" s="816"/>
      <c r="J107" s="813"/>
      <c r="K107" s="815"/>
      <c r="L107" s="831" t="s">
        <v>592</v>
      </c>
      <c r="M107" s="816"/>
      <c r="N107" s="813"/>
      <c r="O107" s="815"/>
      <c r="P107" s="831" t="s">
        <v>593</v>
      </c>
      <c r="Q107" s="816"/>
      <c r="R107" s="813"/>
      <c r="S107" s="815"/>
      <c r="T107" s="831" t="s">
        <v>594</v>
      </c>
      <c r="U107" s="816"/>
      <c r="V107" s="813"/>
      <c r="W107" s="815"/>
      <c r="X107" s="816"/>
      <c r="Y107" s="816"/>
      <c r="Z107" s="813"/>
      <c r="AA107" s="815"/>
      <c r="AB107" s="816"/>
      <c r="AC107" s="816"/>
      <c r="AD107" s="816"/>
      <c r="AE107" s="815"/>
      <c r="AF107" s="816"/>
      <c r="AG107" s="816"/>
      <c r="AH107" s="818"/>
      <c r="AI107" s="819"/>
    </row>
    <row r="108" spans="1:35" ht="21.95" customHeight="1">
      <c r="A108" s="576"/>
      <c r="B108" s="833" t="s">
        <v>597</v>
      </c>
      <c r="C108" s="815" t="s">
        <v>598</v>
      </c>
      <c r="D108" s="831" t="s">
        <v>592</v>
      </c>
      <c r="E108" s="816"/>
      <c r="F108" s="813"/>
      <c r="G108" s="815"/>
      <c r="H108" s="831" t="s">
        <v>592</v>
      </c>
      <c r="I108" s="816"/>
      <c r="J108" s="813"/>
      <c r="K108" s="815"/>
      <c r="L108" s="831" t="s">
        <v>592</v>
      </c>
      <c r="M108" s="816"/>
      <c r="N108" s="813"/>
      <c r="O108" s="815"/>
      <c r="P108" s="831" t="s">
        <v>593</v>
      </c>
      <c r="Q108" s="816"/>
      <c r="R108" s="813"/>
      <c r="S108" s="815"/>
      <c r="T108" s="831" t="s">
        <v>594</v>
      </c>
      <c r="U108" s="816"/>
      <c r="V108" s="813"/>
      <c r="W108" s="815"/>
      <c r="X108" s="816"/>
      <c r="Y108" s="816"/>
      <c r="Z108" s="813"/>
      <c r="AA108" s="815"/>
      <c r="AB108" s="816"/>
      <c r="AC108" s="816"/>
      <c r="AD108" s="816"/>
      <c r="AE108" s="815"/>
      <c r="AF108" s="816"/>
      <c r="AG108" s="816"/>
      <c r="AH108" s="818"/>
      <c r="AI108" s="819"/>
    </row>
    <row r="109" spans="1:35" ht="21.95" customHeight="1">
      <c r="A109" s="576"/>
      <c r="B109" s="833" t="s">
        <v>599</v>
      </c>
      <c r="C109" s="815" t="s">
        <v>600</v>
      </c>
      <c r="D109" s="831" t="s">
        <v>592</v>
      </c>
      <c r="E109" s="816"/>
      <c r="F109" s="813"/>
      <c r="G109" s="815"/>
      <c r="H109" s="831" t="s">
        <v>592</v>
      </c>
      <c r="I109" s="816"/>
      <c r="J109" s="813"/>
      <c r="K109" s="815"/>
      <c r="L109" s="831" t="s">
        <v>592</v>
      </c>
      <c r="M109" s="816"/>
      <c r="N109" s="813"/>
      <c r="O109" s="815"/>
      <c r="P109" s="831" t="s">
        <v>593</v>
      </c>
      <c r="Q109" s="816"/>
      <c r="R109" s="813"/>
      <c r="S109" s="815"/>
      <c r="T109" s="831" t="s">
        <v>594</v>
      </c>
      <c r="U109" s="816"/>
      <c r="V109" s="813"/>
      <c r="W109" s="815"/>
      <c r="X109" s="816"/>
      <c r="Y109" s="816"/>
      <c r="Z109" s="813"/>
      <c r="AA109" s="815"/>
      <c r="AB109" s="816"/>
      <c r="AC109" s="816"/>
      <c r="AD109" s="816"/>
      <c r="AE109" s="815"/>
      <c r="AF109" s="816"/>
      <c r="AG109" s="816"/>
      <c r="AH109" s="818"/>
      <c r="AI109" s="819"/>
    </row>
    <row r="110" spans="1:35" ht="21.95" customHeight="1">
      <c r="A110" s="576"/>
      <c r="B110" s="833" t="s">
        <v>601</v>
      </c>
      <c r="C110" s="815" t="s">
        <v>602</v>
      </c>
      <c r="D110" s="831" t="s">
        <v>592</v>
      </c>
      <c r="E110" s="816"/>
      <c r="F110" s="813"/>
      <c r="G110" s="815"/>
      <c r="H110" s="831" t="s">
        <v>592</v>
      </c>
      <c r="I110" s="816"/>
      <c r="J110" s="813"/>
      <c r="K110" s="815"/>
      <c r="L110" s="831" t="s">
        <v>592</v>
      </c>
      <c r="M110" s="816"/>
      <c r="N110" s="813"/>
      <c r="O110" s="815"/>
      <c r="P110" s="831" t="s">
        <v>593</v>
      </c>
      <c r="Q110" s="816"/>
      <c r="R110" s="813"/>
      <c r="S110" s="815"/>
      <c r="T110" s="831" t="s">
        <v>594</v>
      </c>
      <c r="U110" s="816"/>
      <c r="V110" s="813"/>
      <c r="W110" s="815"/>
      <c r="X110" s="816"/>
      <c r="Y110" s="816"/>
      <c r="Z110" s="813"/>
      <c r="AA110" s="815"/>
      <c r="AB110" s="816"/>
      <c r="AC110" s="816"/>
      <c r="AD110" s="816"/>
      <c r="AE110" s="815"/>
      <c r="AF110" s="816"/>
      <c r="AG110" s="816"/>
      <c r="AH110" s="818"/>
      <c r="AI110" s="819"/>
    </row>
    <row r="111" spans="1:35" ht="21.95" customHeight="1">
      <c r="A111" s="576"/>
      <c r="B111" s="833" t="s">
        <v>603</v>
      </c>
      <c r="C111" s="815" t="s">
        <v>604</v>
      </c>
      <c r="D111" s="831" t="s">
        <v>592</v>
      </c>
      <c r="E111" s="816"/>
      <c r="F111" s="813"/>
      <c r="G111" s="815"/>
      <c r="H111" s="831" t="s">
        <v>592</v>
      </c>
      <c r="I111" s="816"/>
      <c r="J111" s="813"/>
      <c r="K111" s="815"/>
      <c r="L111" s="831" t="s">
        <v>592</v>
      </c>
      <c r="M111" s="816"/>
      <c r="N111" s="813"/>
      <c r="O111" s="815"/>
      <c r="P111" s="831" t="s">
        <v>593</v>
      </c>
      <c r="Q111" s="816"/>
      <c r="R111" s="813"/>
      <c r="S111" s="815"/>
      <c r="T111" s="831" t="s">
        <v>594</v>
      </c>
      <c r="U111" s="816"/>
      <c r="V111" s="813"/>
      <c r="W111" s="815"/>
      <c r="X111" s="816"/>
      <c r="Y111" s="816"/>
      <c r="Z111" s="813"/>
      <c r="AA111" s="815"/>
      <c r="AB111" s="816"/>
      <c r="AC111" s="816"/>
      <c r="AD111" s="816"/>
      <c r="AE111" s="815"/>
      <c r="AF111" s="816"/>
      <c r="AG111" s="816"/>
      <c r="AH111" s="818"/>
      <c r="AI111" s="819"/>
    </row>
    <row r="112" spans="1:35" ht="21.95" customHeight="1">
      <c r="A112" s="576"/>
      <c r="B112" s="833" t="s">
        <v>605</v>
      </c>
      <c r="C112" s="815" t="s">
        <v>606</v>
      </c>
      <c r="D112" s="831" t="s">
        <v>592</v>
      </c>
      <c r="E112" s="816"/>
      <c r="F112" s="813"/>
      <c r="G112" s="815"/>
      <c r="H112" s="831" t="s">
        <v>592</v>
      </c>
      <c r="I112" s="816"/>
      <c r="J112" s="813"/>
      <c r="K112" s="815"/>
      <c r="L112" s="831" t="s">
        <v>592</v>
      </c>
      <c r="M112" s="816"/>
      <c r="N112" s="813"/>
      <c r="O112" s="815"/>
      <c r="P112" s="831" t="s">
        <v>593</v>
      </c>
      <c r="Q112" s="816"/>
      <c r="R112" s="813"/>
      <c r="S112" s="815"/>
      <c r="T112" s="831" t="s">
        <v>594</v>
      </c>
      <c r="U112" s="816"/>
      <c r="V112" s="813"/>
      <c r="W112" s="815"/>
      <c r="X112" s="816"/>
      <c r="Y112" s="816"/>
      <c r="Z112" s="813"/>
      <c r="AA112" s="815"/>
      <c r="AB112" s="816"/>
      <c r="AC112" s="816"/>
      <c r="AD112" s="816"/>
      <c r="AE112" s="815"/>
      <c r="AF112" s="816"/>
      <c r="AG112" s="816"/>
      <c r="AH112" s="818"/>
      <c r="AI112" s="819"/>
    </row>
    <row r="113" spans="1:35" ht="21.95" customHeight="1">
      <c r="A113" s="576"/>
      <c r="B113" s="833" t="s">
        <v>605</v>
      </c>
      <c r="C113" s="815" t="s">
        <v>607</v>
      </c>
      <c r="D113" s="831" t="s">
        <v>592</v>
      </c>
      <c r="E113" s="816"/>
      <c r="F113" s="813"/>
      <c r="G113" s="815"/>
      <c r="H113" s="831" t="s">
        <v>592</v>
      </c>
      <c r="I113" s="816"/>
      <c r="J113" s="813"/>
      <c r="K113" s="815"/>
      <c r="L113" s="831" t="s">
        <v>592</v>
      </c>
      <c r="M113" s="816"/>
      <c r="N113" s="813"/>
      <c r="O113" s="815"/>
      <c r="P113" s="831" t="s">
        <v>593</v>
      </c>
      <c r="Q113" s="816"/>
      <c r="R113" s="813"/>
      <c r="S113" s="815"/>
      <c r="T113" s="831" t="s">
        <v>594</v>
      </c>
      <c r="U113" s="816"/>
      <c r="V113" s="813"/>
      <c r="W113" s="815"/>
      <c r="X113" s="816"/>
      <c r="Y113" s="816"/>
      <c r="Z113" s="813"/>
      <c r="AA113" s="815"/>
      <c r="AB113" s="816"/>
      <c r="AC113" s="816"/>
      <c r="AD113" s="816"/>
      <c r="AE113" s="815"/>
      <c r="AF113" s="816"/>
      <c r="AG113" s="816"/>
      <c r="AH113" s="818"/>
      <c r="AI113" s="819"/>
    </row>
    <row r="114" spans="1:35" ht="21.95" customHeight="1">
      <c r="A114" s="576"/>
      <c r="B114" s="833" t="s">
        <v>608</v>
      </c>
      <c r="C114" s="815" t="s">
        <v>609</v>
      </c>
      <c r="D114" s="831" t="s">
        <v>592</v>
      </c>
      <c r="E114" s="816"/>
      <c r="F114" s="813"/>
      <c r="G114" s="815"/>
      <c r="H114" s="831" t="s">
        <v>592</v>
      </c>
      <c r="I114" s="816"/>
      <c r="J114" s="813"/>
      <c r="K114" s="815"/>
      <c r="L114" s="831" t="s">
        <v>592</v>
      </c>
      <c r="M114" s="816"/>
      <c r="N114" s="813"/>
      <c r="O114" s="815"/>
      <c r="P114" s="831" t="s">
        <v>593</v>
      </c>
      <c r="Q114" s="816"/>
      <c r="R114" s="813"/>
      <c r="S114" s="815"/>
      <c r="T114" s="831" t="s">
        <v>594</v>
      </c>
      <c r="U114" s="816"/>
      <c r="V114" s="813"/>
      <c r="W114" s="815"/>
      <c r="X114" s="816"/>
      <c r="Y114" s="816"/>
      <c r="Z114" s="813"/>
      <c r="AA114" s="815"/>
      <c r="AB114" s="816"/>
      <c r="AC114" s="816"/>
      <c r="AD114" s="816"/>
      <c r="AE114" s="815"/>
      <c r="AF114" s="816"/>
      <c r="AG114" s="816"/>
      <c r="AH114" s="818"/>
      <c r="AI114" s="819"/>
    </row>
    <row r="115" spans="1:35" ht="21.95" customHeight="1">
      <c r="A115" s="576"/>
      <c r="B115" s="833" t="s">
        <v>610</v>
      </c>
      <c r="C115" s="815" t="s">
        <v>611</v>
      </c>
      <c r="D115" s="831" t="s">
        <v>592</v>
      </c>
      <c r="E115" s="816"/>
      <c r="F115" s="813"/>
      <c r="G115" s="815"/>
      <c r="H115" s="831" t="s">
        <v>592</v>
      </c>
      <c r="I115" s="816"/>
      <c r="J115" s="813"/>
      <c r="K115" s="815"/>
      <c r="L115" s="831" t="s">
        <v>592</v>
      </c>
      <c r="M115" s="816"/>
      <c r="N115" s="813"/>
      <c r="O115" s="815"/>
      <c r="P115" s="831" t="s">
        <v>593</v>
      </c>
      <c r="Q115" s="816"/>
      <c r="R115" s="813"/>
      <c r="S115" s="815"/>
      <c r="T115" s="831" t="s">
        <v>594</v>
      </c>
      <c r="U115" s="816"/>
      <c r="V115" s="813"/>
      <c r="W115" s="815"/>
      <c r="X115" s="816"/>
      <c r="Y115" s="816"/>
      <c r="Z115" s="813"/>
      <c r="AA115" s="815"/>
      <c r="AB115" s="816"/>
      <c r="AC115" s="816"/>
      <c r="AD115" s="816"/>
      <c r="AE115" s="815"/>
      <c r="AF115" s="816"/>
      <c r="AG115" s="816"/>
      <c r="AH115" s="818"/>
      <c r="AI115" s="819"/>
    </row>
    <row r="116" spans="1:35" ht="21.95" customHeight="1">
      <c r="A116" s="576"/>
      <c r="B116" s="833" t="s">
        <v>612</v>
      </c>
      <c r="C116" s="815" t="s">
        <v>613</v>
      </c>
      <c r="D116" s="831" t="s">
        <v>592</v>
      </c>
      <c r="E116" s="816"/>
      <c r="F116" s="813"/>
      <c r="G116" s="815"/>
      <c r="H116" s="831" t="s">
        <v>592</v>
      </c>
      <c r="I116" s="816"/>
      <c r="J116" s="813"/>
      <c r="K116" s="815"/>
      <c r="L116" s="831" t="s">
        <v>592</v>
      </c>
      <c r="M116" s="816"/>
      <c r="N116" s="813"/>
      <c r="O116" s="815"/>
      <c r="P116" s="831" t="s">
        <v>593</v>
      </c>
      <c r="Q116" s="816"/>
      <c r="R116" s="813"/>
      <c r="S116" s="815"/>
      <c r="T116" s="831" t="s">
        <v>594</v>
      </c>
      <c r="U116" s="816"/>
      <c r="V116" s="813"/>
      <c r="W116" s="815"/>
      <c r="X116" s="816"/>
      <c r="Y116" s="816"/>
      <c r="Z116" s="813"/>
      <c r="AA116" s="815"/>
      <c r="AB116" s="816"/>
      <c r="AC116" s="816"/>
      <c r="AD116" s="816"/>
      <c r="AE116" s="815"/>
      <c r="AF116" s="816"/>
      <c r="AG116" s="816"/>
      <c r="AH116" s="818"/>
      <c r="AI116" s="819"/>
    </row>
    <row r="117" spans="1:35" ht="21.95" customHeight="1" thickBot="1">
      <c r="A117" s="576"/>
      <c r="B117" s="583"/>
      <c r="C117" s="555"/>
      <c r="D117" s="538"/>
      <c r="E117" s="538"/>
      <c r="F117" s="538"/>
      <c r="G117" s="538"/>
      <c r="H117" s="538"/>
      <c r="I117" s="555"/>
      <c r="J117" s="555"/>
      <c r="K117" s="538"/>
      <c r="L117" s="538"/>
      <c r="M117" s="538"/>
      <c r="N117" s="538"/>
      <c r="O117" s="538"/>
      <c r="P117" s="538"/>
      <c r="Q117" s="555"/>
      <c r="R117" s="538"/>
      <c r="S117" s="538"/>
      <c r="T117" s="538"/>
      <c r="U117" s="538"/>
      <c r="V117" s="538"/>
      <c r="W117" s="555"/>
      <c r="X117" s="555"/>
      <c r="Y117" s="538"/>
      <c r="Z117" s="538"/>
      <c r="AA117" s="538"/>
      <c r="AB117" s="538"/>
      <c r="AC117" s="538"/>
      <c r="AD117" s="538"/>
      <c r="AE117" s="555"/>
      <c r="AF117" s="538"/>
      <c r="AG117" s="538"/>
      <c r="AH117" s="556"/>
      <c r="AI117" s="556"/>
    </row>
    <row r="118" spans="1:35" ht="21.95" customHeight="1" thickBot="1">
      <c r="A118" s="785"/>
      <c r="B118" s="883" t="s">
        <v>476</v>
      </c>
      <c r="C118" s="863">
        <v>1</v>
      </c>
      <c r="D118" s="863">
        <v>2</v>
      </c>
      <c r="E118" s="863">
        <v>3</v>
      </c>
      <c r="F118" s="880">
        <v>4</v>
      </c>
      <c r="G118" s="880">
        <v>5</v>
      </c>
      <c r="H118" s="863">
        <v>6</v>
      </c>
      <c r="I118" s="863">
        <v>7</v>
      </c>
      <c r="J118" s="863">
        <v>8</v>
      </c>
      <c r="K118" s="863">
        <v>9</v>
      </c>
      <c r="L118" s="863">
        <v>10</v>
      </c>
      <c r="M118" s="880">
        <v>11</v>
      </c>
      <c r="N118" s="880">
        <v>12</v>
      </c>
      <c r="O118" s="863">
        <v>13</v>
      </c>
      <c r="P118" s="863">
        <v>14</v>
      </c>
      <c r="Q118" s="863">
        <v>15</v>
      </c>
      <c r="R118" s="863">
        <v>16</v>
      </c>
      <c r="S118" s="863">
        <v>17</v>
      </c>
      <c r="T118" s="880">
        <v>18</v>
      </c>
      <c r="U118" s="880">
        <v>19</v>
      </c>
      <c r="V118" s="863">
        <v>20</v>
      </c>
      <c r="W118" s="863">
        <v>21</v>
      </c>
      <c r="X118" s="863">
        <v>22</v>
      </c>
      <c r="Y118" s="863">
        <v>23</v>
      </c>
      <c r="Z118" s="863">
        <v>24</v>
      </c>
      <c r="AA118" s="880">
        <v>25</v>
      </c>
      <c r="AB118" s="880">
        <v>26</v>
      </c>
      <c r="AC118" s="863">
        <v>27</v>
      </c>
      <c r="AD118" s="863">
        <v>28</v>
      </c>
      <c r="AE118" s="863">
        <v>29</v>
      </c>
      <c r="AF118" s="863">
        <v>30</v>
      </c>
      <c r="AG118" s="945">
        <v>31</v>
      </c>
      <c r="AH118" s="884" t="s">
        <v>477</v>
      </c>
      <c r="AI118" s="885" t="s">
        <v>478</v>
      </c>
    </row>
    <row r="119" spans="1:35" ht="21.95" customHeight="1">
      <c r="A119" s="576"/>
      <c r="B119" s="881" t="s">
        <v>614</v>
      </c>
      <c r="C119" s="1187" t="s">
        <v>591</v>
      </c>
      <c r="D119" s="1188" t="s">
        <v>591</v>
      </c>
      <c r="E119" s="1187" t="s">
        <v>591</v>
      </c>
      <c r="F119" s="1187"/>
      <c r="G119" s="882"/>
      <c r="H119" s="882" t="s">
        <v>591</v>
      </c>
      <c r="I119" s="882" t="s">
        <v>591</v>
      </c>
      <c r="J119" s="882" t="s">
        <v>591</v>
      </c>
      <c r="K119" s="882" t="s">
        <v>591</v>
      </c>
      <c r="L119" s="882" t="s">
        <v>591</v>
      </c>
      <c r="M119" s="882"/>
      <c r="N119" s="882"/>
      <c r="O119" s="882" t="s">
        <v>591</v>
      </c>
      <c r="P119" s="882" t="s">
        <v>591</v>
      </c>
      <c r="Q119" s="882" t="s">
        <v>591</v>
      </c>
      <c r="R119" s="882" t="s">
        <v>591</v>
      </c>
      <c r="S119" s="882" t="s">
        <v>591</v>
      </c>
      <c r="T119" s="882"/>
      <c r="U119" s="882"/>
      <c r="V119" s="882" t="s">
        <v>591</v>
      </c>
      <c r="W119" s="882" t="s">
        <v>591</v>
      </c>
      <c r="X119" s="882" t="s">
        <v>591</v>
      </c>
      <c r="Y119" s="882" t="s">
        <v>591</v>
      </c>
      <c r="Z119" s="882" t="s">
        <v>591</v>
      </c>
      <c r="AA119" s="882"/>
      <c r="AB119" s="882"/>
      <c r="AC119" s="882" t="s">
        <v>591</v>
      </c>
      <c r="AD119" s="882" t="s">
        <v>591</v>
      </c>
      <c r="AE119" s="882" t="s">
        <v>591</v>
      </c>
      <c r="AF119" s="882" t="s">
        <v>591</v>
      </c>
      <c r="AG119" s="882" t="s">
        <v>591</v>
      </c>
      <c r="AH119" s="510">
        <v>91.5</v>
      </c>
      <c r="AI119" s="511">
        <v>37</v>
      </c>
    </row>
    <row r="120" spans="1:35" ht="21.95" customHeight="1">
      <c r="A120" s="576"/>
      <c r="B120" s="804" t="s">
        <v>615</v>
      </c>
      <c r="C120" s="852" t="s">
        <v>591</v>
      </c>
      <c r="D120" s="782" t="s">
        <v>591</v>
      </c>
      <c r="E120" s="852" t="s">
        <v>591</v>
      </c>
      <c r="F120" s="852"/>
      <c r="G120" s="837"/>
      <c r="H120" s="837" t="s">
        <v>591</v>
      </c>
      <c r="I120" s="837" t="s">
        <v>591</v>
      </c>
      <c r="J120" s="837" t="s">
        <v>591</v>
      </c>
      <c r="K120" s="837" t="s">
        <v>591</v>
      </c>
      <c r="L120" s="837" t="s">
        <v>591</v>
      </c>
      <c r="M120" s="837"/>
      <c r="N120" s="837"/>
      <c r="O120" s="837" t="s">
        <v>591</v>
      </c>
      <c r="P120" s="837" t="s">
        <v>591</v>
      </c>
      <c r="Q120" s="837" t="s">
        <v>591</v>
      </c>
      <c r="R120" s="837" t="s">
        <v>591</v>
      </c>
      <c r="S120" s="837" t="s">
        <v>591</v>
      </c>
      <c r="T120" s="837"/>
      <c r="U120" s="837"/>
      <c r="V120" s="837" t="s">
        <v>591</v>
      </c>
      <c r="W120" s="837" t="s">
        <v>591</v>
      </c>
      <c r="X120" s="882" t="s">
        <v>591</v>
      </c>
      <c r="Y120" s="837" t="s">
        <v>591</v>
      </c>
      <c r="Z120" s="837" t="s">
        <v>591</v>
      </c>
      <c r="AA120" s="837"/>
      <c r="AB120" s="837"/>
      <c r="AC120" s="837" t="s">
        <v>591</v>
      </c>
      <c r="AD120" s="837" t="s">
        <v>591</v>
      </c>
      <c r="AE120" s="837" t="s">
        <v>591</v>
      </c>
      <c r="AF120" s="837" t="s">
        <v>591</v>
      </c>
      <c r="AG120" s="837" t="s">
        <v>591</v>
      </c>
      <c r="AH120" s="924">
        <v>66.75</v>
      </c>
      <c r="AI120" s="925">
        <v>37</v>
      </c>
    </row>
    <row r="121" spans="1:35" ht="21.95" customHeight="1">
      <c r="A121" s="576"/>
      <c r="B121" s="804" t="s">
        <v>616</v>
      </c>
      <c r="C121" s="852" t="s">
        <v>596</v>
      </c>
      <c r="D121" s="782" t="s">
        <v>596</v>
      </c>
      <c r="E121" s="852" t="s">
        <v>596</v>
      </c>
      <c r="F121" s="852"/>
      <c r="G121" s="837"/>
      <c r="H121" s="837" t="s">
        <v>596</v>
      </c>
      <c r="I121" s="837" t="s">
        <v>596</v>
      </c>
      <c r="J121" s="837" t="s">
        <v>596</v>
      </c>
      <c r="K121" s="837" t="s">
        <v>596</v>
      </c>
      <c r="L121" s="837" t="s">
        <v>596</v>
      </c>
      <c r="M121" s="837"/>
      <c r="N121" s="837"/>
      <c r="O121" s="837" t="s">
        <v>596</v>
      </c>
      <c r="P121" s="837" t="s">
        <v>596</v>
      </c>
      <c r="Q121" s="837" t="s">
        <v>596</v>
      </c>
      <c r="R121" s="837" t="s">
        <v>596</v>
      </c>
      <c r="S121" s="837" t="s">
        <v>596</v>
      </c>
      <c r="T121" s="837"/>
      <c r="U121" s="837"/>
      <c r="V121" s="837" t="s">
        <v>596</v>
      </c>
      <c r="W121" s="837" t="s">
        <v>596</v>
      </c>
      <c r="X121" s="882" t="s">
        <v>596</v>
      </c>
      <c r="Y121" s="969" t="s">
        <v>596</v>
      </c>
      <c r="Z121" s="969" t="s">
        <v>596</v>
      </c>
      <c r="AA121" s="969"/>
      <c r="AB121" s="969"/>
      <c r="AC121" s="969" t="s">
        <v>596</v>
      </c>
      <c r="AD121" s="969" t="s">
        <v>596</v>
      </c>
      <c r="AE121" s="969" t="s">
        <v>596</v>
      </c>
      <c r="AF121" s="969" t="s">
        <v>596</v>
      </c>
      <c r="AG121" s="969" t="s">
        <v>596</v>
      </c>
      <c r="AH121" s="924">
        <v>54</v>
      </c>
      <c r="AI121" s="925">
        <v>37</v>
      </c>
    </row>
    <row r="122" spans="1:35" ht="21.95" customHeight="1">
      <c r="A122" s="576"/>
      <c r="B122" s="804" t="s">
        <v>617</v>
      </c>
      <c r="C122" s="852" t="s">
        <v>598</v>
      </c>
      <c r="D122" s="782" t="s">
        <v>598</v>
      </c>
      <c r="E122" s="852" t="s">
        <v>598</v>
      </c>
      <c r="F122" s="852"/>
      <c r="G122" s="837"/>
      <c r="H122" s="837" t="s">
        <v>598</v>
      </c>
      <c r="I122" s="837" t="s">
        <v>598</v>
      </c>
      <c r="J122" s="837" t="s">
        <v>598</v>
      </c>
      <c r="K122" s="837" t="s">
        <v>598</v>
      </c>
      <c r="L122" s="837" t="s">
        <v>598</v>
      </c>
      <c r="M122" s="837"/>
      <c r="N122" s="837"/>
      <c r="O122" s="837" t="s">
        <v>598</v>
      </c>
      <c r="P122" s="837" t="s">
        <v>598</v>
      </c>
      <c r="Q122" s="837" t="s">
        <v>598</v>
      </c>
      <c r="R122" s="969" t="s">
        <v>598</v>
      </c>
      <c r="S122" s="969" t="s">
        <v>598</v>
      </c>
      <c r="T122" s="837"/>
      <c r="U122" s="837"/>
      <c r="V122" s="837" t="s">
        <v>598</v>
      </c>
      <c r="W122" s="837" t="s">
        <v>598</v>
      </c>
      <c r="X122" s="882" t="s">
        <v>598</v>
      </c>
      <c r="Y122" s="837" t="s">
        <v>598</v>
      </c>
      <c r="Z122" s="837" t="s">
        <v>598</v>
      </c>
      <c r="AA122" s="837"/>
      <c r="AB122" s="837"/>
      <c r="AC122" s="837" t="s">
        <v>598</v>
      </c>
      <c r="AD122" s="837" t="s">
        <v>598</v>
      </c>
      <c r="AE122" s="837" t="s">
        <v>598</v>
      </c>
      <c r="AF122" s="837" t="s">
        <v>598</v>
      </c>
      <c r="AG122" s="837" t="s">
        <v>598</v>
      </c>
      <c r="AH122" s="924">
        <v>88</v>
      </c>
      <c r="AI122" s="925">
        <v>37</v>
      </c>
    </row>
    <row r="123" spans="1:35" ht="21.95" customHeight="1">
      <c r="A123" s="576"/>
      <c r="B123" s="804" t="s">
        <v>619</v>
      </c>
      <c r="C123" s="852" t="s">
        <v>600</v>
      </c>
      <c r="D123" s="782" t="s">
        <v>600</v>
      </c>
      <c r="E123" s="1189" t="s">
        <v>600</v>
      </c>
      <c r="F123" s="852"/>
      <c r="G123" s="837"/>
      <c r="H123" s="837" t="s">
        <v>600</v>
      </c>
      <c r="I123" s="837" t="s">
        <v>600</v>
      </c>
      <c r="J123" s="837" t="s">
        <v>600</v>
      </c>
      <c r="K123" s="1132" t="s">
        <v>600</v>
      </c>
      <c r="L123" s="837" t="s">
        <v>600</v>
      </c>
      <c r="M123" s="837"/>
      <c r="N123" s="837"/>
      <c r="O123" s="837" t="s">
        <v>600</v>
      </c>
      <c r="P123" s="837" t="s">
        <v>600</v>
      </c>
      <c r="Q123" s="837" t="s">
        <v>600</v>
      </c>
      <c r="R123" s="837" t="s">
        <v>600</v>
      </c>
      <c r="S123" s="837" t="s">
        <v>600</v>
      </c>
      <c r="T123" s="837"/>
      <c r="U123" s="837"/>
      <c r="V123" s="837" t="s">
        <v>600</v>
      </c>
      <c r="W123" s="837" t="s">
        <v>600</v>
      </c>
      <c r="X123" s="882" t="s">
        <v>600</v>
      </c>
      <c r="Y123" s="837" t="s">
        <v>600</v>
      </c>
      <c r="Z123" s="837" t="s">
        <v>600</v>
      </c>
      <c r="AA123" s="837"/>
      <c r="AB123" s="837"/>
      <c r="AC123" s="837" t="s">
        <v>600</v>
      </c>
      <c r="AD123" s="837" t="s">
        <v>600</v>
      </c>
      <c r="AE123" s="837" t="s">
        <v>600</v>
      </c>
      <c r="AF123" s="837" t="s">
        <v>600</v>
      </c>
      <c r="AG123" s="837" t="s">
        <v>600</v>
      </c>
      <c r="AH123" s="924">
        <v>37</v>
      </c>
      <c r="AI123" s="925">
        <v>37</v>
      </c>
    </row>
    <row r="124" spans="1:35" ht="21.95" customHeight="1">
      <c r="A124" s="576"/>
      <c r="B124" s="804" t="s">
        <v>621</v>
      </c>
      <c r="C124" s="1189" t="s">
        <v>602</v>
      </c>
      <c r="D124" s="1017" t="s">
        <v>602</v>
      </c>
      <c r="E124" s="1189" t="s">
        <v>602</v>
      </c>
      <c r="F124" s="852"/>
      <c r="G124" s="837"/>
      <c r="H124" s="837" t="s">
        <v>602</v>
      </c>
      <c r="I124" s="1023" t="s">
        <v>602</v>
      </c>
      <c r="J124" s="1038" t="s">
        <v>602</v>
      </c>
      <c r="K124" s="1023" t="s">
        <v>772</v>
      </c>
      <c r="L124" s="815" t="s">
        <v>602</v>
      </c>
      <c r="M124" s="837"/>
      <c r="N124" s="837"/>
      <c r="O124" s="969" t="s">
        <v>602</v>
      </c>
      <c r="P124" s="969" t="s">
        <v>602</v>
      </c>
      <c r="Q124" s="969" t="s">
        <v>602</v>
      </c>
      <c r="R124" s="969" t="s">
        <v>602</v>
      </c>
      <c r="S124" s="969" t="s">
        <v>602</v>
      </c>
      <c r="T124" s="837"/>
      <c r="U124" s="837"/>
      <c r="V124" s="837" t="s">
        <v>602</v>
      </c>
      <c r="W124" s="837" t="s">
        <v>602</v>
      </c>
      <c r="X124" s="882" t="s">
        <v>602</v>
      </c>
      <c r="Y124" s="837" t="s">
        <v>602</v>
      </c>
      <c r="Z124" s="837" t="s">
        <v>602</v>
      </c>
      <c r="AA124" s="837"/>
      <c r="AB124" s="837"/>
      <c r="AC124" s="837" t="s">
        <v>602</v>
      </c>
      <c r="AD124" s="837" t="s">
        <v>602</v>
      </c>
      <c r="AE124" s="837" t="s">
        <v>602</v>
      </c>
      <c r="AF124" s="837" t="s">
        <v>602</v>
      </c>
      <c r="AG124" s="837" t="s">
        <v>602</v>
      </c>
      <c r="AH124" s="924">
        <v>106</v>
      </c>
      <c r="AI124" s="925">
        <v>37</v>
      </c>
    </row>
    <row r="125" spans="1:35" ht="21.95" customHeight="1">
      <c r="A125" s="576"/>
      <c r="B125" s="804" t="s">
        <v>622</v>
      </c>
      <c r="C125" s="852" t="s">
        <v>604</v>
      </c>
      <c r="D125" s="782" t="s">
        <v>604</v>
      </c>
      <c r="E125" s="852" t="s">
        <v>604</v>
      </c>
      <c r="F125" s="852"/>
      <c r="G125" s="837"/>
      <c r="H125" s="837" t="s">
        <v>604</v>
      </c>
      <c r="I125" s="837" t="s">
        <v>604</v>
      </c>
      <c r="J125" s="837" t="s">
        <v>604</v>
      </c>
      <c r="K125" s="837" t="s">
        <v>604</v>
      </c>
      <c r="L125" s="837" t="s">
        <v>604</v>
      </c>
      <c r="M125" s="837"/>
      <c r="N125" s="837"/>
      <c r="O125" s="837" t="s">
        <v>604</v>
      </c>
      <c r="P125" s="837" t="s">
        <v>604</v>
      </c>
      <c r="Q125" s="837" t="s">
        <v>604</v>
      </c>
      <c r="R125" s="837" t="s">
        <v>604</v>
      </c>
      <c r="S125" s="837" t="s">
        <v>604</v>
      </c>
      <c r="T125" s="837"/>
      <c r="U125" s="837"/>
      <c r="V125" s="837" t="s">
        <v>604</v>
      </c>
      <c r="W125" s="837" t="s">
        <v>604</v>
      </c>
      <c r="X125" s="882" t="s">
        <v>604</v>
      </c>
      <c r="Y125" s="837" t="s">
        <v>604</v>
      </c>
      <c r="Z125" s="837" t="s">
        <v>604</v>
      </c>
      <c r="AA125" s="837"/>
      <c r="AB125" s="837"/>
      <c r="AC125" s="837" t="s">
        <v>604</v>
      </c>
      <c r="AD125" s="837" t="s">
        <v>604</v>
      </c>
      <c r="AE125" s="837" t="s">
        <v>604</v>
      </c>
      <c r="AF125" s="837" t="s">
        <v>604</v>
      </c>
      <c r="AG125" s="837" t="s">
        <v>604</v>
      </c>
      <c r="AH125" s="924">
        <v>81.5</v>
      </c>
      <c r="AI125" s="925">
        <v>37</v>
      </c>
    </row>
    <row r="126" spans="1:35" ht="21.95" customHeight="1">
      <c r="A126" s="576"/>
      <c r="B126" s="804" t="s">
        <v>623</v>
      </c>
      <c r="C126" s="852" t="s">
        <v>606</v>
      </c>
      <c r="D126" s="782" t="s">
        <v>606</v>
      </c>
      <c r="E126" s="852" t="s">
        <v>606</v>
      </c>
      <c r="F126" s="852"/>
      <c r="G126" s="837"/>
      <c r="H126" s="837" t="s">
        <v>606</v>
      </c>
      <c r="I126" s="837" t="s">
        <v>606</v>
      </c>
      <c r="J126" s="837" t="s">
        <v>606</v>
      </c>
      <c r="K126" s="837" t="s">
        <v>606</v>
      </c>
      <c r="L126" s="837" t="s">
        <v>606</v>
      </c>
      <c r="M126" s="837"/>
      <c r="N126" s="837"/>
      <c r="O126" s="837" t="s">
        <v>606</v>
      </c>
      <c r="P126" s="837" t="s">
        <v>606</v>
      </c>
      <c r="Q126" s="837" t="s">
        <v>606</v>
      </c>
      <c r="R126" s="837" t="s">
        <v>606</v>
      </c>
      <c r="S126" s="837" t="s">
        <v>606</v>
      </c>
      <c r="T126" s="837"/>
      <c r="U126" s="837"/>
      <c r="V126" s="837" t="s">
        <v>606</v>
      </c>
      <c r="W126" s="837" t="s">
        <v>606</v>
      </c>
      <c r="X126" s="882" t="s">
        <v>606</v>
      </c>
      <c r="Y126" s="837" t="s">
        <v>606</v>
      </c>
      <c r="Z126" s="837" t="s">
        <v>606</v>
      </c>
      <c r="AA126" s="837"/>
      <c r="AB126" s="837"/>
      <c r="AC126" s="837" t="s">
        <v>606</v>
      </c>
      <c r="AD126" s="837" t="s">
        <v>606</v>
      </c>
      <c r="AE126" s="837" t="s">
        <v>606</v>
      </c>
      <c r="AF126" s="837" t="s">
        <v>606</v>
      </c>
      <c r="AG126" s="837" t="s">
        <v>606</v>
      </c>
      <c r="AH126" s="924">
        <v>74</v>
      </c>
      <c r="AI126" s="925">
        <v>37</v>
      </c>
    </row>
    <row r="127" spans="1:35" ht="21.95" customHeight="1">
      <c r="A127" s="576"/>
      <c r="B127" s="804" t="s">
        <v>624</v>
      </c>
      <c r="C127" s="852" t="s">
        <v>607</v>
      </c>
      <c r="D127" s="782" t="s">
        <v>607</v>
      </c>
      <c r="E127" s="852" t="s">
        <v>607</v>
      </c>
      <c r="F127" s="852"/>
      <c r="G127" s="837"/>
      <c r="H127" s="837" t="s">
        <v>607</v>
      </c>
      <c r="I127" s="837" t="s">
        <v>607</v>
      </c>
      <c r="J127" s="837" t="s">
        <v>607</v>
      </c>
      <c r="K127" s="837" t="s">
        <v>607</v>
      </c>
      <c r="L127" s="837" t="s">
        <v>607</v>
      </c>
      <c r="M127" s="837"/>
      <c r="N127" s="837"/>
      <c r="O127" s="837" t="s">
        <v>607</v>
      </c>
      <c r="P127" s="837" t="s">
        <v>607</v>
      </c>
      <c r="Q127" s="837" t="s">
        <v>607</v>
      </c>
      <c r="R127" s="837" t="s">
        <v>607</v>
      </c>
      <c r="S127" s="837" t="s">
        <v>607</v>
      </c>
      <c r="T127" s="837"/>
      <c r="U127" s="837"/>
      <c r="V127" s="815" t="s">
        <v>607</v>
      </c>
      <c r="W127" s="1023" t="s">
        <v>607</v>
      </c>
      <c r="X127" s="1001" t="s">
        <v>607</v>
      </c>
      <c r="Y127" s="1023" t="s">
        <v>625</v>
      </c>
      <c r="Z127" s="815" t="s">
        <v>607</v>
      </c>
      <c r="AA127" s="837"/>
      <c r="AB127" s="837"/>
      <c r="AC127" s="837" t="s">
        <v>607</v>
      </c>
      <c r="AD127" s="837" t="s">
        <v>607</v>
      </c>
      <c r="AE127" s="837" t="s">
        <v>607</v>
      </c>
      <c r="AF127" s="837" t="s">
        <v>607</v>
      </c>
      <c r="AG127" s="837" t="s">
        <v>607</v>
      </c>
      <c r="AH127" s="924">
        <v>81.25</v>
      </c>
      <c r="AI127" s="925">
        <v>37</v>
      </c>
    </row>
    <row r="128" spans="1:35" ht="21.95" customHeight="1">
      <c r="A128" s="576"/>
      <c r="B128" s="804" t="s">
        <v>626</v>
      </c>
      <c r="C128" s="852" t="s">
        <v>609</v>
      </c>
      <c r="D128" s="782" t="s">
        <v>609</v>
      </c>
      <c r="E128" s="852" t="s">
        <v>609</v>
      </c>
      <c r="F128" s="852"/>
      <c r="G128" s="837"/>
      <c r="H128" s="837" t="s">
        <v>609</v>
      </c>
      <c r="I128" s="837" t="s">
        <v>609</v>
      </c>
      <c r="J128" s="837" t="s">
        <v>609</v>
      </c>
      <c r="K128" s="837" t="s">
        <v>609</v>
      </c>
      <c r="L128" s="837" t="s">
        <v>609</v>
      </c>
      <c r="M128" s="837"/>
      <c r="N128" s="837"/>
      <c r="O128" s="837" t="s">
        <v>609</v>
      </c>
      <c r="P128" s="837" t="s">
        <v>609</v>
      </c>
      <c r="Q128" s="837" t="s">
        <v>609</v>
      </c>
      <c r="R128" s="837" t="s">
        <v>609</v>
      </c>
      <c r="S128" s="837" t="s">
        <v>609</v>
      </c>
      <c r="T128" s="837"/>
      <c r="U128" s="837"/>
      <c r="V128" s="837" t="s">
        <v>609</v>
      </c>
      <c r="W128" s="837" t="s">
        <v>609</v>
      </c>
      <c r="X128" s="882" t="s">
        <v>609</v>
      </c>
      <c r="Y128" s="837" t="s">
        <v>609</v>
      </c>
      <c r="Z128" s="837" t="s">
        <v>609</v>
      </c>
      <c r="AA128" s="837"/>
      <c r="AB128" s="837"/>
      <c r="AC128" s="837" t="s">
        <v>609</v>
      </c>
      <c r="AD128" s="837" t="s">
        <v>609</v>
      </c>
      <c r="AE128" s="837" t="s">
        <v>609</v>
      </c>
      <c r="AF128" s="837" t="s">
        <v>609</v>
      </c>
      <c r="AG128" s="837" t="s">
        <v>609</v>
      </c>
      <c r="AH128" s="924">
        <v>69</v>
      </c>
      <c r="AI128" s="925">
        <v>37</v>
      </c>
    </row>
    <row r="129" spans="1:35" ht="21.95" customHeight="1">
      <c r="A129" s="576"/>
      <c r="B129" s="804" t="s">
        <v>627</v>
      </c>
      <c r="C129" s="852" t="s">
        <v>611</v>
      </c>
      <c r="D129" s="782" t="s">
        <v>611</v>
      </c>
      <c r="E129" s="852" t="s">
        <v>611</v>
      </c>
      <c r="F129" s="852"/>
      <c r="G129" s="837"/>
      <c r="H129" s="837" t="s">
        <v>611</v>
      </c>
      <c r="I129" s="837" t="s">
        <v>611</v>
      </c>
      <c r="J129" s="969" t="s">
        <v>611</v>
      </c>
      <c r="K129" s="837" t="s">
        <v>611</v>
      </c>
      <c r="L129" s="837" t="s">
        <v>611</v>
      </c>
      <c r="M129" s="837"/>
      <c r="N129" s="837"/>
      <c r="O129" s="837" t="s">
        <v>611</v>
      </c>
      <c r="P129" s="837" t="s">
        <v>611</v>
      </c>
      <c r="Q129" s="837" t="s">
        <v>611</v>
      </c>
      <c r="R129" s="837" t="s">
        <v>611</v>
      </c>
      <c r="S129" s="837" t="s">
        <v>611</v>
      </c>
      <c r="T129" s="837"/>
      <c r="U129" s="837"/>
      <c r="V129" s="837" t="s">
        <v>611</v>
      </c>
      <c r="W129" s="837" t="s">
        <v>611</v>
      </c>
      <c r="X129" s="882" t="s">
        <v>611</v>
      </c>
      <c r="Y129" s="837" t="s">
        <v>611</v>
      </c>
      <c r="Z129" s="837" t="s">
        <v>611</v>
      </c>
      <c r="AA129" s="837"/>
      <c r="AB129" s="837"/>
      <c r="AC129" s="837" t="s">
        <v>611</v>
      </c>
      <c r="AD129" s="837" t="s">
        <v>611</v>
      </c>
      <c r="AE129" s="837" t="s">
        <v>611</v>
      </c>
      <c r="AF129" s="837" t="s">
        <v>611</v>
      </c>
      <c r="AG129" s="837" t="s">
        <v>611</v>
      </c>
      <c r="AH129" s="924">
        <v>164</v>
      </c>
      <c r="AI129" s="925">
        <v>32</v>
      </c>
    </row>
    <row r="130" spans="1:35" ht="21.95" customHeight="1" thickBot="1">
      <c r="A130" s="576"/>
      <c r="B130" s="886" t="s">
        <v>629</v>
      </c>
      <c r="C130" s="1209" t="s">
        <v>613</v>
      </c>
      <c r="D130" s="1210" t="s">
        <v>613</v>
      </c>
      <c r="E130" s="1190" t="s">
        <v>613</v>
      </c>
      <c r="F130" s="1190"/>
      <c r="G130" s="887"/>
      <c r="H130" s="887" t="s">
        <v>613</v>
      </c>
      <c r="I130" s="887" t="s">
        <v>613</v>
      </c>
      <c r="J130" s="887" t="s">
        <v>613</v>
      </c>
      <c r="K130" s="887" t="s">
        <v>613</v>
      </c>
      <c r="L130" s="887" t="s">
        <v>613</v>
      </c>
      <c r="M130" s="887"/>
      <c r="N130" s="887"/>
      <c r="O130" s="887" t="s">
        <v>613</v>
      </c>
      <c r="P130" s="887" t="s">
        <v>613</v>
      </c>
      <c r="Q130" s="887" t="s">
        <v>613</v>
      </c>
      <c r="R130" s="887" t="s">
        <v>613</v>
      </c>
      <c r="S130" s="887" t="s">
        <v>613</v>
      </c>
      <c r="T130" s="887"/>
      <c r="U130" s="887"/>
      <c r="V130" s="887" t="s">
        <v>613</v>
      </c>
      <c r="W130" s="887" t="s">
        <v>613</v>
      </c>
      <c r="X130" s="882" t="s">
        <v>613</v>
      </c>
      <c r="Y130" s="887" t="s">
        <v>613</v>
      </c>
      <c r="Z130" s="887" t="s">
        <v>613</v>
      </c>
      <c r="AA130" s="887"/>
      <c r="AB130" s="887"/>
      <c r="AC130" s="887" t="s">
        <v>613</v>
      </c>
      <c r="AD130" s="887" t="s">
        <v>613</v>
      </c>
      <c r="AE130" s="887" t="s">
        <v>613</v>
      </c>
      <c r="AF130" s="887" t="s">
        <v>613</v>
      </c>
      <c r="AG130" s="887" t="s">
        <v>613</v>
      </c>
      <c r="AH130" s="868">
        <v>74</v>
      </c>
      <c r="AI130" s="869">
        <v>37</v>
      </c>
    </row>
    <row r="131" spans="1:35" ht="21.95" customHeight="1">
      <c r="A131" s="576"/>
      <c r="B131" s="847"/>
      <c r="C131" s="555"/>
      <c r="D131" s="555"/>
      <c r="E131" s="555"/>
      <c r="F131" s="555"/>
      <c r="G131" s="555"/>
      <c r="H131" s="555"/>
      <c r="I131" s="555"/>
      <c r="J131" s="555"/>
      <c r="K131" s="555"/>
      <c r="L131" s="555"/>
      <c r="M131" s="555"/>
      <c r="N131" s="555"/>
      <c r="O131" s="555"/>
      <c r="P131" s="555"/>
      <c r="Q131" s="555"/>
      <c r="R131" s="555"/>
      <c r="S131" s="555"/>
      <c r="T131" s="555"/>
      <c r="U131" s="555"/>
      <c r="V131" s="555"/>
      <c r="W131" s="555"/>
      <c r="X131" s="555"/>
      <c r="Y131" s="555"/>
      <c r="Z131" s="555"/>
      <c r="AA131" s="555"/>
      <c r="AB131" s="555"/>
      <c r="AC131" s="555"/>
      <c r="AD131" s="555"/>
      <c r="AE131" s="555"/>
      <c r="AF131" s="555"/>
      <c r="AG131" s="555"/>
      <c r="AH131" s="556"/>
      <c r="AI131" s="556"/>
    </row>
    <row r="132" spans="1:35" ht="21.95" customHeight="1" thickBot="1">
      <c r="A132" s="805" t="s">
        <v>630</v>
      </c>
      <c r="B132" s="538" t="s">
        <v>631</v>
      </c>
      <c r="C132" s="555"/>
      <c r="D132" s="538"/>
      <c r="E132" s="538"/>
      <c r="F132" s="538"/>
      <c r="G132" s="538"/>
      <c r="H132" s="538"/>
      <c r="I132" s="555"/>
      <c r="J132" s="555"/>
      <c r="K132" s="538"/>
      <c r="L132" s="538"/>
      <c r="M132" s="538"/>
      <c r="N132" s="538"/>
      <c r="O132" s="538"/>
      <c r="P132" s="538"/>
      <c r="Q132" s="555"/>
      <c r="R132" s="538"/>
      <c r="S132" s="538"/>
      <c r="T132" s="538"/>
      <c r="U132" s="538"/>
      <c r="V132" s="538"/>
      <c r="W132" s="555"/>
      <c r="X132" s="555"/>
      <c r="Y132" s="538"/>
      <c r="Z132" s="538"/>
      <c r="AA132" s="538"/>
      <c r="AB132" s="538"/>
      <c r="AC132" s="538"/>
      <c r="AD132" s="538"/>
      <c r="AE132" s="555"/>
      <c r="AF132" s="538"/>
      <c r="AG132" s="538"/>
      <c r="AH132" s="556"/>
      <c r="AI132" s="556"/>
    </row>
    <row r="133" spans="1:35" ht="21.95" customHeight="1">
      <c r="A133" s="576"/>
      <c r="B133" s="806" t="s">
        <v>589</v>
      </c>
      <c r="C133" s="814"/>
      <c r="D133" s="807" t="s">
        <v>2</v>
      </c>
      <c r="E133" s="808"/>
      <c r="F133" s="809"/>
      <c r="G133" s="810"/>
      <c r="H133" s="807" t="s">
        <v>3</v>
      </c>
      <c r="I133" s="808"/>
      <c r="J133" s="809"/>
      <c r="K133" s="810"/>
      <c r="L133" s="807" t="s">
        <v>4</v>
      </c>
      <c r="M133" s="808"/>
      <c r="N133" s="809"/>
      <c r="O133" s="810"/>
      <c r="P133" s="807" t="s">
        <v>5</v>
      </c>
      <c r="Q133" s="808"/>
      <c r="R133" s="809"/>
      <c r="S133" s="810"/>
      <c r="T133" s="807" t="s">
        <v>6</v>
      </c>
      <c r="U133" s="808"/>
      <c r="V133" s="809"/>
      <c r="W133" s="810"/>
      <c r="X133" s="807" t="s">
        <v>7</v>
      </c>
      <c r="Y133" s="808"/>
      <c r="Z133" s="809"/>
      <c r="AA133" s="810"/>
      <c r="AB133" s="807" t="s">
        <v>8</v>
      </c>
      <c r="AC133" s="808"/>
      <c r="AD133" s="808"/>
      <c r="AE133" s="811" t="s">
        <v>10</v>
      </c>
      <c r="AF133" s="808"/>
      <c r="AG133" s="808"/>
      <c r="AH133" s="808"/>
      <c r="AI133" s="812"/>
    </row>
    <row r="134" spans="1:35" ht="21.95" customHeight="1">
      <c r="A134" s="576"/>
      <c r="B134" s="832"/>
      <c r="C134" s="815"/>
      <c r="D134" s="831"/>
      <c r="E134" s="816"/>
      <c r="F134" s="813"/>
      <c r="G134" s="815"/>
      <c r="H134" s="831"/>
      <c r="I134" s="816"/>
      <c r="J134" s="813"/>
      <c r="K134" s="815"/>
      <c r="L134" s="831"/>
      <c r="M134" s="816"/>
      <c r="N134" s="813"/>
      <c r="O134" s="815"/>
      <c r="P134" s="831"/>
      <c r="Q134" s="816"/>
      <c r="R134" s="813"/>
      <c r="S134" s="815"/>
      <c r="T134" s="831"/>
      <c r="U134" s="816"/>
      <c r="V134" s="813"/>
      <c r="W134" s="815"/>
      <c r="X134" s="816"/>
      <c r="Y134" s="816"/>
      <c r="Z134" s="813"/>
      <c r="AA134" s="815"/>
      <c r="AB134" s="816"/>
      <c r="AC134" s="816"/>
      <c r="AD134" s="816"/>
      <c r="AE134" s="815"/>
      <c r="AF134" s="816"/>
      <c r="AG134" s="816"/>
      <c r="AH134" s="818"/>
      <c r="AI134" s="819"/>
    </row>
    <row r="135" spans="1:35" ht="21.95" customHeight="1">
      <c r="A135" s="576"/>
      <c r="B135" s="833"/>
      <c r="C135" s="815"/>
      <c r="D135" s="831"/>
      <c r="E135" s="816"/>
      <c r="F135" s="813"/>
      <c r="G135" s="815"/>
      <c r="H135" s="831"/>
      <c r="I135" s="816"/>
      <c r="J135" s="813"/>
      <c r="K135" s="815"/>
      <c r="L135" s="831"/>
      <c r="M135" s="816"/>
      <c r="N135" s="813"/>
      <c r="O135" s="815"/>
      <c r="P135" s="831"/>
      <c r="Q135" s="816"/>
      <c r="R135" s="813"/>
      <c r="S135" s="815"/>
      <c r="T135" s="831"/>
      <c r="U135" s="816"/>
      <c r="V135" s="813"/>
      <c r="W135" s="815"/>
      <c r="X135" s="816"/>
      <c r="Y135" s="816"/>
      <c r="Z135" s="813"/>
      <c r="AA135" s="815"/>
      <c r="AB135" s="816"/>
      <c r="AC135" s="816"/>
      <c r="AD135" s="816"/>
      <c r="AE135" s="815"/>
      <c r="AF135" s="816"/>
      <c r="AG135" s="816"/>
      <c r="AH135" s="818"/>
      <c r="AI135" s="819"/>
    </row>
    <row r="136" spans="1:35" ht="21.95" customHeight="1">
      <c r="A136" s="576"/>
      <c r="B136" s="833"/>
      <c r="C136" s="815"/>
      <c r="D136" s="831"/>
      <c r="E136" s="816"/>
      <c r="F136" s="813"/>
      <c r="G136" s="815"/>
      <c r="H136" s="831"/>
      <c r="I136" s="816"/>
      <c r="J136" s="813"/>
      <c r="K136" s="815"/>
      <c r="L136" s="831"/>
      <c r="M136" s="816"/>
      <c r="N136" s="813"/>
      <c r="O136" s="815"/>
      <c r="P136" s="831"/>
      <c r="Q136" s="816"/>
      <c r="R136" s="813"/>
      <c r="S136" s="815"/>
      <c r="T136" s="831"/>
      <c r="U136" s="816"/>
      <c r="V136" s="813"/>
      <c r="W136" s="815"/>
      <c r="X136" s="816"/>
      <c r="Y136" s="816"/>
      <c r="Z136" s="813"/>
      <c r="AA136" s="815"/>
      <c r="AB136" s="816"/>
      <c r="AC136" s="816"/>
      <c r="AD136" s="816"/>
      <c r="AE136" s="815"/>
      <c r="AF136" s="816"/>
      <c r="AG136" s="816"/>
      <c r="AH136" s="818"/>
      <c r="AI136" s="819"/>
    </row>
    <row r="137" spans="1:35" ht="21.75" customHeight="1" thickBot="1">
      <c r="A137" s="576"/>
      <c r="B137" s="847"/>
      <c r="C137" s="555"/>
      <c r="D137" s="555"/>
      <c r="E137" s="555"/>
      <c r="F137" s="555"/>
      <c r="G137" s="555"/>
      <c r="H137" s="555"/>
      <c r="I137" s="555"/>
      <c r="J137" s="555"/>
      <c r="K137" s="555"/>
      <c r="L137" s="555"/>
      <c r="M137" s="555"/>
      <c r="N137" s="555"/>
      <c r="O137" s="555"/>
      <c r="P137" s="555"/>
      <c r="Q137" s="555"/>
      <c r="R137" s="555"/>
      <c r="S137" s="555"/>
      <c r="T137" s="555"/>
      <c r="U137" s="555"/>
      <c r="V137" s="555"/>
      <c r="W137" s="555"/>
      <c r="X137" s="555"/>
      <c r="Y137" s="555"/>
      <c r="Z137" s="555"/>
      <c r="AA137" s="555"/>
      <c r="AB137" s="555"/>
      <c r="AC137" s="555"/>
      <c r="AD137" s="555"/>
      <c r="AE137" s="555"/>
      <c r="AF137" s="555"/>
      <c r="AG137" s="555"/>
      <c r="AH137" s="556"/>
      <c r="AI137" s="556"/>
    </row>
    <row r="138" spans="1:35" ht="21.95" customHeight="1" thickBot="1">
      <c r="A138" s="785"/>
      <c r="B138" s="883" t="s">
        <v>476</v>
      </c>
      <c r="C138" s="946">
        <v>1</v>
      </c>
      <c r="D138" s="863">
        <v>2</v>
      </c>
      <c r="E138" s="863">
        <v>3</v>
      </c>
      <c r="F138" s="880">
        <v>4</v>
      </c>
      <c r="G138" s="880">
        <v>5</v>
      </c>
      <c r="H138" s="863">
        <v>6</v>
      </c>
      <c r="I138" s="863">
        <v>7</v>
      </c>
      <c r="J138" s="863">
        <v>8</v>
      </c>
      <c r="K138" s="863">
        <v>9</v>
      </c>
      <c r="L138" s="863">
        <v>10</v>
      </c>
      <c r="M138" s="880">
        <v>11</v>
      </c>
      <c r="N138" s="880">
        <v>12</v>
      </c>
      <c r="O138" s="863">
        <v>13</v>
      </c>
      <c r="P138" s="863">
        <v>14</v>
      </c>
      <c r="Q138" s="863">
        <v>15</v>
      </c>
      <c r="R138" s="863">
        <v>16</v>
      </c>
      <c r="S138" s="863">
        <v>17</v>
      </c>
      <c r="T138" s="880">
        <v>18</v>
      </c>
      <c r="U138" s="880">
        <v>19</v>
      </c>
      <c r="V138" s="863">
        <v>20</v>
      </c>
      <c r="W138" s="863">
        <v>21</v>
      </c>
      <c r="X138" s="863">
        <v>22</v>
      </c>
      <c r="Y138" s="863">
        <v>23</v>
      </c>
      <c r="Z138" s="863">
        <v>24</v>
      </c>
      <c r="AA138" s="880">
        <v>25</v>
      </c>
      <c r="AB138" s="880">
        <v>26</v>
      </c>
      <c r="AC138" s="863">
        <v>27</v>
      </c>
      <c r="AD138" s="863">
        <v>28</v>
      </c>
      <c r="AE138" s="863">
        <v>29</v>
      </c>
      <c r="AF138" s="863">
        <v>30</v>
      </c>
      <c r="AG138" s="945">
        <v>31</v>
      </c>
      <c r="AH138" s="884" t="s">
        <v>477</v>
      </c>
      <c r="AI138" s="885" t="s">
        <v>478</v>
      </c>
    </row>
    <row r="139" spans="1:35" ht="21.95" customHeight="1">
      <c r="A139" s="576"/>
      <c r="B139" s="888" t="s">
        <v>632</v>
      </c>
      <c r="C139" s="768" t="s">
        <v>491</v>
      </c>
      <c r="D139" s="768" t="s">
        <v>491</v>
      </c>
      <c r="E139" s="768" t="s">
        <v>491</v>
      </c>
      <c r="F139" s="768"/>
      <c r="G139" s="768"/>
      <c r="H139" s="768" t="s">
        <v>491</v>
      </c>
      <c r="I139" s="768" t="s">
        <v>491</v>
      </c>
      <c r="J139" s="1038" t="s">
        <v>491</v>
      </c>
      <c r="K139" s="1038" t="s">
        <v>493</v>
      </c>
      <c r="L139" s="987" t="s">
        <v>491</v>
      </c>
      <c r="M139" s="768"/>
      <c r="N139" s="768"/>
      <c r="O139" s="768" t="s">
        <v>491</v>
      </c>
      <c r="P139" s="768" t="s">
        <v>491</v>
      </c>
      <c r="Q139" s="970" t="s">
        <v>491</v>
      </c>
      <c r="R139" s="970" t="s">
        <v>491</v>
      </c>
      <c r="S139" s="970" t="s">
        <v>491</v>
      </c>
      <c r="T139" s="768"/>
      <c r="U139" s="768"/>
      <c r="V139" s="768" t="s">
        <v>491</v>
      </c>
      <c r="W139" s="768" t="s">
        <v>491</v>
      </c>
      <c r="X139" s="768" t="s">
        <v>491</v>
      </c>
      <c r="Y139" s="768" t="s">
        <v>491</v>
      </c>
      <c r="Z139" s="768" t="s">
        <v>491</v>
      </c>
      <c r="AA139" s="768"/>
      <c r="AB139" s="768"/>
      <c r="AC139" s="768" t="s">
        <v>491</v>
      </c>
      <c r="AD139" s="768" t="s">
        <v>491</v>
      </c>
      <c r="AE139" s="768" t="s">
        <v>491</v>
      </c>
      <c r="AF139" s="768" t="s">
        <v>491</v>
      </c>
      <c r="AG139" s="768" t="s">
        <v>491</v>
      </c>
      <c r="AH139" s="510">
        <v>83</v>
      </c>
      <c r="AI139" s="511">
        <v>37</v>
      </c>
    </row>
    <row r="140" spans="1:35" ht="21.95" customHeight="1">
      <c r="A140" s="576"/>
      <c r="B140" s="858" t="s">
        <v>633</v>
      </c>
      <c r="C140" s="768" t="s">
        <v>491</v>
      </c>
      <c r="D140" s="768" t="s">
        <v>491</v>
      </c>
      <c r="E140" s="768" t="s">
        <v>491</v>
      </c>
      <c r="F140" s="768"/>
      <c r="G140" s="768"/>
      <c r="H140" s="768" t="s">
        <v>491</v>
      </c>
      <c r="I140" s="768" t="s">
        <v>491</v>
      </c>
      <c r="J140" s="768" t="s">
        <v>491</v>
      </c>
      <c r="K140" s="768" t="s">
        <v>491</v>
      </c>
      <c r="L140" s="768" t="s">
        <v>491</v>
      </c>
      <c r="M140" s="768"/>
      <c r="N140" s="768"/>
      <c r="O140" s="970" t="s">
        <v>491</v>
      </c>
      <c r="P140" s="970" t="s">
        <v>491</v>
      </c>
      <c r="Q140" s="970" t="s">
        <v>491</v>
      </c>
      <c r="R140" s="970" t="s">
        <v>491</v>
      </c>
      <c r="S140" s="970" t="s">
        <v>491</v>
      </c>
      <c r="T140" s="768"/>
      <c r="U140" s="768"/>
      <c r="V140" s="768" t="s">
        <v>491</v>
      </c>
      <c r="W140" s="768" t="s">
        <v>491</v>
      </c>
      <c r="X140" s="768" t="s">
        <v>491</v>
      </c>
      <c r="Y140" s="768" t="s">
        <v>491</v>
      </c>
      <c r="Z140" s="768" t="s">
        <v>491</v>
      </c>
      <c r="AA140" s="768"/>
      <c r="AB140" s="768"/>
      <c r="AC140" s="768" t="s">
        <v>491</v>
      </c>
      <c r="AD140" s="768" t="s">
        <v>491</v>
      </c>
      <c r="AE140" s="768" t="s">
        <v>491</v>
      </c>
      <c r="AF140" s="1038" t="s">
        <v>491</v>
      </c>
      <c r="AG140" s="1038" t="s">
        <v>491</v>
      </c>
      <c r="AH140" s="924">
        <v>37</v>
      </c>
      <c r="AI140" s="925">
        <v>37</v>
      </c>
    </row>
    <row r="141" spans="1:35" ht="21.95" customHeight="1">
      <c r="A141" s="576"/>
      <c r="B141" s="858" t="s">
        <v>634</v>
      </c>
      <c r="C141" s="768" t="s">
        <v>491</v>
      </c>
      <c r="D141" s="768" t="s">
        <v>491</v>
      </c>
      <c r="E141" s="768" t="s">
        <v>491</v>
      </c>
      <c r="F141" s="768"/>
      <c r="G141" s="768"/>
      <c r="H141" s="768" t="s">
        <v>491</v>
      </c>
      <c r="I141" s="768" t="s">
        <v>491</v>
      </c>
      <c r="J141" s="768" t="s">
        <v>491</v>
      </c>
      <c r="K141" s="768" t="s">
        <v>491</v>
      </c>
      <c r="L141" s="768" t="s">
        <v>491</v>
      </c>
      <c r="M141" s="768"/>
      <c r="N141" s="768"/>
      <c r="O141" s="768" t="s">
        <v>491</v>
      </c>
      <c r="P141" s="768" t="s">
        <v>491</v>
      </c>
      <c r="Q141" s="768" t="s">
        <v>491</v>
      </c>
      <c r="R141" s="768" t="s">
        <v>491</v>
      </c>
      <c r="S141" s="768" t="s">
        <v>491</v>
      </c>
      <c r="T141" s="768"/>
      <c r="U141" s="768"/>
      <c r="V141" s="768" t="s">
        <v>491</v>
      </c>
      <c r="W141" s="768" t="s">
        <v>491</v>
      </c>
      <c r="X141" s="768" t="s">
        <v>491</v>
      </c>
      <c r="Y141" s="768" t="s">
        <v>491</v>
      </c>
      <c r="Z141" s="768" t="s">
        <v>491</v>
      </c>
      <c r="AA141" s="768"/>
      <c r="AB141" s="768"/>
      <c r="AC141" s="768" t="s">
        <v>491</v>
      </c>
      <c r="AD141" s="768" t="s">
        <v>491</v>
      </c>
      <c r="AE141" s="768" t="s">
        <v>491</v>
      </c>
      <c r="AF141" s="987" t="s">
        <v>491</v>
      </c>
      <c r="AG141" s="987" t="s">
        <v>491</v>
      </c>
      <c r="AH141" s="924">
        <v>67</v>
      </c>
      <c r="AI141" s="925">
        <v>37</v>
      </c>
    </row>
    <row r="142" spans="1:35" ht="21.95" customHeight="1">
      <c r="A142" s="576"/>
      <c r="B142" s="859" t="s">
        <v>638</v>
      </c>
      <c r="C142" s="768" t="s">
        <v>491</v>
      </c>
      <c r="D142" s="768" t="s">
        <v>491</v>
      </c>
      <c r="E142" s="768" t="s">
        <v>491</v>
      </c>
      <c r="F142" s="768"/>
      <c r="G142" s="768"/>
      <c r="H142" s="768" t="s">
        <v>491</v>
      </c>
      <c r="I142" s="768" t="s">
        <v>491</v>
      </c>
      <c r="J142" s="768" t="s">
        <v>491</v>
      </c>
      <c r="K142" s="768" t="s">
        <v>491</v>
      </c>
      <c r="L142" s="1038" t="s">
        <v>491</v>
      </c>
      <c r="M142" s="1038"/>
      <c r="N142" s="1038"/>
      <c r="O142" s="1038" t="s">
        <v>491</v>
      </c>
      <c r="P142" s="768" t="s">
        <v>491</v>
      </c>
      <c r="Q142" s="768" t="s">
        <v>491</v>
      </c>
      <c r="R142" s="768" t="s">
        <v>491</v>
      </c>
      <c r="S142" s="768" t="s">
        <v>491</v>
      </c>
      <c r="T142" s="768"/>
      <c r="U142" s="768"/>
      <c r="V142" s="768" t="s">
        <v>491</v>
      </c>
      <c r="W142" s="768" t="s">
        <v>491</v>
      </c>
      <c r="X142" s="768" t="s">
        <v>491</v>
      </c>
      <c r="Y142" s="768" t="s">
        <v>491</v>
      </c>
      <c r="Z142" s="768" t="s">
        <v>491</v>
      </c>
      <c r="AA142" s="768"/>
      <c r="AB142" s="768"/>
      <c r="AC142" s="768" t="s">
        <v>491</v>
      </c>
      <c r="AD142" s="768" t="s">
        <v>491</v>
      </c>
      <c r="AE142" s="768" t="s">
        <v>491</v>
      </c>
      <c r="AF142" s="768" t="s">
        <v>491</v>
      </c>
      <c r="AG142" s="768" t="s">
        <v>491</v>
      </c>
      <c r="AH142" s="924">
        <v>74</v>
      </c>
      <c r="AI142" s="925">
        <v>37</v>
      </c>
    </row>
    <row r="143" spans="1:35" ht="21.95" customHeight="1">
      <c r="A143" s="576"/>
      <c r="B143" s="994" t="s">
        <v>635</v>
      </c>
      <c r="C143" s="768" t="s">
        <v>491</v>
      </c>
      <c r="D143" s="768" t="s">
        <v>491</v>
      </c>
      <c r="E143" s="768" t="s">
        <v>491</v>
      </c>
      <c r="F143" s="768"/>
      <c r="G143" s="768"/>
      <c r="H143" s="768" t="s">
        <v>491</v>
      </c>
      <c r="I143" s="768" t="s">
        <v>491</v>
      </c>
      <c r="J143" s="768" t="s">
        <v>491</v>
      </c>
      <c r="K143" s="768" t="s">
        <v>491</v>
      </c>
      <c r="L143" s="768" t="s">
        <v>491</v>
      </c>
      <c r="M143" s="768"/>
      <c r="N143" s="768"/>
      <c r="O143" s="768" t="s">
        <v>491</v>
      </c>
      <c r="P143" s="768" t="s">
        <v>491</v>
      </c>
      <c r="Q143" s="768" t="s">
        <v>491</v>
      </c>
      <c r="R143" s="768" t="s">
        <v>491</v>
      </c>
      <c r="S143" s="768" t="s">
        <v>491</v>
      </c>
      <c r="T143" s="768"/>
      <c r="U143" s="768"/>
      <c r="V143" s="768" t="s">
        <v>491</v>
      </c>
      <c r="W143" s="768" t="s">
        <v>491</v>
      </c>
      <c r="X143" s="768" t="s">
        <v>491</v>
      </c>
      <c r="Y143" s="768" t="s">
        <v>491</v>
      </c>
      <c r="Z143" s="768" t="s">
        <v>491</v>
      </c>
      <c r="AA143" s="768"/>
      <c r="AB143" s="768"/>
      <c r="AC143" s="768" t="s">
        <v>491</v>
      </c>
      <c r="AD143" s="768" t="s">
        <v>491</v>
      </c>
      <c r="AE143" s="768" t="s">
        <v>491</v>
      </c>
      <c r="AF143" s="768" t="s">
        <v>491</v>
      </c>
      <c r="AG143" s="768" t="s">
        <v>491</v>
      </c>
      <c r="AH143" s="924">
        <v>103.5</v>
      </c>
      <c r="AI143" s="925">
        <v>37</v>
      </c>
    </row>
    <row r="144" spans="1:35" ht="21.95" customHeight="1" thickBot="1">
      <c r="A144" s="576"/>
      <c r="B144" s="889" t="s">
        <v>637</v>
      </c>
      <c r="C144" s="768" t="s">
        <v>491</v>
      </c>
      <c r="D144" s="768" t="s">
        <v>491</v>
      </c>
      <c r="E144" s="768" t="s">
        <v>491</v>
      </c>
      <c r="F144" s="768"/>
      <c r="G144" s="768"/>
      <c r="H144" s="768" t="s">
        <v>491</v>
      </c>
      <c r="I144" s="768" t="s">
        <v>491</v>
      </c>
      <c r="J144" s="768" t="s">
        <v>491</v>
      </c>
      <c r="K144" s="768" t="s">
        <v>491</v>
      </c>
      <c r="L144" s="768" t="s">
        <v>491</v>
      </c>
      <c r="M144" s="768"/>
      <c r="N144" s="768"/>
      <c r="O144" s="768" t="s">
        <v>491</v>
      </c>
      <c r="P144" s="768" t="s">
        <v>491</v>
      </c>
      <c r="Q144" s="768" t="s">
        <v>491</v>
      </c>
      <c r="R144" s="768" t="s">
        <v>491</v>
      </c>
      <c r="S144" s="768" t="s">
        <v>491</v>
      </c>
      <c r="T144" s="768"/>
      <c r="U144" s="768"/>
      <c r="V144" s="768" t="s">
        <v>491</v>
      </c>
      <c r="W144" s="768" t="s">
        <v>491</v>
      </c>
      <c r="X144" s="768" t="s">
        <v>491</v>
      </c>
      <c r="Y144" s="768" t="s">
        <v>491</v>
      </c>
      <c r="Z144" s="768" t="s">
        <v>491</v>
      </c>
      <c r="AA144" s="768"/>
      <c r="AB144" s="768"/>
      <c r="AC144" s="768" t="s">
        <v>491</v>
      </c>
      <c r="AD144" s="768" t="s">
        <v>491</v>
      </c>
      <c r="AE144" s="768" t="s">
        <v>491</v>
      </c>
      <c r="AF144" s="768" t="s">
        <v>491</v>
      </c>
      <c r="AG144" s="768" t="s">
        <v>491</v>
      </c>
      <c r="AH144" s="597">
        <v>141</v>
      </c>
      <c r="AI144" s="598">
        <v>37</v>
      </c>
    </row>
    <row r="145" spans="1:36" ht="21.95" customHeight="1">
      <c r="A145" s="576"/>
      <c r="B145" s="847"/>
      <c r="C145" s="555"/>
      <c r="D145" s="555"/>
      <c r="E145" s="555"/>
      <c r="F145" s="555"/>
      <c r="G145" s="555"/>
      <c r="H145" s="555"/>
      <c r="I145" s="555"/>
      <c r="J145" s="555"/>
      <c r="K145" s="555"/>
      <c r="L145" s="555"/>
      <c r="M145" s="555"/>
      <c r="N145" s="555"/>
      <c r="O145" s="555"/>
      <c r="P145" s="555"/>
      <c r="Q145" s="555"/>
      <c r="R145" s="555"/>
      <c r="S145" s="555"/>
      <c r="T145" s="555"/>
      <c r="U145" s="555"/>
      <c r="V145" s="555"/>
      <c r="W145" s="555"/>
      <c r="X145" s="555"/>
      <c r="Y145" s="555"/>
      <c r="Z145" s="555"/>
      <c r="AA145" s="555"/>
      <c r="AB145" s="555"/>
      <c r="AC145" s="555"/>
      <c r="AD145" s="555"/>
      <c r="AE145" s="555"/>
      <c r="AF145" s="555"/>
      <c r="AG145" s="555"/>
      <c r="AH145" s="556"/>
      <c r="AI145" s="556"/>
    </row>
    <row r="146" spans="1:36" ht="21.95" customHeight="1" thickBot="1">
      <c r="A146" s="805" t="s">
        <v>639</v>
      </c>
      <c r="B146" s="538"/>
      <c r="C146" s="555"/>
      <c r="D146" s="538"/>
      <c r="E146" s="538"/>
      <c r="F146" s="538"/>
      <c r="G146" s="538"/>
      <c r="H146" s="538"/>
      <c r="I146" s="555"/>
      <c r="J146" s="555"/>
      <c r="K146" s="538"/>
      <c r="L146" s="538"/>
      <c r="M146" s="538"/>
      <c r="N146" s="538"/>
      <c r="O146" s="538"/>
      <c r="P146" s="538"/>
      <c r="Q146" s="555"/>
      <c r="R146" s="538"/>
      <c r="S146" s="538"/>
      <c r="T146" s="538"/>
      <c r="U146" s="538"/>
      <c r="V146" s="538"/>
      <c r="W146" s="555"/>
      <c r="X146" s="555"/>
      <c r="Y146" s="538"/>
      <c r="Z146" s="538"/>
      <c r="AA146" s="538"/>
      <c r="AB146" s="538"/>
      <c r="AC146" s="538"/>
      <c r="AD146" s="538"/>
      <c r="AE146" s="555"/>
      <c r="AF146" s="538"/>
      <c r="AG146" s="538"/>
      <c r="AH146" s="556"/>
      <c r="AI146" s="556"/>
    </row>
    <row r="147" spans="1:36" ht="21.95" customHeight="1">
      <c r="A147" s="576"/>
      <c r="B147" s="806" t="s">
        <v>589</v>
      </c>
      <c r="C147" s="814"/>
      <c r="D147" s="807" t="s">
        <v>2</v>
      </c>
      <c r="E147" s="808"/>
      <c r="F147" s="809"/>
      <c r="G147" s="810"/>
      <c r="H147" s="807" t="s">
        <v>3</v>
      </c>
      <c r="I147" s="808"/>
      <c r="J147" s="809"/>
      <c r="K147" s="810"/>
      <c r="L147" s="807" t="s">
        <v>4</v>
      </c>
      <c r="M147" s="808"/>
      <c r="N147" s="809"/>
      <c r="O147" s="810"/>
      <c r="P147" s="807" t="s">
        <v>5</v>
      </c>
      <c r="Q147" s="808"/>
      <c r="R147" s="809"/>
      <c r="S147" s="810"/>
      <c r="T147" s="807" t="s">
        <v>6</v>
      </c>
      <c r="U147" s="808"/>
      <c r="V147" s="809"/>
      <c r="W147" s="810"/>
      <c r="X147" s="807" t="s">
        <v>7</v>
      </c>
      <c r="Y147" s="808"/>
      <c r="Z147" s="809"/>
      <c r="AA147" s="810"/>
      <c r="AB147" s="807" t="s">
        <v>8</v>
      </c>
      <c r="AC147" s="808"/>
      <c r="AD147" s="808"/>
      <c r="AE147" s="811" t="s">
        <v>10</v>
      </c>
      <c r="AF147" s="808"/>
      <c r="AG147" s="808"/>
      <c r="AH147" s="808"/>
      <c r="AI147" s="812"/>
    </row>
    <row r="148" spans="1:36" ht="21.95" customHeight="1">
      <c r="A148" s="576"/>
      <c r="B148" s="832"/>
      <c r="C148" s="815"/>
      <c r="D148" s="831"/>
      <c r="E148" s="816"/>
      <c r="F148" s="813"/>
      <c r="G148" s="815"/>
      <c r="H148" s="831"/>
      <c r="I148" s="816"/>
      <c r="J148" s="813"/>
      <c r="K148" s="815"/>
      <c r="L148" s="831"/>
      <c r="M148" s="816"/>
      <c r="N148" s="813"/>
      <c r="O148" s="815"/>
      <c r="P148" s="831"/>
      <c r="Q148" s="816"/>
      <c r="R148" s="813"/>
      <c r="S148" s="815"/>
      <c r="T148" s="831"/>
      <c r="U148" s="816"/>
      <c r="V148" s="813"/>
      <c r="W148" s="815"/>
      <c r="X148" s="816"/>
      <c r="Y148" s="816"/>
      <c r="Z148" s="813"/>
      <c r="AA148" s="815"/>
      <c r="AB148" s="816"/>
      <c r="AC148" s="816"/>
      <c r="AD148" s="816"/>
      <c r="AE148" s="815"/>
      <c r="AF148" s="816"/>
      <c r="AG148" s="816"/>
      <c r="AH148" s="818"/>
      <c r="AI148" s="819"/>
    </row>
    <row r="149" spans="1:36" ht="21.95" customHeight="1">
      <c r="A149" s="576"/>
      <c r="B149" s="833"/>
      <c r="C149" s="815"/>
      <c r="D149" s="831"/>
      <c r="E149" s="816"/>
      <c r="F149" s="813"/>
      <c r="G149" s="815"/>
      <c r="H149" s="831"/>
      <c r="I149" s="816"/>
      <c r="J149" s="813"/>
      <c r="K149" s="815"/>
      <c r="L149" s="831"/>
      <c r="M149" s="816"/>
      <c r="N149" s="813"/>
      <c r="O149" s="815"/>
      <c r="P149" s="831"/>
      <c r="Q149" s="816"/>
      <c r="R149" s="813"/>
      <c r="S149" s="815"/>
      <c r="T149" s="831"/>
      <c r="U149" s="816"/>
      <c r="V149" s="813"/>
      <c r="W149" s="815"/>
      <c r="X149" s="816"/>
      <c r="Y149" s="816"/>
      <c r="Z149" s="813"/>
      <c r="AA149" s="815"/>
      <c r="AB149" s="816"/>
      <c r="AC149" s="816"/>
      <c r="AD149" s="816"/>
      <c r="AE149" s="815"/>
      <c r="AF149" s="816"/>
      <c r="AG149" s="816"/>
      <c r="AH149" s="818"/>
      <c r="AI149" s="819"/>
    </row>
    <row r="150" spans="1:36" ht="21.95" customHeight="1">
      <c r="A150" s="576"/>
      <c r="B150" s="833"/>
      <c r="C150" s="815"/>
      <c r="D150" s="831"/>
      <c r="E150" s="816"/>
      <c r="F150" s="813"/>
      <c r="G150" s="815"/>
      <c r="H150" s="831"/>
      <c r="I150" s="816"/>
      <c r="J150" s="813"/>
      <c r="K150" s="815"/>
      <c r="L150" s="831"/>
      <c r="M150" s="816"/>
      <c r="N150" s="813"/>
      <c r="O150" s="815"/>
      <c r="P150" s="831"/>
      <c r="Q150" s="816"/>
      <c r="R150" s="813"/>
      <c r="S150" s="815"/>
      <c r="T150" s="831"/>
      <c r="U150" s="816"/>
      <c r="V150" s="813"/>
      <c r="W150" s="815"/>
      <c r="X150" s="816"/>
      <c r="Y150" s="816"/>
      <c r="Z150" s="813"/>
      <c r="AA150" s="815"/>
      <c r="AB150" s="816"/>
      <c r="AC150" s="816"/>
      <c r="AD150" s="816"/>
      <c r="AE150" s="815"/>
      <c r="AF150" s="816"/>
      <c r="AG150" s="816"/>
      <c r="AH150" s="818"/>
      <c r="AI150" s="819"/>
    </row>
    <row r="151" spans="1:36" ht="21.95" customHeight="1" thickBot="1">
      <c r="A151" s="576"/>
      <c r="B151" s="847"/>
      <c r="C151" s="555"/>
      <c r="D151" s="555"/>
      <c r="E151" s="555"/>
      <c r="F151" s="555"/>
      <c r="G151" s="555"/>
      <c r="H151" s="555"/>
      <c r="I151" s="555"/>
      <c r="J151" s="555"/>
      <c r="K151" s="555"/>
      <c r="L151" s="555"/>
      <c r="M151" s="555"/>
      <c r="N151" s="555"/>
      <c r="O151" s="555"/>
      <c r="P151" s="555"/>
      <c r="Q151" s="555"/>
      <c r="R151" s="555"/>
      <c r="S151" s="555"/>
      <c r="T151" s="555"/>
      <c r="U151" s="555"/>
      <c r="V151" s="555"/>
      <c r="W151" s="555"/>
      <c r="X151" s="555"/>
      <c r="Y151" s="555"/>
      <c r="Z151" s="555"/>
      <c r="AA151" s="555"/>
      <c r="AB151" s="555"/>
      <c r="AC151" s="555"/>
      <c r="AD151" s="555"/>
      <c r="AE151" s="555"/>
      <c r="AF151" s="555"/>
      <c r="AG151" s="555"/>
      <c r="AH151" s="556"/>
      <c r="AI151" s="556"/>
    </row>
    <row r="152" spans="1:36" ht="21.95" customHeight="1" thickBot="1">
      <c r="A152" s="785"/>
      <c r="B152" s="883" t="s">
        <v>476</v>
      </c>
      <c r="C152" s="946">
        <v>1</v>
      </c>
      <c r="D152" s="863">
        <v>2</v>
      </c>
      <c r="E152" s="863">
        <v>3</v>
      </c>
      <c r="F152" s="880">
        <v>4</v>
      </c>
      <c r="G152" s="880">
        <v>5</v>
      </c>
      <c r="H152" s="863">
        <v>6</v>
      </c>
      <c r="I152" s="863">
        <v>7</v>
      </c>
      <c r="J152" s="863">
        <v>8</v>
      </c>
      <c r="K152" s="863">
        <v>9</v>
      </c>
      <c r="L152" s="863">
        <v>10</v>
      </c>
      <c r="M152" s="880">
        <v>11</v>
      </c>
      <c r="N152" s="880">
        <v>12</v>
      </c>
      <c r="O152" s="863">
        <v>13</v>
      </c>
      <c r="P152" s="863">
        <v>14</v>
      </c>
      <c r="Q152" s="863">
        <v>15</v>
      </c>
      <c r="R152" s="863">
        <v>16</v>
      </c>
      <c r="S152" s="863">
        <v>17</v>
      </c>
      <c r="T152" s="880">
        <v>18</v>
      </c>
      <c r="U152" s="880">
        <v>19</v>
      </c>
      <c r="V152" s="863">
        <v>20</v>
      </c>
      <c r="W152" s="863">
        <v>21</v>
      </c>
      <c r="X152" s="863">
        <v>22</v>
      </c>
      <c r="Y152" s="863">
        <v>23</v>
      </c>
      <c r="Z152" s="863">
        <v>24</v>
      </c>
      <c r="AA152" s="880">
        <v>25</v>
      </c>
      <c r="AB152" s="880">
        <v>26</v>
      </c>
      <c r="AC152" s="863">
        <v>27</v>
      </c>
      <c r="AD152" s="863">
        <v>28</v>
      </c>
      <c r="AE152" s="863">
        <v>29</v>
      </c>
      <c r="AF152" s="863">
        <v>30</v>
      </c>
      <c r="AG152" s="945">
        <v>31</v>
      </c>
      <c r="AH152" s="884" t="s">
        <v>477</v>
      </c>
      <c r="AI152" s="885" t="s">
        <v>478</v>
      </c>
    </row>
    <row r="153" spans="1:36" ht="21.95" customHeight="1">
      <c r="A153" s="576"/>
      <c r="B153" s="890" t="s">
        <v>640</v>
      </c>
      <c r="C153" s="768" t="s">
        <v>491</v>
      </c>
      <c r="D153" s="768" t="s">
        <v>491</v>
      </c>
      <c r="E153" s="768" t="s">
        <v>491</v>
      </c>
      <c r="F153" s="768"/>
      <c r="G153" s="768"/>
      <c r="H153" s="768" t="s">
        <v>491</v>
      </c>
      <c r="I153" s="768" t="s">
        <v>491</v>
      </c>
      <c r="J153" s="768" t="s">
        <v>491</v>
      </c>
      <c r="K153" s="768" t="s">
        <v>491</v>
      </c>
      <c r="L153" s="768" t="s">
        <v>491</v>
      </c>
      <c r="M153" s="768"/>
      <c r="N153" s="768"/>
      <c r="O153" s="768" t="s">
        <v>491</v>
      </c>
      <c r="P153" s="768" t="s">
        <v>491</v>
      </c>
      <c r="Q153" s="768" t="s">
        <v>491</v>
      </c>
      <c r="R153" s="768" t="s">
        <v>491</v>
      </c>
      <c r="S153" s="768" t="s">
        <v>491</v>
      </c>
      <c r="T153" s="768"/>
      <c r="U153" s="768"/>
      <c r="V153" s="768" t="s">
        <v>491</v>
      </c>
      <c r="W153" s="768" t="s">
        <v>491</v>
      </c>
      <c r="X153" s="768" t="s">
        <v>491</v>
      </c>
      <c r="Y153" s="768" t="s">
        <v>491</v>
      </c>
      <c r="Z153" s="768" t="s">
        <v>491</v>
      </c>
      <c r="AA153" s="768"/>
      <c r="AB153" s="768"/>
      <c r="AC153" s="970" t="s">
        <v>491</v>
      </c>
      <c r="AD153" s="970" t="s">
        <v>491</v>
      </c>
      <c r="AE153" s="970" t="s">
        <v>491</v>
      </c>
      <c r="AF153" s="970" t="s">
        <v>491</v>
      </c>
      <c r="AG153" s="970" t="s">
        <v>491</v>
      </c>
      <c r="AH153" s="510">
        <v>37</v>
      </c>
      <c r="AI153" s="511">
        <v>37</v>
      </c>
    </row>
    <row r="154" spans="1:36" ht="21.95" customHeight="1">
      <c r="A154" s="576"/>
      <c r="B154" s="859" t="s">
        <v>742</v>
      </c>
      <c r="C154" s="768" t="s">
        <v>491</v>
      </c>
      <c r="D154" s="768" t="s">
        <v>491</v>
      </c>
      <c r="E154" s="768" t="s">
        <v>491</v>
      </c>
      <c r="F154" s="768"/>
      <c r="G154" s="768"/>
      <c r="H154" s="768" t="s">
        <v>491</v>
      </c>
      <c r="I154" s="768" t="s">
        <v>491</v>
      </c>
      <c r="J154" s="768" t="s">
        <v>491</v>
      </c>
      <c r="K154" s="768" t="s">
        <v>491</v>
      </c>
      <c r="L154" s="768" t="s">
        <v>491</v>
      </c>
      <c r="M154" s="768"/>
      <c r="N154" s="768"/>
      <c r="O154" s="768" t="s">
        <v>491</v>
      </c>
      <c r="P154" s="768" t="s">
        <v>491</v>
      </c>
      <c r="Q154" s="768" t="s">
        <v>491</v>
      </c>
      <c r="R154" s="768" t="s">
        <v>491</v>
      </c>
      <c r="S154" s="768" t="s">
        <v>491</v>
      </c>
      <c r="T154" s="768"/>
      <c r="U154" s="768"/>
      <c r="V154" s="768" t="s">
        <v>491</v>
      </c>
      <c r="W154" s="768" t="s">
        <v>491</v>
      </c>
      <c r="X154" s="768" t="s">
        <v>491</v>
      </c>
      <c r="Y154" s="768" t="s">
        <v>491</v>
      </c>
      <c r="Z154" s="768" t="s">
        <v>491</v>
      </c>
      <c r="AA154" s="768"/>
      <c r="AB154" s="768"/>
      <c r="AC154" s="768" t="s">
        <v>491</v>
      </c>
      <c r="AD154" s="768" t="s">
        <v>491</v>
      </c>
      <c r="AE154" s="768" t="s">
        <v>491</v>
      </c>
      <c r="AF154" s="768" t="s">
        <v>491</v>
      </c>
      <c r="AG154" s="768" t="s">
        <v>491</v>
      </c>
      <c r="AH154" s="924">
        <v>185</v>
      </c>
      <c r="AI154" s="925">
        <v>37</v>
      </c>
    </row>
    <row r="155" spans="1:36" ht="21.95" customHeight="1">
      <c r="A155" s="576"/>
      <c r="B155" s="821" t="s">
        <v>641</v>
      </c>
      <c r="C155" s="768" t="s">
        <v>491</v>
      </c>
      <c r="D155" s="768" t="s">
        <v>491</v>
      </c>
      <c r="E155" s="768" t="s">
        <v>491</v>
      </c>
      <c r="F155" s="768"/>
      <c r="G155" s="768"/>
      <c r="H155" s="768" t="s">
        <v>491</v>
      </c>
      <c r="I155" s="768" t="s">
        <v>491</v>
      </c>
      <c r="J155" s="768" t="s">
        <v>491</v>
      </c>
      <c r="K155" s="768" t="s">
        <v>491</v>
      </c>
      <c r="L155" s="768" t="s">
        <v>491</v>
      </c>
      <c r="M155" s="768"/>
      <c r="N155" s="768"/>
      <c r="O155" s="768" t="s">
        <v>491</v>
      </c>
      <c r="P155" s="768" t="s">
        <v>491</v>
      </c>
      <c r="Q155" s="768" t="s">
        <v>491</v>
      </c>
      <c r="R155" s="768" t="s">
        <v>491</v>
      </c>
      <c r="S155" s="768" t="s">
        <v>491</v>
      </c>
      <c r="T155" s="768"/>
      <c r="U155" s="768"/>
      <c r="V155" s="768" t="s">
        <v>491</v>
      </c>
      <c r="W155" s="768" t="s">
        <v>491</v>
      </c>
      <c r="X155" s="768" t="s">
        <v>491</v>
      </c>
      <c r="Y155" s="768" t="s">
        <v>491</v>
      </c>
      <c r="Z155" s="768" t="s">
        <v>491</v>
      </c>
      <c r="AA155" s="768"/>
      <c r="AB155" s="768"/>
      <c r="AC155" s="768" t="s">
        <v>491</v>
      </c>
      <c r="AD155" s="768" t="s">
        <v>491</v>
      </c>
      <c r="AE155" s="768" t="s">
        <v>491</v>
      </c>
      <c r="AF155" s="768" t="s">
        <v>491</v>
      </c>
      <c r="AG155" s="768" t="s">
        <v>491</v>
      </c>
      <c r="AH155" s="924">
        <v>75</v>
      </c>
      <c r="AI155" s="925">
        <v>37</v>
      </c>
    </row>
    <row r="156" spans="1:36" ht="21.95" customHeight="1">
      <c r="A156" s="576"/>
      <c r="B156" s="821" t="s">
        <v>642</v>
      </c>
      <c r="C156" s="768" t="s">
        <v>491</v>
      </c>
      <c r="D156" s="768" t="s">
        <v>491</v>
      </c>
      <c r="E156" s="768" t="s">
        <v>491</v>
      </c>
      <c r="F156" s="768"/>
      <c r="G156" s="768"/>
      <c r="H156" s="768" t="s">
        <v>491</v>
      </c>
      <c r="I156" s="768" t="s">
        <v>491</v>
      </c>
      <c r="J156" s="768" t="s">
        <v>491</v>
      </c>
      <c r="K156" s="768" t="s">
        <v>491</v>
      </c>
      <c r="L156" s="768" t="s">
        <v>491</v>
      </c>
      <c r="M156" s="768"/>
      <c r="N156" s="768"/>
      <c r="O156" s="768" t="s">
        <v>491</v>
      </c>
      <c r="P156" s="768" t="s">
        <v>491</v>
      </c>
      <c r="Q156" s="768" t="s">
        <v>491</v>
      </c>
      <c r="R156" s="768" t="s">
        <v>491</v>
      </c>
      <c r="S156" s="768" t="s">
        <v>491</v>
      </c>
      <c r="T156" s="768"/>
      <c r="U156" s="768"/>
      <c r="V156" s="768" t="s">
        <v>491</v>
      </c>
      <c r="W156" s="768" t="s">
        <v>491</v>
      </c>
      <c r="X156" s="768" t="s">
        <v>491</v>
      </c>
      <c r="Y156" s="768" t="s">
        <v>491</v>
      </c>
      <c r="Z156" s="768" t="s">
        <v>491</v>
      </c>
      <c r="AA156" s="768"/>
      <c r="AB156" s="768"/>
      <c r="AC156" s="768" t="s">
        <v>491</v>
      </c>
      <c r="AD156" s="768" t="s">
        <v>491</v>
      </c>
      <c r="AE156" s="768" t="s">
        <v>491</v>
      </c>
      <c r="AF156" s="768" t="s">
        <v>491</v>
      </c>
      <c r="AG156" s="768" t="s">
        <v>491</v>
      </c>
      <c r="AH156" s="924">
        <v>89</v>
      </c>
      <c r="AI156" s="925">
        <v>37</v>
      </c>
    </row>
    <row r="157" spans="1:36" ht="21.95" customHeight="1">
      <c r="A157" s="576"/>
      <c r="B157" s="821" t="s">
        <v>643</v>
      </c>
      <c r="C157" s="768" t="s">
        <v>491</v>
      </c>
      <c r="D157" s="768" t="s">
        <v>491</v>
      </c>
      <c r="E157" s="768" t="s">
        <v>491</v>
      </c>
      <c r="F157" s="768"/>
      <c r="G157" s="768"/>
      <c r="H157" s="768" t="s">
        <v>491</v>
      </c>
      <c r="I157" s="768" t="s">
        <v>491</v>
      </c>
      <c r="J157" s="768" t="s">
        <v>491</v>
      </c>
      <c r="K157" s="768" t="s">
        <v>491</v>
      </c>
      <c r="L157" s="768" t="s">
        <v>491</v>
      </c>
      <c r="M157" s="768"/>
      <c r="N157" s="768"/>
      <c r="O157" s="970" t="s">
        <v>491</v>
      </c>
      <c r="P157" s="970" t="s">
        <v>491</v>
      </c>
      <c r="Q157" s="970" t="s">
        <v>491</v>
      </c>
      <c r="R157" s="970" t="s">
        <v>491</v>
      </c>
      <c r="S157" s="970" t="s">
        <v>491</v>
      </c>
      <c r="T157" s="970"/>
      <c r="U157" s="970"/>
      <c r="V157" s="768" t="s">
        <v>491</v>
      </c>
      <c r="W157" s="768" t="s">
        <v>491</v>
      </c>
      <c r="X157" s="768" t="s">
        <v>491</v>
      </c>
      <c r="Y157" s="768" t="s">
        <v>491</v>
      </c>
      <c r="Z157" s="768" t="s">
        <v>491</v>
      </c>
      <c r="AA157" s="768"/>
      <c r="AB157" s="768"/>
      <c r="AC157" s="768" t="s">
        <v>491</v>
      </c>
      <c r="AD157" s="768" t="s">
        <v>491</v>
      </c>
      <c r="AE157" s="768" t="s">
        <v>491</v>
      </c>
      <c r="AF157" s="768" t="s">
        <v>491</v>
      </c>
      <c r="AG157" s="768" t="s">
        <v>491</v>
      </c>
      <c r="AH157" s="924">
        <v>74.5</v>
      </c>
      <c r="AI157" s="925">
        <v>37</v>
      </c>
    </row>
    <row r="158" spans="1:36" ht="21.95" customHeight="1" thickBot="1">
      <c r="A158" s="576"/>
      <c r="B158" s="891"/>
      <c r="C158" s="768" t="s">
        <v>491</v>
      </c>
      <c r="D158" s="768" t="s">
        <v>491</v>
      </c>
      <c r="E158" s="768" t="s">
        <v>491</v>
      </c>
      <c r="F158" s="768"/>
      <c r="G158" s="768"/>
      <c r="H158" s="768" t="s">
        <v>491</v>
      </c>
      <c r="I158" s="768" t="s">
        <v>491</v>
      </c>
      <c r="J158" s="768" t="s">
        <v>491</v>
      </c>
      <c r="K158" s="768" t="s">
        <v>491</v>
      </c>
      <c r="L158" s="768" t="s">
        <v>491</v>
      </c>
      <c r="M158" s="768"/>
      <c r="N158" s="768"/>
      <c r="O158" s="768" t="s">
        <v>491</v>
      </c>
      <c r="P158" s="768" t="s">
        <v>491</v>
      </c>
      <c r="Q158" s="768" t="s">
        <v>491</v>
      </c>
      <c r="R158" s="768" t="s">
        <v>491</v>
      </c>
      <c r="S158" s="768" t="s">
        <v>491</v>
      </c>
      <c r="T158" s="768"/>
      <c r="U158" s="768"/>
      <c r="V158" s="768" t="s">
        <v>491</v>
      </c>
      <c r="W158" s="768" t="s">
        <v>491</v>
      </c>
      <c r="X158" s="768" t="s">
        <v>491</v>
      </c>
      <c r="Y158" s="768" t="s">
        <v>491</v>
      </c>
      <c r="Z158" s="768" t="s">
        <v>491</v>
      </c>
      <c r="AA158" s="768"/>
      <c r="AB158" s="768"/>
      <c r="AC158" s="768" t="s">
        <v>491</v>
      </c>
      <c r="AD158" s="768" t="s">
        <v>491</v>
      </c>
      <c r="AE158" s="768" t="s">
        <v>491</v>
      </c>
      <c r="AF158" s="768" t="s">
        <v>491</v>
      </c>
      <c r="AG158" s="768" t="s">
        <v>491</v>
      </c>
      <c r="AH158" s="868">
        <v>185</v>
      </c>
      <c r="AI158" s="869">
        <v>37</v>
      </c>
    </row>
    <row r="159" spans="1:36" ht="21.95" customHeight="1">
      <c r="A159" s="576"/>
      <c r="B159" s="847"/>
      <c r="C159" s="555"/>
      <c r="D159" s="555"/>
      <c r="E159" s="555"/>
      <c r="F159" s="555"/>
      <c r="G159" s="555"/>
      <c r="H159" s="555"/>
      <c r="I159" s="555"/>
      <c r="J159" s="555"/>
      <c r="K159" s="555"/>
      <c r="L159" s="555"/>
      <c r="M159" s="555"/>
      <c r="N159" s="555"/>
      <c r="O159" s="555"/>
      <c r="P159" s="555"/>
      <c r="Q159" s="555"/>
      <c r="R159" s="555"/>
      <c r="S159" s="555"/>
      <c r="T159" s="555"/>
      <c r="U159" s="555"/>
      <c r="V159" s="555"/>
      <c r="W159" s="555"/>
      <c r="X159" s="555"/>
      <c r="Y159" s="555"/>
      <c r="Z159" s="555"/>
      <c r="AA159" s="555"/>
      <c r="AB159" s="555"/>
      <c r="AC159" s="555"/>
      <c r="AD159" s="555"/>
      <c r="AE159" s="555"/>
      <c r="AF159" s="555"/>
      <c r="AG159" s="555"/>
      <c r="AH159" s="556"/>
      <c r="AI159" s="556"/>
    </row>
    <row r="160" spans="1:36" ht="21.95" customHeight="1">
      <c r="A160" s="312" t="s">
        <v>644</v>
      </c>
      <c r="C160" s="555"/>
      <c r="D160" s="555"/>
      <c r="E160" s="555"/>
      <c r="F160" s="555"/>
      <c r="G160" s="555"/>
      <c r="H160" s="555"/>
      <c r="I160" s="555"/>
      <c r="J160" s="555"/>
      <c r="K160" s="555"/>
      <c r="L160" s="555"/>
      <c r="M160" s="555"/>
      <c r="N160" s="555"/>
      <c r="O160" s="555"/>
      <c r="P160" s="555"/>
      <c r="Q160" s="555"/>
      <c r="R160" s="555"/>
      <c r="S160" s="555"/>
      <c r="T160" s="555"/>
      <c r="U160" s="555"/>
      <c r="V160" s="555"/>
      <c r="W160" s="555"/>
      <c r="X160" s="555"/>
      <c r="Y160" s="555"/>
      <c r="Z160" s="555"/>
      <c r="AA160" s="555"/>
      <c r="AB160" s="555"/>
      <c r="AC160" s="555"/>
      <c r="AD160" s="555"/>
      <c r="AE160" s="555"/>
      <c r="AF160" s="555"/>
      <c r="AG160" s="555"/>
      <c r="AH160" s="556"/>
      <c r="AI160" s="556"/>
      <c r="AJ160" s="361"/>
    </row>
    <row r="161" spans="1:36" ht="21.95" customHeight="1">
      <c r="A161" s="299" t="s">
        <v>475</v>
      </c>
      <c r="B161" s="299"/>
      <c r="C161" s="153"/>
      <c r="D161" s="299" t="s">
        <v>2</v>
      </c>
      <c r="E161" s="186"/>
      <c r="F161" s="153"/>
      <c r="G161" s="299" t="s">
        <v>3</v>
      </c>
      <c r="H161" s="186"/>
      <c r="I161" s="153"/>
      <c r="J161" s="299" t="s">
        <v>4</v>
      </c>
      <c r="K161" s="186"/>
      <c r="L161" s="153"/>
      <c r="M161" s="299" t="s">
        <v>5</v>
      </c>
      <c r="N161" s="186"/>
      <c r="O161" s="153"/>
      <c r="P161" s="299" t="s">
        <v>6</v>
      </c>
      <c r="Q161" s="186"/>
      <c r="R161" s="134"/>
      <c r="S161" s="199" t="s">
        <v>7</v>
      </c>
      <c r="T161" s="186"/>
      <c r="U161" s="153"/>
      <c r="V161" s="299" t="s">
        <v>8</v>
      </c>
      <c r="W161" s="186"/>
      <c r="X161" s="585" t="s">
        <v>10</v>
      </c>
      <c r="Y161" s="186"/>
      <c r="Z161" s="186"/>
      <c r="AA161" s="561"/>
      <c r="AB161" s="483"/>
      <c r="AC161" s="483"/>
      <c r="AD161" s="483"/>
      <c r="AE161" s="483"/>
      <c r="AF161" s="483"/>
      <c r="AG161" s="484"/>
      <c r="AH161" s="361"/>
      <c r="AI161" s="361"/>
      <c r="AJ161" s="361"/>
    </row>
    <row r="162" spans="1:36" ht="21.95" customHeight="1">
      <c r="A162" s="130">
        <v>8517</v>
      </c>
      <c r="B162" s="500" t="s">
        <v>645</v>
      </c>
      <c r="C162" s="584" t="s">
        <v>124</v>
      </c>
      <c r="D162" s="581"/>
      <c r="E162" s="586"/>
      <c r="F162" s="584" t="s">
        <v>124</v>
      </c>
      <c r="G162" s="587"/>
      <c r="H162" s="586"/>
      <c r="I162" s="121" t="s">
        <v>124</v>
      </c>
      <c r="J162" s="565"/>
      <c r="K162" s="588"/>
      <c r="L162" s="121" t="s">
        <v>124</v>
      </c>
      <c r="M162" s="565"/>
      <c r="N162" s="588"/>
      <c r="O162" s="121" t="s">
        <v>125</v>
      </c>
      <c r="P162" s="565"/>
      <c r="Q162" s="477"/>
      <c r="R162" s="589" t="s">
        <v>28</v>
      </c>
      <c r="S162" s="565"/>
      <c r="T162" s="588"/>
      <c r="U162" s="565" t="s">
        <v>28</v>
      </c>
      <c r="V162" s="565"/>
      <c r="W162" s="477"/>
      <c r="X162" s="145" t="s">
        <v>28</v>
      </c>
      <c r="Y162" s="361"/>
      <c r="Z162" s="361"/>
      <c r="AA162" s="361"/>
      <c r="AB162" s="361"/>
      <c r="AC162" s="361"/>
      <c r="AD162" s="361"/>
      <c r="AE162" s="361"/>
      <c r="AF162" s="361"/>
      <c r="AG162" s="590"/>
      <c r="AH162" s="361"/>
      <c r="AI162" s="361"/>
      <c r="AJ162" s="361"/>
    </row>
    <row r="163" spans="1:36" ht="21.95" customHeight="1">
      <c r="A163" s="591">
        <v>8502</v>
      </c>
      <c r="B163" s="592" t="s">
        <v>646</v>
      </c>
      <c r="C163" s="121" t="s">
        <v>11</v>
      </c>
      <c r="D163" s="565"/>
      <c r="E163" s="477"/>
      <c r="F163" s="121" t="s">
        <v>11</v>
      </c>
      <c r="G163" s="565"/>
      <c r="H163" s="588"/>
      <c r="I163" s="121" t="s">
        <v>11</v>
      </c>
      <c r="J163" s="565"/>
      <c r="K163" s="588"/>
      <c r="L163" s="121" t="s">
        <v>11</v>
      </c>
      <c r="M163" s="565"/>
      <c r="N163" s="588"/>
      <c r="O163" s="121" t="s">
        <v>12</v>
      </c>
      <c r="P163" s="565"/>
      <c r="Q163" s="477"/>
      <c r="R163" s="593"/>
      <c r="S163" s="594"/>
      <c r="T163" s="588"/>
      <c r="U163" s="565"/>
      <c r="V163" s="565"/>
      <c r="W163" s="477"/>
      <c r="X163" s="476"/>
      <c r="Y163" s="483"/>
      <c r="Z163" s="483"/>
      <c r="AA163" s="483"/>
      <c r="AB163" s="483"/>
      <c r="AC163" s="483"/>
      <c r="AD163" s="483"/>
      <c r="AE163" s="483"/>
      <c r="AF163" s="483"/>
      <c r="AG163" s="484"/>
      <c r="AH163" s="361"/>
      <c r="AI163" s="361"/>
      <c r="AJ163" s="361"/>
    </row>
    <row r="164" spans="1:36" ht="21.95" customHeight="1" thickBot="1">
      <c r="A164" s="274"/>
      <c r="B164" s="516"/>
      <c r="C164" s="354"/>
      <c r="D164" s="354"/>
      <c r="E164" s="73"/>
      <c r="F164" s="354"/>
      <c r="G164" s="354"/>
      <c r="H164" s="73"/>
      <c r="I164" s="354"/>
      <c r="J164" s="354"/>
      <c r="K164" s="73"/>
      <c r="L164" s="354"/>
      <c r="M164" s="354"/>
      <c r="N164" s="73"/>
      <c r="O164" s="354"/>
      <c r="P164" s="354"/>
      <c r="Q164" s="73"/>
      <c r="R164" s="168"/>
      <c r="S164" s="354"/>
      <c r="T164" s="73"/>
      <c r="U164" s="354"/>
      <c r="V164" s="354"/>
      <c r="W164" s="73"/>
      <c r="X164" s="73"/>
      <c r="Y164" s="361"/>
      <c r="Z164" s="361"/>
      <c r="AA164" s="361"/>
      <c r="AB164" s="361"/>
      <c r="AC164" s="361"/>
      <c r="AD164" s="361"/>
      <c r="AE164" s="361"/>
      <c r="AF164" s="361"/>
      <c r="AG164" s="361"/>
      <c r="AH164" s="361"/>
      <c r="AI164" s="361"/>
    </row>
    <row r="165" spans="1:36" ht="21.95" customHeight="1" thickBot="1">
      <c r="A165" s="595"/>
      <c r="B165" s="862" t="s">
        <v>476</v>
      </c>
      <c r="C165" s="863">
        <v>1</v>
      </c>
      <c r="D165" s="863">
        <v>2</v>
      </c>
      <c r="E165" s="863">
        <v>3</v>
      </c>
      <c r="F165" s="880">
        <v>4</v>
      </c>
      <c r="G165" s="880">
        <v>5</v>
      </c>
      <c r="H165" s="863">
        <v>6</v>
      </c>
      <c r="I165" s="863">
        <v>7</v>
      </c>
      <c r="J165" s="863">
        <v>8</v>
      </c>
      <c r="K165" s="863">
        <v>9</v>
      </c>
      <c r="L165" s="863">
        <v>10</v>
      </c>
      <c r="M165" s="880">
        <v>11</v>
      </c>
      <c r="N165" s="880">
        <v>12</v>
      </c>
      <c r="O165" s="863">
        <v>13</v>
      </c>
      <c r="P165" s="863">
        <v>14</v>
      </c>
      <c r="Q165" s="863">
        <v>15</v>
      </c>
      <c r="R165" s="863">
        <v>16</v>
      </c>
      <c r="S165" s="863">
        <v>17</v>
      </c>
      <c r="T165" s="880">
        <v>18</v>
      </c>
      <c r="U165" s="880">
        <v>19</v>
      </c>
      <c r="V165" s="863">
        <v>20</v>
      </c>
      <c r="W165" s="863">
        <v>21</v>
      </c>
      <c r="X165" s="863">
        <v>22</v>
      </c>
      <c r="Y165" s="863">
        <v>23</v>
      </c>
      <c r="Z165" s="863">
        <v>24</v>
      </c>
      <c r="AA165" s="880">
        <v>25</v>
      </c>
      <c r="AB165" s="880">
        <v>26</v>
      </c>
      <c r="AC165" s="863">
        <v>27</v>
      </c>
      <c r="AD165" s="863">
        <v>28</v>
      </c>
      <c r="AE165" s="863">
        <v>29</v>
      </c>
      <c r="AF165" s="863">
        <v>30</v>
      </c>
      <c r="AG165" s="943">
        <v>31</v>
      </c>
      <c r="AH165" s="864" t="s">
        <v>477</v>
      </c>
      <c r="AI165" s="865" t="s">
        <v>478</v>
      </c>
    </row>
    <row r="166" spans="1:36" ht="21.95" customHeight="1">
      <c r="A166" s="596">
        <v>1</v>
      </c>
      <c r="B166" s="566" t="s">
        <v>516</v>
      </c>
      <c r="C166" s="1193">
        <v>11</v>
      </c>
      <c r="D166" s="1194">
        <v>11</v>
      </c>
      <c r="E166" s="1194">
        <v>11</v>
      </c>
      <c r="F166" s="1194" t="s">
        <v>517</v>
      </c>
      <c r="G166" s="1194" t="s">
        <v>517</v>
      </c>
      <c r="H166" s="1194" t="s">
        <v>481</v>
      </c>
      <c r="I166" s="1194" t="s">
        <v>481</v>
      </c>
      <c r="J166" s="1194" t="s">
        <v>481</v>
      </c>
      <c r="K166" s="1194" t="s">
        <v>481</v>
      </c>
      <c r="L166" s="1194" t="s">
        <v>481</v>
      </c>
      <c r="M166" s="1194"/>
      <c r="N166" s="1194"/>
      <c r="O166" s="1194" t="s">
        <v>553</v>
      </c>
      <c r="P166" s="1194" t="s">
        <v>553</v>
      </c>
      <c r="Q166" s="1194" t="s">
        <v>553</v>
      </c>
      <c r="R166" s="1194" t="s">
        <v>553</v>
      </c>
      <c r="S166" s="1194" t="s">
        <v>553</v>
      </c>
      <c r="T166" s="1194" t="s">
        <v>555</v>
      </c>
      <c r="U166" s="1194" t="s">
        <v>555</v>
      </c>
      <c r="V166" s="1194" t="s">
        <v>481</v>
      </c>
      <c r="W166" s="1194" t="s">
        <v>481</v>
      </c>
      <c r="X166" s="1194" t="s">
        <v>755</v>
      </c>
      <c r="Y166" s="1195" t="s">
        <v>481</v>
      </c>
      <c r="Z166" s="1195" t="s">
        <v>481</v>
      </c>
      <c r="AA166" s="1195"/>
      <c r="AB166" s="1195"/>
      <c r="AC166" s="1229">
        <v>3</v>
      </c>
      <c r="AD166" s="1229">
        <v>3</v>
      </c>
      <c r="AE166" s="1229">
        <v>3</v>
      </c>
      <c r="AF166" s="1229">
        <v>3</v>
      </c>
      <c r="AG166" s="987">
        <v>3</v>
      </c>
      <c r="AH166" s="892">
        <v>161.75</v>
      </c>
      <c r="AI166" s="893">
        <v>37</v>
      </c>
    </row>
    <row r="167" spans="1:36" ht="21.95" customHeight="1">
      <c r="A167" s="596">
        <v>2</v>
      </c>
      <c r="B167" s="1191" t="s">
        <v>648</v>
      </c>
      <c r="C167" s="1196" t="s">
        <v>481</v>
      </c>
      <c r="D167" s="1197" t="s">
        <v>481</v>
      </c>
      <c r="E167" s="1197" t="s">
        <v>481</v>
      </c>
      <c r="F167" s="1197"/>
      <c r="G167" s="1197"/>
      <c r="H167" s="1197" t="s">
        <v>585</v>
      </c>
      <c r="I167" s="1197" t="s">
        <v>585</v>
      </c>
      <c r="J167" s="1198" t="s">
        <v>491</v>
      </c>
      <c r="K167" s="1197" t="s">
        <v>585</v>
      </c>
      <c r="L167" s="1197" t="s">
        <v>585</v>
      </c>
      <c r="M167" s="1197"/>
      <c r="N167" s="1197"/>
      <c r="O167" s="1197" t="s">
        <v>584</v>
      </c>
      <c r="P167" s="1197" t="s">
        <v>584</v>
      </c>
      <c r="Q167" s="1212" t="s">
        <v>584</v>
      </c>
      <c r="R167" s="1212" t="s">
        <v>583</v>
      </c>
      <c r="S167" s="1212" t="s">
        <v>583</v>
      </c>
      <c r="T167" s="1212" t="s">
        <v>583</v>
      </c>
      <c r="U167" s="1212"/>
      <c r="V167" s="1212" t="s">
        <v>585</v>
      </c>
      <c r="W167" s="1212" t="s">
        <v>773</v>
      </c>
      <c r="X167" s="1197" t="s">
        <v>585</v>
      </c>
      <c r="Y167" s="1197" t="s">
        <v>540</v>
      </c>
      <c r="Z167" s="1197" t="s">
        <v>553</v>
      </c>
      <c r="AA167" s="1197"/>
      <c r="AB167" s="1197"/>
      <c r="AC167" s="1197" t="s">
        <v>585</v>
      </c>
      <c r="AD167" s="1197" t="s">
        <v>585</v>
      </c>
      <c r="AE167" s="1197" t="s">
        <v>585</v>
      </c>
      <c r="AF167" s="1197" t="s">
        <v>585</v>
      </c>
      <c r="AG167" s="768" t="s">
        <v>585</v>
      </c>
      <c r="AH167" s="822">
        <v>74</v>
      </c>
      <c r="AI167" s="823">
        <v>37</v>
      </c>
    </row>
    <row r="168" spans="1:36" ht="21.95" customHeight="1">
      <c r="A168" s="596">
        <v>3</v>
      </c>
      <c r="B168" s="608" t="s">
        <v>651</v>
      </c>
      <c r="C168" s="1196" t="s">
        <v>540</v>
      </c>
      <c r="D168" s="1197" t="s">
        <v>540</v>
      </c>
      <c r="E168" s="1197" t="s">
        <v>540</v>
      </c>
      <c r="F168" s="1197"/>
      <c r="G168" s="1197"/>
      <c r="H168" s="1197" t="s">
        <v>540</v>
      </c>
      <c r="I168" s="1197" t="s">
        <v>540</v>
      </c>
      <c r="J168" s="1197" t="s">
        <v>540</v>
      </c>
      <c r="K168" s="1197" t="s">
        <v>540</v>
      </c>
      <c r="L168" s="1197" t="s">
        <v>540</v>
      </c>
      <c r="M168" s="1197"/>
      <c r="N168" s="1197"/>
      <c r="O168" s="1199" t="s">
        <v>491</v>
      </c>
      <c r="P168" s="1199" t="s">
        <v>491</v>
      </c>
      <c r="Q168" s="1199" t="s">
        <v>491</v>
      </c>
      <c r="R168" s="1199" t="s">
        <v>491</v>
      </c>
      <c r="S168" s="1199" t="s">
        <v>491</v>
      </c>
      <c r="T168" s="1199"/>
      <c r="U168" s="1199"/>
      <c r="V168" s="1197" t="s">
        <v>540</v>
      </c>
      <c r="W168" s="1197" t="s">
        <v>540</v>
      </c>
      <c r="X168" s="1197" t="s">
        <v>540</v>
      </c>
      <c r="Y168" s="1197" t="s">
        <v>540</v>
      </c>
      <c r="Z168" s="1197" t="s">
        <v>540</v>
      </c>
      <c r="AA168" s="1197"/>
      <c r="AB168" s="1197"/>
      <c r="AC168" s="1197" t="s">
        <v>540</v>
      </c>
      <c r="AD168" s="1197" t="s">
        <v>540</v>
      </c>
      <c r="AE168" s="1197" t="s">
        <v>540</v>
      </c>
      <c r="AF168" s="1197" t="s">
        <v>540</v>
      </c>
      <c r="AG168" s="768" t="s">
        <v>540</v>
      </c>
      <c r="AH168" s="822">
        <v>74.5</v>
      </c>
      <c r="AI168" s="823">
        <v>37</v>
      </c>
    </row>
    <row r="169" spans="1:36" ht="21.95" customHeight="1">
      <c r="A169" s="596">
        <v>4</v>
      </c>
      <c r="B169" s="121" t="s">
        <v>654</v>
      </c>
      <c r="C169" s="1200" t="s">
        <v>539</v>
      </c>
      <c r="D169" s="1201" t="s">
        <v>539</v>
      </c>
      <c r="E169" s="1197" t="s">
        <v>539</v>
      </c>
      <c r="F169" s="1197" t="s">
        <v>515</v>
      </c>
      <c r="G169" s="1197" t="s">
        <v>515</v>
      </c>
      <c r="H169" s="1197" t="s">
        <v>481</v>
      </c>
      <c r="I169" s="1197" t="s">
        <v>481</v>
      </c>
      <c r="J169" s="1197" t="s">
        <v>481</v>
      </c>
      <c r="K169" s="1197" t="s">
        <v>481</v>
      </c>
      <c r="L169" s="1197" t="s">
        <v>652</v>
      </c>
      <c r="M169" s="1197"/>
      <c r="N169" s="1197"/>
      <c r="O169" s="1197" t="s">
        <v>540</v>
      </c>
      <c r="P169" s="1197" t="s">
        <v>540</v>
      </c>
      <c r="Q169" s="1197" t="s">
        <v>540</v>
      </c>
      <c r="R169" s="1197" t="s">
        <v>540</v>
      </c>
      <c r="S169" s="1197" t="s">
        <v>540</v>
      </c>
      <c r="T169" s="1197" t="s">
        <v>583</v>
      </c>
      <c r="U169" s="1197"/>
      <c r="V169" s="1197">
        <v>3</v>
      </c>
      <c r="W169" s="1197">
        <v>3</v>
      </c>
      <c r="X169" s="1197">
        <v>3</v>
      </c>
      <c r="Y169" s="1197">
        <v>3</v>
      </c>
      <c r="Z169" s="1198" t="s">
        <v>491</v>
      </c>
      <c r="AA169" s="1198"/>
      <c r="AB169" s="1197"/>
      <c r="AC169" s="1197" t="s">
        <v>553</v>
      </c>
      <c r="AD169" s="1197" t="s">
        <v>553</v>
      </c>
      <c r="AE169" s="1197" t="s">
        <v>553</v>
      </c>
      <c r="AF169" s="1197" t="s">
        <v>554</v>
      </c>
      <c r="AG169" s="768" t="s">
        <v>554</v>
      </c>
      <c r="AH169" s="822">
        <v>74</v>
      </c>
      <c r="AI169" s="823">
        <v>37</v>
      </c>
    </row>
    <row r="170" spans="1:36" ht="21.95" customHeight="1">
      <c r="A170" s="596">
        <v>5</v>
      </c>
      <c r="B170" s="155" t="s">
        <v>655</v>
      </c>
      <c r="C170" s="1196" t="s">
        <v>607</v>
      </c>
      <c r="D170" s="1201">
        <v>3</v>
      </c>
      <c r="E170" s="1197">
        <v>3</v>
      </c>
      <c r="F170" s="1197"/>
      <c r="G170" s="1197"/>
      <c r="H170" s="1197">
        <v>3</v>
      </c>
      <c r="I170" s="1197">
        <v>3</v>
      </c>
      <c r="J170" s="1197">
        <v>3</v>
      </c>
      <c r="K170" s="1197">
        <v>3</v>
      </c>
      <c r="L170" s="1197">
        <v>3</v>
      </c>
      <c r="M170" s="1197"/>
      <c r="N170" s="1197"/>
      <c r="O170" s="1197" t="s">
        <v>553</v>
      </c>
      <c r="P170" s="1201" t="s">
        <v>553</v>
      </c>
      <c r="Q170" s="1197" t="s">
        <v>491</v>
      </c>
      <c r="R170" s="1215" t="s">
        <v>491</v>
      </c>
      <c r="S170" s="1215" t="s">
        <v>491</v>
      </c>
      <c r="T170" s="1197"/>
      <c r="U170" s="1197"/>
      <c r="V170" s="1197" t="s">
        <v>553</v>
      </c>
      <c r="W170" s="1197" t="s">
        <v>553</v>
      </c>
      <c r="X170" s="1201" t="s">
        <v>553</v>
      </c>
      <c r="Y170" s="1201" t="s">
        <v>554</v>
      </c>
      <c r="Z170" s="1201" t="s">
        <v>554</v>
      </c>
      <c r="AA170" s="1197" t="s">
        <v>555</v>
      </c>
      <c r="AB170" s="1197" t="s">
        <v>555</v>
      </c>
      <c r="AC170" s="1197" t="s">
        <v>481</v>
      </c>
      <c r="AD170" s="1197" t="s">
        <v>481</v>
      </c>
      <c r="AE170" s="1197" t="s">
        <v>481</v>
      </c>
      <c r="AF170" s="1197" t="s">
        <v>481</v>
      </c>
      <c r="AG170" s="768">
        <v>10</v>
      </c>
      <c r="AH170" s="824">
        <v>74</v>
      </c>
      <c r="AI170" s="825">
        <v>37</v>
      </c>
    </row>
    <row r="171" spans="1:36" ht="21.95" customHeight="1">
      <c r="A171" s="596">
        <v>6</v>
      </c>
      <c r="B171" s="1192" t="s">
        <v>656</v>
      </c>
      <c r="C171" s="1196" t="s">
        <v>553</v>
      </c>
      <c r="D171" s="1202" t="s">
        <v>554</v>
      </c>
      <c r="E171" s="1197" t="s">
        <v>554</v>
      </c>
      <c r="F171" s="1197"/>
      <c r="G171" s="1197"/>
      <c r="H171" s="1197">
        <v>9</v>
      </c>
      <c r="I171" s="1197">
        <v>9</v>
      </c>
      <c r="J171" s="1197">
        <v>9</v>
      </c>
      <c r="K171" s="1197">
        <v>9</v>
      </c>
      <c r="L171" s="1212">
        <v>9</v>
      </c>
      <c r="M171" s="1212" t="s">
        <v>519</v>
      </c>
      <c r="N171" s="1212" t="s">
        <v>519</v>
      </c>
      <c r="O171" s="1212" t="s">
        <v>481</v>
      </c>
      <c r="P171" s="1197" t="s">
        <v>481</v>
      </c>
      <c r="Q171" s="1197" t="s">
        <v>481</v>
      </c>
      <c r="R171" s="1197" t="s">
        <v>481</v>
      </c>
      <c r="S171" s="1197" t="s">
        <v>481</v>
      </c>
      <c r="T171" s="1197"/>
      <c r="U171" s="1197"/>
      <c r="V171" s="1197">
        <v>5</v>
      </c>
      <c r="W171" s="1197">
        <v>5</v>
      </c>
      <c r="X171" s="1197">
        <v>5</v>
      </c>
      <c r="Y171" s="1197">
        <v>5</v>
      </c>
      <c r="Z171" s="1197">
        <v>5</v>
      </c>
      <c r="AA171" s="1197"/>
      <c r="AB171" s="1197"/>
      <c r="AC171" s="1197" t="s">
        <v>491</v>
      </c>
      <c r="AD171" s="1197" t="s">
        <v>491</v>
      </c>
      <c r="AE171" s="1197" t="s">
        <v>491</v>
      </c>
      <c r="AF171" s="1197" t="s">
        <v>491</v>
      </c>
      <c r="AG171" s="768" t="s">
        <v>491</v>
      </c>
      <c r="AH171" s="826">
        <v>30.25</v>
      </c>
      <c r="AI171" s="827">
        <v>37</v>
      </c>
    </row>
    <row r="172" spans="1:36" ht="21.95" customHeight="1" thickBot="1">
      <c r="A172" s="596">
        <v>7</v>
      </c>
      <c r="B172" t="s">
        <v>657</v>
      </c>
      <c r="C172" s="1196">
        <v>4</v>
      </c>
      <c r="D172" s="1197">
        <v>4</v>
      </c>
      <c r="E172" s="1197">
        <v>4</v>
      </c>
      <c r="F172" s="1197"/>
      <c r="G172" s="1197"/>
      <c r="H172" s="1197" t="s">
        <v>553</v>
      </c>
      <c r="I172" s="1197" t="s">
        <v>553</v>
      </c>
      <c r="J172" s="1197" t="s">
        <v>553</v>
      </c>
      <c r="K172" s="1197">
        <v>7</v>
      </c>
      <c r="L172" s="1197">
        <v>7</v>
      </c>
      <c r="M172" s="1212" t="s">
        <v>513</v>
      </c>
      <c r="N172" s="1212" t="s">
        <v>513</v>
      </c>
      <c r="O172" s="1212" t="s">
        <v>481</v>
      </c>
      <c r="P172" s="1212" t="s">
        <v>755</v>
      </c>
      <c r="Q172" s="1197" t="s">
        <v>481</v>
      </c>
      <c r="R172" s="1197" t="s">
        <v>481</v>
      </c>
      <c r="S172" s="1197" t="s">
        <v>481</v>
      </c>
      <c r="T172" s="1197"/>
      <c r="U172" s="1197"/>
      <c r="V172" s="1197">
        <v>3</v>
      </c>
      <c r="W172" s="1197">
        <v>3</v>
      </c>
      <c r="X172" s="761">
        <v>3</v>
      </c>
      <c r="Y172" s="1197" t="s">
        <v>596</v>
      </c>
      <c r="Z172" s="1197" t="s">
        <v>490</v>
      </c>
      <c r="AA172" s="1197"/>
      <c r="AB172" s="1197" t="s">
        <v>490</v>
      </c>
      <c r="AC172" s="1197" t="s">
        <v>596</v>
      </c>
      <c r="AD172" s="1197" t="s">
        <v>596</v>
      </c>
      <c r="AE172" s="1197" t="s">
        <v>596</v>
      </c>
      <c r="AF172" s="1197" t="s">
        <v>596</v>
      </c>
      <c r="AG172" s="768" t="s">
        <v>596</v>
      </c>
      <c r="AH172" s="826">
        <v>74</v>
      </c>
      <c r="AI172" s="827">
        <v>37</v>
      </c>
    </row>
    <row r="173" spans="1:36" ht="21.95" customHeight="1" thickBot="1">
      <c r="A173" s="596">
        <v>8</v>
      </c>
      <c r="B173" s="155"/>
      <c r="C173" s="1203"/>
      <c r="D173" s="1204"/>
      <c r="E173" s="1204"/>
      <c r="F173" s="1204"/>
      <c r="G173" s="1204"/>
      <c r="H173" s="1204"/>
      <c r="I173" s="1204"/>
      <c r="J173" s="1204"/>
      <c r="K173" s="1204"/>
      <c r="L173" s="1204"/>
      <c r="M173" s="1204"/>
      <c r="N173" s="1204"/>
      <c r="O173" s="1204"/>
      <c r="P173" s="1204"/>
      <c r="Q173" s="1204"/>
      <c r="R173" s="1204"/>
      <c r="S173" s="1204"/>
      <c r="T173" s="1204"/>
      <c r="U173" s="1204"/>
      <c r="V173" s="1204"/>
      <c r="W173" s="1204"/>
      <c r="X173" s="1204"/>
      <c r="Y173" s="1204"/>
      <c r="Z173" s="1204"/>
      <c r="AA173" s="1204"/>
      <c r="AB173" s="1204"/>
      <c r="AC173" s="1204"/>
      <c r="AD173" s="1204"/>
      <c r="AE173" s="1204"/>
      <c r="AF173" s="1204"/>
      <c r="AG173" s="769"/>
      <c r="AH173" s="826"/>
      <c r="AI173" s="827"/>
    </row>
    <row r="174" spans="1:36" ht="21.95" customHeight="1">
      <c r="A174" s="596">
        <v>9</v>
      </c>
      <c r="B174" s="153"/>
      <c r="C174" s="898"/>
      <c r="D174" s="898"/>
      <c r="E174" s="898"/>
      <c r="F174" s="898"/>
      <c r="G174" s="898"/>
      <c r="H174" s="898"/>
      <c r="I174" s="898"/>
      <c r="J174" s="898"/>
      <c r="K174" s="898"/>
      <c r="L174" s="898"/>
      <c r="M174" s="898"/>
      <c r="N174" s="898"/>
      <c r="O174" s="898"/>
      <c r="P174" s="898"/>
      <c r="Q174" s="898"/>
      <c r="R174" s="898"/>
      <c r="S174" s="898"/>
      <c r="T174" s="898"/>
      <c r="U174" s="898"/>
      <c r="V174" s="898"/>
      <c r="W174" s="764"/>
      <c r="X174" s="898"/>
      <c r="Y174" s="898"/>
      <c r="Z174" s="898"/>
      <c r="AA174" s="898"/>
      <c r="AB174" s="898"/>
      <c r="AC174" s="898"/>
      <c r="AD174" s="898"/>
      <c r="AE174" s="898"/>
      <c r="AF174" s="898"/>
      <c r="AG174" s="783"/>
      <c r="AH174" s="826"/>
      <c r="AI174" s="827"/>
    </row>
    <row r="175" spans="1:36" ht="21.95" customHeight="1">
      <c r="A175" s="596">
        <v>10</v>
      </c>
      <c r="B175" s="153"/>
      <c r="C175" s="766"/>
      <c r="D175" s="766"/>
      <c r="E175" s="766"/>
      <c r="F175" s="766"/>
      <c r="G175" s="766"/>
      <c r="H175" s="766"/>
      <c r="I175" s="766"/>
      <c r="J175" s="766"/>
      <c r="K175" s="766"/>
      <c r="L175" s="766"/>
      <c r="M175" s="766"/>
      <c r="N175" s="766"/>
      <c r="O175" s="766"/>
      <c r="P175" s="766"/>
      <c r="Q175" s="766"/>
      <c r="R175" s="766"/>
      <c r="S175" s="766"/>
      <c r="T175" s="766"/>
      <c r="U175" s="766"/>
      <c r="V175" s="766"/>
      <c r="W175" s="768"/>
      <c r="X175" s="766"/>
      <c r="Y175" s="766"/>
      <c r="Z175" s="766"/>
      <c r="AA175" s="766"/>
      <c r="AB175" s="766"/>
      <c r="AC175" s="766"/>
      <c r="AD175" s="766"/>
      <c r="AE175" s="766"/>
      <c r="AF175" s="766"/>
      <c r="AG175" s="783"/>
      <c r="AH175" s="826"/>
      <c r="AI175" s="827"/>
    </row>
    <row r="176" spans="1:36" ht="21.95" customHeight="1" thickBot="1">
      <c r="A176" s="596">
        <v>11</v>
      </c>
      <c r="B176" s="895"/>
      <c r="C176" s="863"/>
      <c r="D176" s="863"/>
      <c r="E176" s="863"/>
      <c r="F176" s="863"/>
      <c r="G176" s="863"/>
      <c r="H176" s="863"/>
      <c r="I176" s="863"/>
      <c r="J176" s="863"/>
      <c r="K176" s="863"/>
      <c r="L176" s="863"/>
      <c r="M176" s="863"/>
      <c r="N176" s="863"/>
      <c r="O176" s="863"/>
      <c r="P176" s="863"/>
      <c r="Q176" s="863"/>
      <c r="R176" s="863"/>
      <c r="S176" s="863"/>
      <c r="T176" s="863"/>
      <c r="U176" s="863"/>
      <c r="V176" s="863"/>
      <c r="W176" s="867"/>
      <c r="X176" s="863"/>
      <c r="Y176" s="863"/>
      <c r="Z176" s="863"/>
      <c r="AA176" s="863"/>
      <c r="AB176" s="863"/>
      <c r="AC176" s="863"/>
      <c r="AD176" s="863"/>
      <c r="AE176" s="863"/>
      <c r="AF176" s="863"/>
      <c r="AG176" s="896"/>
      <c r="AH176" s="1243"/>
      <c r="AI176" s="1243"/>
    </row>
    <row r="177" spans="1:35" ht="21.95" customHeight="1" thickBot="1">
      <c r="A177" s="894">
        <v>12</v>
      </c>
      <c r="AH177" s="1242"/>
      <c r="AI177" s="1242"/>
    </row>
    <row r="178" spans="1:35" ht="21" customHeight="1">
      <c r="A178" s="312" t="s">
        <v>659</v>
      </c>
    </row>
    <row r="179" spans="1:35" ht="21" customHeight="1" thickBot="1">
      <c r="A179" s="861"/>
      <c r="B179" s="862" t="s">
        <v>476</v>
      </c>
      <c r="C179" s="863">
        <v>1</v>
      </c>
      <c r="D179" s="863">
        <v>2</v>
      </c>
      <c r="E179" s="863">
        <v>3</v>
      </c>
      <c r="F179" s="880">
        <v>4</v>
      </c>
      <c r="G179" s="880">
        <v>5</v>
      </c>
      <c r="H179" s="863">
        <v>6</v>
      </c>
      <c r="I179" s="863">
        <v>7</v>
      </c>
      <c r="J179" s="863">
        <v>8</v>
      </c>
      <c r="K179" s="863">
        <v>9</v>
      </c>
      <c r="L179" s="863">
        <v>10</v>
      </c>
      <c r="M179" s="880">
        <v>11</v>
      </c>
      <c r="N179" s="880">
        <v>12</v>
      </c>
      <c r="O179" s="863">
        <v>13</v>
      </c>
      <c r="P179" s="863">
        <v>14</v>
      </c>
      <c r="Q179" s="863">
        <v>15</v>
      </c>
      <c r="R179" s="863">
        <v>16</v>
      </c>
      <c r="S179" s="863">
        <v>17</v>
      </c>
      <c r="T179" s="880">
        <v>18</v>
      </c>
      <c r="U179" s="880">
        <v>19</v>
      </c>
      <c r="V179" s="863">
        <v>20</v>
      </c>
      <c r="W179" s="863">
        <v>21</v>
      </c>
      <c r="X179" s="863">
        <v>22</v>
      </c>
      <c r="Y179" s="863">
        <v>23</v>
      </c>
      <c r="Z179" s="863">
        <v>24</v>
      </c>
      <c r="AA179" s="880">
        <v>25</v>
      </c>
      <c r="AB179" s="880">
        <v>26</v>
      </c>
      <c r="AC179" s="863">
        <v>27</v>
      </c>
      <c r="AD179" s="863">
        <v>28</v>
      </c>
      <c r="AE179" s="863">
        <v>29</v>
      </c>
      <c r="AF179" s="863">
        <v>30</v>
      </c>
      <c r="AG179" s="863">
        <v>31</v>
      </c>
      <c r="AH179" s="600"/>
    </row>
    <row r="180" spans="1:35" ht="21" customHeight="1" thickBot="1">
      <c r="A180" s="897">
        <v>1</v>
      </c>
      <c r="B180" s="601" t="s">
        <v>660</v>
      </c>
      <c r="C180" s="1164" t="s">
        <v>485</v>
      </c>
      <c r="D180" s="1164" t="s">
        <v>485</v>
      </c>
      <c r="E180" s="1164" t="s">
        <v>485</v>
      </c>
      <c r="F180" s="11"/>
      <c r="G180" s="11"/>
      <c r="H180" s="1164" t="s">
        <v>485</v>
      </c>
      <c r="I180" s="1164" t="s">
        <v>485</v>
      </c>
      <c r="J180" s="1164" t="s">
        <v>485</v>
      </c>
      <c r="K180" s="1164" t="s">
        <v>485</v>
      </c>
      <c r="L180" s="1164" t="s">
        <v>485</v>
      </c>
      <c r="M180" s="11"/>
      <c r="N180" s="11"/>
      <c r="O180" s="1033" t="s">
        <v>485</v>
      </c>
      <c r="P180" s="1033" t="s">
        <v>485</v>
      </c>
      <c r="Q180" s="1033" t="s">
        <v>485</v>
      </c>
      <c r="R180" s="1033" t="s">
        <v>485</v>
      </c>
      <c r="S180" s="1033" t="s">
        <v>485</v>
      </c>
      <c r="T180" s="11"/>
      <c r="U180" s="11"/>
      <c r="V180" s="898">
        <v>8</v>
      </c>
      <c r="W180" s="1218">
        <v>11</v>
      </c>
      <c r="X180" s="898">
        <v>8</v>
      </c>
      <c r="Y180" s="898">
        <v>8</v>
      </c>
      <c r="Z180" s="898">
        <v>8</v>
      </c>
      <c r="AA180" s="898"/>
      <c r="AB180" s="898"/>
      <c r="AC180" s="898">
        <v>11</v>
      </c>
      <c r="AD180" s="898">
        <v>11</v>
      </c>
      <c r="AE180" s="898">
        <v>11</v>
      </c>
      <c r="AF180" s="898">
        <v>11</v>
      </c>
      <c r="AG180" s="898">
        <v>11</v>
      </c>
      <c r="AH180" s="600"/>
    </row>
    <row r="181" spans="1:35" ht="21" customHeight="1">
      <c r="A181" s="552">
        <v>2</v>
      </c>
      <c r="B181" s="1153" t="s">
        <v>661</v>
      </c>
      <c r="C181" s="766">
        <v>11</v>
      </c>
      <c r="D181" s="768">
        <v>11</v>
      </c>
      <c r="E181" s="766">
        <v>11</v>
      </c>
      <c r="F181" s="766" t="s">
        <v>517</v>
      </c>
      <c r="G181" s="766" t="s">
        <v>517</v>
      </c>
      <c r="H181" s="763" t="s">
        <v>481</v>
      </c>
      <c r="I181" s="768" t="s">
        <v>481</v>
      </c>
      <c r="J181" s="768" t="s">
        <v>481</v>
      </c>
      <c r="K181" s="768" t="s">
        <v>554</v>
      </c>
      <c r="L181" s="768" t="s">
        <v>554</v>
      </c>
      <c r="M181" s="766" t="s">
        <v>519</v>
      </c>
      <c r="N181" s="766"/>
      <c r="O181" s="172">
        <v>4</v>
      </c>
      <c r="P181" s="172">
        <v>4</v>
      </c>
      <c r="Q181" s="1218">
        <v>4</v>
      </c>
      <c r="R181" s="172">
        <v>4</v>
      </c>
      <c r="S181" s="172">
        <v>4</v>
      </c>
      <c r="T181" s="766"/>
      <c r="U181" s="766"/>
      <c r="V181" s="1218">
        <v>7</v>
      </c>
      <c r="W181" s="766">
        <v>7</v>
      </c>
      <c r="X181" s="1218">
        <v>7</v>
      </c>
      <c r="Y181" s="1218">
        <v>7</v>
      </c>
      <c r="Z181" s="766">
        <v>7</v>
      </c>
      <c r="AA181" s="766" t="s">
        <v>513</v>
      </c>
      <c r="AB181" s="766"/>
      <c r="AC181" s="766">
        <v>9</v>
      </c>
      <c r="AD181" s="766" t="s">
        <v>481</v>
      </c>
      <c r="AE181" s="766" t="s">
        <v>481</v>
      </c>
      <c r="AF181" s="766" t="s">
        <v>481</v>
      </c>
      <c r="AG181" s="172" t="s">
        <v>481</v>
      </c>
      <c r="AH181" s="600"/>
    </row>
    <row r="182" spans="1:35" ht="21" customHeight="1">
      <c r="A182" s="552">
        <v>3</v>
      </c>
      <c r="B182" s="542" t="s">
        <v>774</v>
      </c>
      <c r="C182" s="1147">
        <v>8</v>
      </c>
      <c r="D182" s="1147">
        <v>8</v>
      </c>
      <c r="E182" s="1147">
        <v>8</v>
      </c>
      <c r="F182" s="1147" t="s">
        <v>513</v>
      </c>
      <c r="G182" s="1147" t="s">
        <v>513</v>
      </c>
      <c r="H182" s="1147" t="s">
        <v>481</v>
      </c>
      <c r="I182" s="1147" t="s">
        <v>481</v>
      </c>
      <c r="J182" s="1147" t="s">
        <v>481</v>
      </c>
      <c r="K182" s="1147" t="s">
        <v>481</v>
      </c>
      <c r="L182" s="1147" t="s">
        <v>485</v>
      </c>
      <c r="M182" s="766"/>
      <c r="N182" s="766"/>
      <c r="O182" s="1147">
        <v>3</v>
      </c>
      <c r="P182" s="1147">
        <v>3</v>
      </c>
      <c r="Q182" s="1147">
        <v>3</v>
      </c>
      <c r="R182" s="1147">
        <v>3</v>
      </c>
      <c r="S182" s="1147">
        <v>3</v>
      </c>
      <c r="T182" s="766"/>
      <c r="U182" s="766"/>
      <c r="V182" s="1147">
        <v>9</v>
      </c>
      <c r="W182" s="1147">
        <v>9</v>
      </c>
      <c r="X182" s="1147">
        <v>9</v>
      </c>
      <c r="Y182" s="1159">
        <v>9</v>
      </c>
      <c r="Z182" s="1159">
        <v>9</v>
      </c>
      <c r="AA182" s="1159" t="s">
        <v>519</v>
      </c>
      <c r="AB182" s="1159" t="s">
        <v>519</v>
      </c>
      <c r="AC182" s="766" t="s">
        <v>481</v>
      </c>
      <c r="AD182" s="766" t="s">
        <v>481</v>
      </c>
      <c r="AE182" s="766" t="s">
        <v>481</v>
      </c>
      <c r="AF182" s="766" t="s">
        <v>481</v>
      </c>
      <c r="AG182" s="172" t="s">
        <v>481</v>
      </c>
      <c r="AH182" s="600"/>
    </row>
    <row r="183" spans="1:35" ht="21" customHeight="1">
      <c r="A183" s="552">
        <v>4</v>
      </c>
      <c r="B183" s="859" t="s">
        <v>768</v>
      </c>
      <c r="C183" s="766"/>
      <c r="D183" s="766"/>
      <c r="E183" s="766"/>
      <c r="F183" s="766"/>
      <c r="G183" s="766"/>
      <c r="H183" s="1009" t="s">
        <v>485</v>
      </c>
      <c r="I183" s="1009" t="s">
        <v>485</v>
      </c>
      <c r="J183" s="1009" t="s">
        <v>485</v>
      </c>
      <c r="K183" s="1009" t="s">
        <v>485</v>
      </c>
      <c r="L183" s="1009" t="s">
        <v>485</v>
      </c>
      <c r="M183" s="766"/>
      <c r="N183" s="766"/>
      <c r="O183" s="1009" t="s">
        <v>485</v>
      </c>
      <c r="P183" s="1009">
        <v>9</v>
      </c>
      <c r="Q183" s="1009">
        <v>9</v>
      </c>
      <c r="R183" s="1009">
        <v>9</v>
      </c>
      <c r="S183" s="1009">
        <v>9</v>
      </c>
      <c r="T183" s="766"/>
      <c r="U183" s="766"/>
      <c r="V183" s="1009">
        <v>8</v>
      </c>
      <c r="W183" s="1009">
        <v>8</v>
      </c>
      <c r="X183" s="1009">
        <v>8</v>
      </c>
      <c r="Y183" s="1009">
        <v>8</v>
      </c>
      <c r="Z183" s="1009">
        <v>8</v>
      </c>
      <c r="AA183" s="766"/>
      <c r="AB183" s="766"/>
      <c r="AC183" s="1159" t="s">
        <v>540</v>
      </c>
      <c r="AD183" s="1159" t="s">
        <v>540</v>
      </c>
      <c r="AE183" s="1159" t="s">
        <v>540</v>
      </c>
      <c r="AF183" s="1159" t="s">
        <v>540</v>
      </c>
      <c r="AG183" s="1159" t="s">
        <v>540</v>
      </c>
      <c r="AH183" s="600"/>
    </row>
    <row r="184" spans="1:35" ht="21" customHeight="1" thickBot="1">
      <c r="A184" s="861">
        <v>5</v>
      </c>
      <c r="B184" s="542" t="s">
        <v>775</v>
      </c>
      <c r="C184" s="863"/>
      <c r="D184" s="863"/>
      <c r="E184" s="863"/>
      <c r="F184" s="863"/>
      <c r="G184" s="863"/>
      <c r="H184" s="863"/>
      <c r="I184" s="863"/>
      <c r="J184" s="863"/>
      <c r="K184" s="863"/>
      <c r="L184" s="863"/>
      <c r="M184" s="863"/>
      <c r="N184" s="863"/>
      <c r="O184" s="863"/>
      <c r="P184" s="863"/>
      <c r="Q184" s="863"/>
      <c r="R184" s="863"/>
      <c r="S184" s="863"/>
      <c r="T184" s="863"/>
      <c r="U184" s="863"/>
      <c r="V184" s="1221" t="s">
        <v>485</v>
      </c>
      <c r="W184" s="1221" t="s">
        <v>485</v>
      </c>
      <c r="X184" s="1221" t="s">
        <v>485</v>
      </c>
      <c r="Y184" s="1221" t="s">
        <v>485</v>
      </c>
      <c r="Z184" s="1221" t="s">
        <v>485</v>
      </c>
      <c r="AA184" s="863"/>
      <c r="AB184" s="863"/>
      <c r="AC184" s="863"/>
      <c r="AD184" s="863"/>
      <c r="AE184" s="863"/>
      <c r="AF184" s="863"/>
      <c r="AG184" s="899"/>
      <c r="AH184" s="600"/>
    </row>
    <row r="185" spans="1:35" ht="21" customHeight="1">
      <c r="A185" s="785"/>
      <c r="B185" s="354"/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  <c r="M185" s="139"/>
      <c r="N185" s="786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600"/>
    </row>
    <row r="186" spans="1:35" ht="21.95" customHeight="1" thickBot="1">
      <c r="A186" s="1" t="s">
        <v>663</v>
      </c>
      <c r="B186" s="274"/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</row>
    <row r="187" spans="1:35" ht="21.95" customHeight="1">
      <c r="A187" s="1"/>
      <c r="B187" s="796" t="s">
        <v>664</v>
      </c>
      <c r="C187" s="51" t="s">
        <v>2</v>
      </c>
      <c r="D187" s="51"/>
      <c r="E187" s="51"/>
      <c r="F187" s="51"/>
      <c r="G187" s="798" t="s">
        <v>3</v>
      </c>
      <c r="H187" s="51"/>
      <c r="I187" s="51"/>
      <c r="J187" s="51"/>
      <c r="K187" s="798" t="s">
        <v>4</v>
      </c>
      <c r="L187" s="51"/>
      <c r="M187" s="51"/>
      <c r="N187" s="51"/>
      <c r="O187" s="798" t="s">
        <v>5</v>
      </c>
      <c r="P187" s="51"/>
      <c r="Q187" s="51"/>
      <c r="R187" s="51"/>
      <c r="S187" s="798" t="s">
        <v>6</v>
      </c>
      <c r="T187" s="51"/>
      <c r="U187" s="51"/>
      <c r="V187" s="51"/>
      <c r="W187" s="51"/>
      <c r="X187" s="802" t="s">
        <v>7</v>
      </c>
      <c r="Y187" s="51"/>
      <c r="Z187" s="548"/>
      <c r="AA187" s="7"/>
      <c r="AB187" s="522" t="s">
        <v>8</v>
      </c>
      <c r="AC187" s="51"/>
      <c r="AD187" s="51"/>
      <c r="AE187" s="425" t="s">
        <v>10</v>
      </c>
      <c r="AF187" s="51"/>
      <c r="AG187" s="51"/>
      <c r="AH187" s="51"/>
      <c r="AI187" s="523"/>
    </row>
    <row r="188" spans="1:35" ht="21.95" customHeight="1">
      <c r="A188" s="1"/>
      <c r="B188" s="796">
        <v>3701</v>
      </c>
      <c r="C188" s="55" t="s">
        <v>665</v>
      </c>
      <c r="D188" s="55"/>
      <c r="E188" s="55"/>
      <c r="F188" s="55"/>
      <c r="G188" s="799" t="s">
        <v>124</v>
      </c>
      <c r="H188" s="55"/>
      <c r="I188" s="55"/>
      <c r="J188" s="55"/>
      <c r="K188" s="799" t="s">
        <v>124</v>
      </c>
      <c r="L188" s="55"/>
      <c r="M188" s="55"/>
      <c r="N188" s="55"/>
      <c r="O188" s="799" t="s">
        <v>124</v>
      </c>
      <c r="P188" s="55"/>
      <c r="Q188" s="55"/>
      <c r="R188" s="55"/>
      <c r="S188" s="799" t="s">
        <v>125</v>
      </c>
      <c r="T188" s="55"/>
      <c r="U188" s="55"/>
      <c r="V188" s="55"/>
      <c r="W188" s="55"/>
      <c r="X188" s="803"/>
      <c r="Y188" s="55"/>
      <c r="Z188" s="602"/>
      <c r="AA188" s="14"/>
      <c r="AB188" s="603"/>
      <c r="AC188" s="55"/>
      <c r="AD188" s="55"/>
      <c r="AE188" s="604"/>
      <c r="AF188" s="55"/>
      <c r="AG188" s="55"/>
      <c r="AH188" s="55"/>
      <c r="AI188" s="605"/>
    </row>
    <row r="189" spans="1:35" ht="21.95" customHeight="1">
      <c r="B189" s="796">
        <v>3700</v>
      </c>
      <c r="C189" s="157" t="s">
        <v>535</v>
      </c>
      <c r="D189" s="157"/>
      <c r="E189" s="157"/>
      <c r="F189" s="157"/>
      <c r="G189" s="712" t="s">
        <v>535</v>
      </c>
      <c r="H189" s="157"/>
      <c r="I189" s="157"/>
      <c r="J189" s="157"/>
      <c r="K189" s="712" t="s">
        <v>535</v>
      </c>
      <c r="L189" s="157"/>
      <c r="M189" s="157"/>
      <c r="N189" s="157"/>
      <c r="O189" s="712" t="s">
        <v>535</v>
      </c>
      <c r="P189" s="157"/>
      <c r="Q189" s="157"/>
      <c r="R189" s="157"/>
      <c r="S189" s="712" t="s">
        <v>116</v>
      </c>
      <c r="T189" s="157"/>
      <c r="U189" s="157"/>
      <c r="V189" s="157"/>
      <c r="W189" s="157"/>
      <c r="X189" s="712"/>
      <c r="Y189" s="157"/>
      <c r="Z189" s="564"/>
      <c r="AA189" s="563"/>
      <c r="AB189" s="157"/>
      <c r="AC189" s="157"/>
      <c r="AD189" s="565"/>
      <c r="AE189" s="607"/>
      <c r="AF189" s="157"/>
      <c r="AG189" s="157" t="s">
        <v>28</v>
      </c>
      <c r="AH189" s="565"/>
      <c r="AI189" s="490"/>
    </row>
    <row r="190" spans="1:35" ht="21.95" customHeight="1">
      <c r="A190" s="1"/>
      <c r="B190" s="796">
        <v>8514</v>
      </c>
      <c r="C190" s="157" t="s">
        <v>124</v>
      </c>
      <c r="D190" s="157"/>
      <c r="E190" s="157"/>
      <c r="F190" s="157"/>
      <c r="G190" s="712" t="s">
        <v>124</v>
      </c>
      <c r="H190" s="157"/>
      <c r="I190" s="157"/>
      <c r="J190" s="157"/>
      <c r="K190" s="712" t="s">
        <v>124</v>
      </c>
      <c r="L190" s="157"/>
      <c r="M190" s="157"/>
      <c r="N190" s="157"/>
      <c r="O190" s="712" t="s">
        <v>124</v>
      </c>
      <c r="P190" s="157"/>
      <c r="Q190" s="157"/>
      <c r="R190" s="157"/>
      <c r="S190" s="712" t="s">
        <v>666</v>
      </c>
      <c r="T190" s="157"/>
      <c r="U190" s="157"/>
      <c r="V190" s="157"/>
      <c r="W190" s="157"/>
      <c r="X190" s="712"/>
      <c r="Y190" s="157"/>
      <c r="Z190" s="564"/>
      <c r="AA190" s="121"/>
      <c r="AB190" s="157"/>
      <c r="AC190" s="157"/>
      <c r="AD190" s="565"/>
      <c r="AE190" s="121"/>
      <c r="AF190" s="157"/>
      <c r="AG190" s="157"/>
      <c r="AH190" s="565"/>
      <c r="AI190" s="490"/>
    </row>
    <row r="191" spans="1:35" ht="21.95" customHeight="1">
      <c r="A191" s="1"/>
      <c r="B191" s="796">
        <v>8500</v>
      </c>
      <c r="C191" s="55" t="s">
        <v>11</v>
      </c>
      <c r="D191" s="55"/>
      <c r="E191" s="55"/>
      <c r="F191" s="55"/>
      <c r="G191" s="799" t="s">
        <v>11</v>
      </c>
      <c r="H191" s="55"/>
      <c r="I191" s="55"/>
      <c r="J191" s="55"/>
      <c r="K191" s="799" t="s">
        <v>11</v>
      </c>
      <c r="L191" s="55"/>
      <c r="M191" s="55"/>
      <c r="N191" s="55"/>
      <c r="O191" s="799" t="s">
        <v>11</v>
      </c>
      <c r="P191" s="55"/>
      <c r="Q191" s="55"/>
      <c r="R191" s="55"/>
      <c r="S191" s="799" t="s">
        <v>12</v>
      </c>
      <c r="T191" s="55"/>
      <c r="U191" s="55"/>
      <c r="V191" s="55"/>
      <c r="W191" s="55"/>
      <c r="X191" s="799"/>
      <c r="Y191" s="55"/>
      <c r="Z191" s="609"/>
      <c r="AA191" s="608"/>
      <c r="AB191" s="55"/>
      <c r="AC191" s="55"/>
      <c r="AD191" s="609"/>
      <c r="AE191" s="608"/>
      <c r="AF191" s="55"/>
      <c r="AG191" s="55"/>
      <c r="AH191" s="594"/>
      <c r="AI191" s="605"/>
    </row>
    <row r="192" spans="1:35" ht="21.95" customHeight="1">
      <c r="A192" s="1"/>
      <c r="B192" s="796">
        <v>8514</v>
      </c>
      <c r="C192" s="610" t="s">
        <v>124</v>
      </c>
      <c r="D192" s="610"/>
      <c r="E192" s="610"/>
      <c r="F192" s="610"/>
      <c r="G192" s="800" t="s">
        <v>124</v>
      </c>
      <c r="H192" s="610"/>
      <c r="I192" s="610"/>
      <c r="J192" s="610"/>
      <c r="K192" s="800" t="s">
        <v>124</v>
      </c>
      <c r="L192" s="610"/>
      <c r="M192" s="610"/>
      <c r="N192" s="610"/>
      <c r="O192" s="800" t="s">
        <v>124</v>
      </c>
      <c r="P192" s="610"/>
      <c r="Q192" s="610"/>
      <c r="R192" s="610"/>
      <c r="S192" s="800" t="s">
        <v>666</v>
      </c>
      <c r="T192" s="610"/>
      <c r="U192" s="610"/>
      <c r="V192" s="610"/>
      <c r="W192" s="610"/>
      <c r="X192" s="803"/>
      <c r="Y192" s="55"/>
      <c r="Z192" s="602"/>
      <c r="AA192" s="14"/>
      <c r="AB192" s="603"/>
      <c r="AC192" s="55"/>
      <c r="AD192" s="55"/>
      <c r="AE192" s="604"/>
      <c r="AF192" s="55"/>
      <c r="AG192" s="55"/>
      <c r="AH192" s="55"/>
      <c r="AI192" s="605"/>
    </row>
    <row r="193" spans="1:35" ht="21.95" customHeight="1" thickBot="1">
      <c r="A193" s="1"/>
      <c r="B193" s="797" t="s">
        <v>667</v>
      </c>
      <c r="C193" s="53" t="s">
        <v>668</v>
      </c>
      <c r="D193" s="53"/>
      <c r="E193" s="53"/>
      <c r="F193" s="53"/>
      <c r="G193" s="801" t="s">
        <v>668</v>
      </c>
      <c r="H193" s="53"/>
      <c r="I193" s="53"/>
      <c r="J193" s="53"/>
      <c r="K193" s="53" t="s">
        <v>668</v>
      </c>
      <c r="L193" s="53"/>
      <c r="M193" s="53"/>
      <c r="N193" s="53"/>
      <c r="O193" s="801" t="s">
        <v>668</v>
      </c>
      <c r="P193" s="53"/>
      <c r="Q193" s="53"/>
      <c r="R193" s="53"/>
      <c r="S193" s="801" t="s">
        <v>669</v>
      </c>
      <c r="T193" s="53"/>
      <c r="U193" s="53"/>
      <c r="V193" s="53"/>
      <c r="W193" s="53"/>
      <c r="X193" s="801"/>
      <c r="Y193" s="53"/>
      <c r="Z193" s="571"/>
      <c r="AA193" s="570"/>
      <c r="AB193" s="53"/>
      <c r="AC193" s="53"/>
      <c r="AD193" s="573"/>
      <c r="AE193" s="612"/>
      <c r="AF193" s="53"/>
      <c r="AG193" s="53" t="s">
        <v>28</v>
      </c>
      <c r="AH193" s="573"/>
      <c r="AI193" s="536"/>
    </row>
    <row r="194" spans="1:35" ht="21.95" customHeight="1">
      <c r="A194" s="1"/>
      <c r="B194" s="72"/>
      <c r="C194" s="312"/>
      <c r="F194" s="354"/>
      <c r="G194" s="312"/>
      <c r="J194" s="354"/>
      <c r="K194" s="312"/>
      <c r="N194" s="354"/>
      <c r="O194" s="312"/>
      <c r="R194" s="354"/>
      <c r="S194" s="312"/>
      <c r="V194" s="354"/>
      <c r="W194" s="354"/>
      <c r="Z194" s="354"/>
      <c r="AA194" s="354"/>
      <c r="AD194" s="354"/>
      <c r="AE194" s="354"/>
      <c r="AH194" s="354"/>
    </row>
    <row r="195" spans="1:35" ht="21.95" customHeight="1" thickBot="1">
      <c r="A195" s="1" t="s">
        <v>670</v>
      </c>
      <c r="B195" s="72"/>
      <c r="C195" s="312"/>
      <c r="F195" s="354"/>
      <c r="G195" s="312"/>
      <c r="J195" s="354"/>
      <c r="K195" s="312"/>
      <c r="N195" s="354"/>
      <c r="O195" s="312"/>
      <c r="R195" s="354"/>
      <c r="S195" s="312"/>
      <c r="V195" s="354"/>
      <c r="W195" s="354"/>
      <c r="Z195" s="354"/>
      <c r="AA195" s="354"/>
      <c r="AD195" s="354"/>
      <c r="AE195" s="354"/>
      <c r="AH195" s="354"/>
    </row>
    <row r="196" spans="1:35" ht="21.95" customHeight="1" thickBot="1">
      <c r="A196" s="861"/>
      <c r="B196" s="862" t="s">
        <v>476</v>
      </c>
      <c r="C196" s="863">
        <v>1</v>
      </c>
      <c r="D196" s="863">
        <v>2</v>
      </c>
      <c r="E196" s="863">
        <v>3</v>
      </c>
      <c r="F196" s="880">
        <v>4</v>
      </c>
      <c r="G196" s="880">
        <v>5</v>
      </c>
      <c r="H196" s="863">
        <v>6</v>
      </c>
      <c r="I196" s="863">
        <v>7</v>
      </c>
      <c r="J196" s="863">
        <v>8</v>
      </c>
      <c r="K196" s="863">
        <v>9</v>
      </c>
      <c r="L196" s="863">
        <v>10</v>
      </c>
      <c r="M196" s="880">
        <v>11</v>
      </c>
      <c r="N196" s="880">
        <v>12</v>
      </c>
      <c r="O196" s="863">
        <v>13</v>
      </c>
      <c r="P196" s="863">
        <v>14</v>
      </c>
      <c r="Q196" s="863">
        <v>15</v>
      </c>
      <c r="R196" s="863">
        <v>16</v>
      </c>
      <c r="S196" s="863">
        <v>17</v>
      </c>
      <c r="T196" s="880">
        <v>18</v>
      </c>
      <c r="U196" s="880">
        <v>19</v>
      </c>
      <c r="V196" s="863">
        <v>20</v>
      </c>
      <c r="W196" s="863">
        <v>21</v>
      </c>
      <c r="X196" s="863">
        <v>22</v>
      </c>
      <c r="Y196" s="863">
        <v>23</v>
      </c>
      <c r="Z196" s="863">
        <v>24</v>
      </c>
      <c r="AA196" s="880">
        <v>25</v>
      </c>
      <c r="AB196" s="880">
        <v>26</v>
      </c>
      <c r="AC196" s="863">
        <v>27</v>
      </c>
      <c r="AD196" s="863">
        <v>28</v>
      </c>
      <c r="AE196" s="863">
        <v>29</v>
      </c>
      <c r="AF196" s="863">
        <v>30</v>
      </c>
      <c r="AG196" s="943">
        <v>31</v>
      </c>
      <c r="AH196" s="864" t="s">
        <v>477</v>
      </c>
      <c r="AI196" s="865" t="s">
        <v>478</v>
      </c>
    </row>
    <row r="197" spans="1:35" ht="21.95" customHeight="1">
      <c r="A197" s="897"/>
      <c r="B197" s="900" t="s">
        <v>671</v>
      </c>
      <c r="C197" s="768" t="s">
        <v>491</v>
      </c>
      <c r="D197" s="768" t="s">
        <v>491</v>
      </c>
      <c r="E197" s="768" t="s">
        <v>491</v>
      </c>
      <c r="F197" s="768"/>
      <c r="G197" s="768"/>
      <c r="H197" s="768" t="s">
        <v>491</v>
      </c>
      <c r="I197" s="768" t="s">
        <v>491</v>
      </c>
      <c r="J197" s="768" t="s">
        <v>491</v>
      </c>
      <c r="K197" s="768" t="s">
        <v>491</v>
      </c>
      <c r="L197" s="768" t="s">
        <v>491</v>
      </c>
      <c r="M197" s="768"/>
      <c r="N197" s="768"/>
      <c r="O197" s="768" t="s">
        <v>491</v>
      </c>
      <c r="P197" s="768" t="s">
        <v>491</v>
      </c>
      <c r="Q197" s="768" t="s">
        <v>491</v>
      </c>
      <c r="R197" s="768" t="s">
        <v>491</v>
      </c>
      <c r="S197" s="768" t="s">
        <v>491</v>
      </c>
      <c r="T197" s="768"/>
      <c r="U197" s="768"/>
      <c r="V197" s="768" t="s">
        <v>491</v>
      </c>
      <c r="W197" s="768" t="s">
        <v>491</v>
      </c>
      <c r="X197" s="768" t="s">
        <v>491</v>
      </c>
      <c r="Y197" s="768" t="s">
        <v>491</v>
      </c>
      <c r="Z197" s="768" t="s">
        <v>491</v>
      </c>
      <c r="AA197" s="768"/>
      <c r="AB197" s="768"/>
      <c r="AC197" s="768" t="s">
        <v>491</v>
      </c>
      <c r="AD197" s="768" t="s">
        <v>491</v>
      </c>
      <c r="AE197" s="768" t="s">
        <v>491</v>
      </c>
      <c r="AF197" s="768" t="s">
        <v>491</v>
      </c>
      <c r="AG197" s="768" t="s">
        <v>491</v>
      </c>
      <c r="AH197" s="901">
        <v>74</v>
      </c>
      <c r="AI197" s="902">
        <v>37</v>
      </c>
    </row>
    <row r="198" spans="1:35" ht="21.95" customHeight="1">
      <c r="A198" s="614">
        <v>8500</v>
      </c>
      <c r="B198" s="790" t="s">
        <v>156</v>
      </c>
      <c r="C198" s="977" t="s">
        <v>491</v>
      </c>
      <c r="D198" s="977" t="s">
        <v>491</v>
      </c>
      <c r="E198" s="977" t="s">
        <v>491</v>
      </c>
      <c r="F198" s="768"/>
      <c r="G198" s="768"/>
      <c r="H198" s="768" t="s">
        <v>491</v>
      </c>
      <c r="I198" s="768" t="s">
        <v>491</v>
      </c>
      <c r="J198" s="768" t="s">
        <v>491</v>
      </c>
      <c r="K198" s="768" t="s">
        <v>491</v>
      </c>
      <c r="L198" s="768" t="s">
        <v>491</v>
      </c>
      <c r="M198" s="768"/>
      <c r="N198" s="768"/>
      <c r="O198" s="768" t="s">
        <v>491</v>
      </c>
      <c r="P198" s="768" t="s">
        <v>491</v>
      </c>
      <c r="Q198" s="768" t="s">
        <v>491</v>
      </c>
      <c r="R198" s="768" t="s">
        <v>491</v>
      </c>
      <c r="S198" s="768" t="s">
        <v>491</v>
      </c>
      <c r="T198" s="768"/>
      <c r="U198" s="768"/>
      <c r="V198" s="768" t="s">
        <v>491</v>
      </c>
      <c r="W198" s="768" t="s">
        <v>491</v>
      </c>
      <c r="X198" s="768" t="s">
        <v>491</v>
      </c>
      <c r="Y198" s="768" t="s">
        <v>491</v>
      </c>
      <c r="Z198" s="768" t="s">
        <v>491</v>
      </c>
      <c r="AA198" s="768"/>
      <c r="AB198" s="768"/>
      <c r="AC198" s="768" t="s">
        <v>491</v>
      </c>
      <c r="AD198" s="768" t="s">
        <v>491</v>
      </c>
      <c r="AE198" s="768" t="s">
        <v>491</v>
      </c>
      <c r="AF198" s="768" t="s">
        <v>491</v>
      </c>
      <c r="AG198" s="987" t="s">
        <v>491</v>
      </c>
      <c r="AH198" s="597">
        <v>37</v>
      </c>
      <c r="AI198" s="598">
        <v>37</v>
      </c>
    </row>
    <row r="199" spans="1:35" ht="21" customHeight="1">
      <c r="A199" s="442"/>
      <c r="B199" s="789" t="s">
        <v>672</v>
      </c>
      <c r="C199" s="768" t="s">
        <v>491</v>
      </c>
      <c r="D199" s="768" t="s">
        <v>491</v>
      </c>
      <c r="E199" s="768" t="s">
        <v>491</v>
      </c>
      <c r="F199" s="768"/>
      <c r="G199" s="768"/>
      <c r="H199" s="768" t="s">
        <v>491</v>
      </c>
      <c r="I199" s="768" t="s">
        <v>491</v>
      </c>
      <c r="J199" s="768" t="s">
        <v>491</v>
      </c>
      <c r="K199" s="768" t="s">
        <v>491</v>
      </c>
      <c r="L199" s="768" t="s">
        <v>491</v>
      </c>
      <c r="M199" s="768"/>
      <c r="N199" s="768"/>
      <c r="O199" s="768" t="s">
        <v>491</v>
      </c>
      <c r="P199" s="768" t="s">
        <v>491</v>
      </c>
      <c r="Q199" s="768" t="s">
        <v>491</v>
      </c>
      <c r="R199" s="768" t="s">
        <v>491</v>
      </c>
      <c r="S199" s="768" t="s">
        <v>491</v>
      </c>
      <c r="T199" s="768"/>
      <c r="U199" s="768"/>
      <c r="V199" s="768" t="s">
        <v>491</v>
      </c>
      <c r="W199" s="768" t="s">
        <v>491</v>
      </c>
      <c r="X199" s="768" t="s">
        <v>491</v>
      </c>
      <c r="Y199" s="768" t="s">
        <v>491</v>
      </c>
      <c r="Z199" s="768" t="s">
        <v>491</v>
      </c>
      <c r="AA199" s="768"/>
      <c r="AB199" s="768"/>
      <c r="AC199" s="768" t="s">
        <v>491</v>
      </c>
      <c r="AD199" s="768" t="s">
        <v>491</v>
      </c>
      <c r="AE199" s="768" t="s">
        <v>491</v>
      </c>
      <c r="AF199" s="768" t="s">
        <v>491</v>
      </c>
      <c r="AG199" s="768" t="s">
        <v>491</v>
      </c>
      <c r="AH199" s="597">
        <v>67</v>
      </c>
      <c r="AI199" s="598">
        <v>37</v>
      </c>
    </row>
    <row r="200" spans="1:35" ht="21" customHeight="1">
      <c r="A200" s="442">
        <v>8521</v>
      </c>
      <c r="B200" s="789" t="s">
        <v>673</v>
      </c>
      <c r="C200" s="768" t="s">
        <v>491</v>
      </c>
      <c r="D200" s="768" t="s">
        <v>491</v>
      </c>
      <c r="E200" s="768" t="s">
        <v>491</v>
      </c>
      <c r="F200" s="768"/>
      <c r="G200" s="768"/>
      <c r="H200" s="768" t="s">
        <v>491</v>
      </c>
      <c r="I200" s="768" t="s">
        <v>491</v>
      </c>
      <c r="J200" s="768" t="s">
        <v>491</v>
      </c>
      <c r="K200" s="768" t="s">
        <v>491</v>
      </c>
      <c r="L200" s="977" t="s">
        <v>491</v>
      </c>
      <c r="M200" s="768"/>
      <c r="N200" s="768"/>
      <c r="O200" s="1007" t="s">
        <v>491</v>
      </c>
      <c r="P200" s="1007" t="s">
        <v>491</v>
      </c>
      <c r="Q200" s="768" t="s">
        <v>491</v>
      </c>
      <c r="R200" s="768" t="s">
        <v>491</v>
      </c>
      <c r="S200" s="768" t="s">
        <v>491</v>
      </c>
      <c r="T200" s="768"/>
      <c r="U200" s="768"/>
      <c r="V200" s="768" t="s">
        <v>491</v>
      </c>
      <c r="W200" s="768" t="s">
        <v>491</v>
      </c>
      <c r="X200" s="768" t="s">
        <v>491</v>
      </c>
      <c r="Y200" s="1038" t="s">
        <v>491</v>
      </c>
      <c r="Z200" s="1038" t="s">
        <v>491</v>
      </c>
      <c r="AA200" s="1038"/>
      <c r="AB200" s="1038"/>
      <c r="AC200" s="1038" t="s">
        <v>491</v>
      </c>
      <c r="AD200" s="1038" t="s">
        <v>491</v>
      </c>
      <c r="AE200" s="1038" t="s">
        <v>491</v>
      </c>
      <c r="AF200" s="1038" t="s">
        <v>491</v>
      </c>
      <c r="AG200" s="1038" t="s">
        <v>491</v>
      </c>
      <c r="AH200" s="597">
        <v>111</v>
      </c>
      <c r="AI200" s="598">
        <v>37</v>
      </c>
    </row>
    <row r="201" spans="1:35" ht="21" customHeight="1">
      <c r="A201" s="442"/>
      <c r="B201" s="791" t="s">
        <v>674</v>
      </c>
      <c r="C201" s="768" t="s">
        <v>491</v>
      </c>
      <c r="D201" s="768" t="s">
        <v>491</v>
      </c>
      <c r="E201" s="768" t="s">
        <v>491</v>
      </c>
      <c r="F201" s="768"/>
      <c r="G201" s="768"/>
      <c r="H201" s="768" t="s">
        <v>491</v>
      </c>
      <c r="I201" s="768" t="s">
        <v>491</v>
      </c>
      <c r="J201" s="768" t="s">
        <v>491</v>
      </c>
      <c r="K201" s="768" t="s">
        <v>491</v>
      </c>
      <c r="L201" s="768" t="s">
        <v>491</v>
      </c>
      <c r="M201" s="768"/>
      <c r="N201" s="768"/>
      <c r="O201" s="768" t="s">
        <v>491</v>
      </c>
      <c r="P201" s="768" t="s">
        <v>491</v>
      </c>
      <c r="Q201" s="977" t="s">
        <v>491</v>
      </c>
      <c r="R201" s="977" t="s">
        <v>491</v>
      </c>
      <c r="S201" s="977" t="s">
        <v>491</v>
      </c>
      <c r="T201" s="768"/>
      <c r="U201" s="768"/>
      <c r="V201" s="768" t="s">
        <v>491</v>
      </c>
      <c r="W201" s="768" t="s">
        <v>491</v>
      </c>
      <c r="X201" s="768" t="s">
        <v>491</v>
      </c>
      <c r="Y201" s="768" t="s">
        <v>491</v>
      </c>
      <c r="Z201" s="768" t="s">
        <v>491</v>
      </c>
      <c r="AA201" s="768"/>
      <c r="AB201" s="768"/>
      <c r="AC201" s="768" t="s">
        <v>491</v>
      </c>
      <c r="AD201" s="768" t="s">
        <v>491</v>
      </c>
      <c r="AE201" s="768" t="s">
        <v>491</v>
      </c>
      <c r="AF201" s="768" t="s">
        <v>491</v>
      </c>
      <c r="AG201" s="768" t="s">
        <v>491</v>
      </c>
      <c r="AH201" s="597">
        <v>74</v>
      </c>
      <c r="AI201" s="598">
        <v>37</v>
      </c>
    </row>
    <row r="202" spans="1:35" ht="21" customHeight="1">
      <c r="A202" s="442">
        <v>8514</v>
      </c>
      <c r="B202" s="542" t="s">
        <v>675</v>
      </c>
      <c r="C202" s="768" t="s">
        <v>491</v>
      </c>
      <c r="D202" s="768" t="s">
        <v>491</v>
      </c>
      <c r="E202" s="768" t="s">
        <v>491</v>
      </c>
      <c r="F202" s="768"/>
      <c r="G202" s="768"/>
      <c r="H202" s="768" t="s">
        <v>491</v>
      </c>
      <c r="I202" s="768" t="s">
        <v>491</v>
      </c>
      <c r="J202" s="768" t="s">
        <v>491</v>
      </c>
      <c r="K202" s="768" t="s">
        <v>491</v>
      </c>
      <c r="L202" s="768" t="s">
        <v>491</v>
      </c>
      <c r="M202" s="768"/>
      <c r="N202" s="768"/>
      <c r="O202" s="1144" t="s">
        <v>491</v>
      </c>
      <c r="P202" s="1144" t="s">
        <v>491</v>
      </c>
      <c r="Q202" s="1144" t="s">
        <v>491</v>
      </c>
      <c r="R202" s="1144" t="s">
        <v>491</v>
      </c>
      <c r="S202" s="1144" t="s">
        <v>491</v>
      </c>
      <c r="T202" s="1144"/>
      <c r="U202" s="1144"/>
      <c r="V202" s="768" t="s">
        <v>491</v>
      </c>
      <c r="W202" s="768" t="s">
        <v>491</v>
      </c>
      <c r="X202" s="768" t="s">
        <v>491</v>
      </c>
      <c r="Y202" s="768" t="s">
        <v>491</v>
      </c>
      <c r="Z202" s="768" t="s">
        <v>491</v>
      </c>
      <c r="AA202" s="768"/>
      <c r="AB202" s="768"/>
      <c r="AC202" s="768" t="s">
        <v>491</v>
      </c>
      <c r="AD202" s="768" t="s">
        <v>491</v>
      </c>
      <c r="AE202" s="768" t="s">
        <v>491</v>
      </c>
      <c r="AF202" s="768" t="s">
        <v>491</v>
      </c>
      <c r="AG202" s="768" t="s">
        <v>491</v>
      </c>
      <c r="AH202" s="597">
        <v>38</v>
      </c>
      <c r="AI202" s="598">
        <v>37</v>
      </c>
    </row>
    <row r="203" spans="1:35" ht="21.95" customHeight="1">
      <c r="A203" s="442">
        <v>3701</v>
      </c>
      <c r="B203" s="789" t="s">
        <v>433</v>
      </c>
      <c r="C203" s="768" t="s">
        <v>491</v>
      </c>
      <c r="D203" s="768" t="s">
        <v>491</v>
      </c>
      <c r="E203" s="768" t="s">
        <v>491</v>
      </c>
      <c r="F203" s="768"/>
      <c r="G203" s="768"/>
      <c r="H203" s="768" t="s">
        <v>491</v>
      </c>
      <c r="I203" s="768" t="s">
        <v>491</v>
      </c>
      <c r="J203" s="768" t="s">
        <v>491</v>
      </c>
      <c r="K203" s="768" t="s">
        <v>491</v>
      </c>
      <c r="L203" s="768" t="s">
        <v>491</v>
      </c>
      <c r="M203" s="768"/>
      <c r="N203" s="768"/>
      <c r="O203" s="768" t="s">
        <v>491</v>
      </c>
      <c r="P203" s="768" t="s">
        <v>491</v>
      </c>
      <c r="Q203" s="768" t="s">
        <v>491</v>
      </c>
      <c r="R203" s="768" t="s">
        <v>491</v>
      </c>
      <c r="S203" s="977" t="s">
        <v>491</v>
      </c>
      <c r="T203" s="768"/>
      <c r="U203" s="768"/>
      <c r="V203" s="768" t="s">
        <v>491</v>
      </c>
      <c r="W203" s="1038" t="s">
        <v>491</v>
      </c>
      <c r="X203" s="1038" t="s">
        <v>491</v>
      </c>
      <c r="Y203" s="1038" t="s">
        <v>491</v>
      </c>
      <c r="Z203" s="1038" t="s">
        <v>491</v>
      </c>
      <c r="AA203" s="768"/>
      <c r="AB203" s="768"/>
      <c r="AC203" s="768" t="s">
        <v>491</v>
      </c>
      <c r="AD203" s="768" t="s">
        <v>491</v>
      </c>
      <c r="AE203" s="768" t="s">
        <v>491</v>
      </c>
      <c r="AF203" s="768" t="s">
        <v>491</v>
      </c>
      <c r="AG203" s="768" t="s">
        <v>491</v>
      </c>
      <c r="AH203" s="597">
        <v>74</v>
      </c>
      <c r="AI203" s="598">
        <v>37</v>
      </c>
    </row>
    <row r="204" spans="1:35" ht="21.95" customHeight="1">
      <c r="A204" s="442">
        <v>3701</v>
      </c>
      <c r="B204" s="789"/>
      <c r="C204" s="764">
        <v>19</v>
      </c>
      <c r="D204" s="764">
        <v>19</v>
      </c>
      <c r="E204" s="764">
        <v>19</v>
      </c>
      <c r="F204" s="768"/>
      <c r="G204" s="768"/>
      <c r="H204" s="768" t="s">
        <v>491</v>
      </c>
      <c r="I204" s="768" t="s">
        <v>491</v>
      </c>
      <c r="J204" s="768" t="s">
        <v>491</v>
      </c>
      <c r="K204" s="768" t="s">
        <v>491</v>
      </c>
      <c r="L204" s="768" t="s">
        <v>491</v>
      </c>
      <c r="M204" s="768"/>
      <c r="N204" s="768"/>
      <c r="O204" s="768" t="s">
        <v>491</v>
      </c>
      <c r="P204" s="768" t="s">
        <v>491</v>
      </c>
      <c r="Q204" s="768" t="s">
        <v>491</v>
      </c>
      <c r="R204" s="768" t="s">
        <v>491</v>
      </c>
      <c r="S204" s="768" t="s">
        <v>491</v>
      </c>
      <c r="T204" s="768"/>
      <c r="U204" s="768"/>
      <c r="V204" s="768" t="s">
        <v>491</v>
      </c>
      <c r="W204" s="768" t="s">
        <v>491</v>
      </c>
      <c r="X204" s="768" t="s">
        <v>491</v>
      </c>
      <c r="Y204" s="768" t="s">
        <v>491</v>
      </c>
      <c r="Z204" s="768" t="s">
        <v>491</v>
      </c>
      <c r="AA204" s="768"/>
      <c r="AB204" s="768"/>
      <c r="AC204" s="768" t="s">
        <v>491</v>
      </c>
      <c r="AD204" s="768" t="s">
        <v>491</v>
      </c>
      <c r="AE204" s="768" t="s">
        <v>491</v>
      </c>
      <c r="AF204" s="768" t="s">
        <v>491</v>
      </c>
      <c r="AG204" s="768" t="s">
        <v>491</v>
      </c>
      <c r="AH204" s="597">
        <v>185</v>
      </c>
      <c r="AI204" s="598">
        <v>37</v>
      </c>
    </row>
    <row r="205" spans="1:35" ht="21.95" customHeight="1">
      <c r="A205" s="442">
        <v>3701</v>
      </c>
      <c r="B205" s="789" t="s">
        <v>438</v>
      </c>
      <c r="C205" s="764" t="s">
        <v>485</v>
      </c>
      <c r="D205" s="764" t="s">
        <v>485</v>
      </c>
      <c r="E205" s="764" t="s">
        <v>485</v>
      </c>
      <c r="F205" s="764"/>
      <c r="G205" s="764"/>
      <c r="H205" s="768" t="s">
        <v>491</v>
      </c>
      <c r="I205" s="768" t="s">
        <v>491</v>
      </c>
      <c r="J205" s="768" t="s">
        <v>491</v>
      </c>
      <c r="K205" s="768" t="s">
        <v>491</v>
      </c>
      <c r="L205" s="768" t="s">
        <v>491</v>
      </c>
      <c r="M205" s="768"/>
      <c r="N205" s="768"/>
      <c r="O205" s="768" t="s">
        <v>491</v>
      </c>
      <c r="P205" s="768" t="s">
        <v>491</v>
      </c>
      <c r="Q205" s="768" t="s">
        <v>491</v>
      </c>
      <c r="R205" s="768" t="s">
        <v>491</v>
      </c>
      <c r="S205" s="977" t="s">
        <v>491</v>
      </c>
      <c r="T205" s="768"/>
      <c r="U205" s="768"/>
      <c r="V205" s="764">
        <v>19</v>
      </c>
      <c r="W205" s="764">
        <v>19</v>
      </c>
      <c r="X205" s="764">
        <v>19</v>
      </c>
      <c r="Y205" s="764">
        <v>19</v>
      </c>
      <c r="Z205" s="764">
        <v>19</v>
      </c>
      <c r="AA205" s="768"/>
      <c r="AB205" s="768"/>
      <c r="AC205" s="768" t="s">
        <v>491</v>
      </c>
      <c r="AD205" s="768" t="s">
        <v>491</v>
      </c>
      <c r="AE205" s="768" t="s">
        <v>491</v>
      </c>
      <c r="AF205" s="768" t="s">
        <v>491</v>
      </c>
      <c r="AG205" s="768" t="s">
        <v>491</v>
      </c>
      <c r="AH205" s="597">
        <v>75.75</v>
      </c>
      <c r="AI205" s="598">
        <v>37</v>
      </c>
    </row>
    <row r="206" spans="1:35" ht="21.95" customHeight="1">
      <c r="A206" s="442">
        <v>3701</v>
      </c>
      <c r="B206" s="789" t="s">
        <v>439</v>
      </c>
      <c r="C206" s="768" t="s">
        <v>491</v>
      </c>
      <c r="D206" s="768" t="s">
        <v>491</v>
      </c>
      <c r="E206" s="768" t="s">
        <v>491</v>
      </c>
      <c r="F206" s="768"/>
      <c r="G206" s="768"/>
      <c r="H206" s="768" t="s">
        <v>491</v>
      </c>
      <c r="I206" s="768" t="s">
        <v>491</v>
      </c>
      <c r="J206" s="768" t="s">
        <v>491</v>
      </c>
      <c r="K206" s="768" t="s">
        <v>491</v>
      </c>
      <c r="L206" s="768" t="s">
        <v>491</v>
      </c>
      <c r="M206" s="768"/>
      <c r="N206" s="768"/>
      <c r="O206" s="977" t="s">
        <v>491</v>
      </c>
      <c r="P206" s="977" t="s">
        <v>491</v>
      </c>
      <c r="Q206" s="977" t="s">
        <v>491</v>
      </c>
      <c r="R206" s="768" t="s">
        <v>491</v>
      </c>
      <c r="S206" s="768" t="s">
        <v>491</v>
      </c>
      <c r="T206" s="768"/>
      <c r="U206" s="768"/>
      <c r="V206" s="972" t="s">
        <v>485</v>
      </c>
      <c r="W206" s="972" t="s">
        <v>485</v>
      </c>
      <c r="X206" s="972" t="s">
        <v>485</v>
      </c>
      <c r="Y206" s="972" t="s">
        <v>485</v>
      </c>
      <c r="Z206" s="972" t="s">
        <v>485</v>
      </c>
      <c r="AA206" s="768"/>
      <c r="AB206" s="768"/>
      <c r="AC206" s="970" t="s">
        <v>491</v>
      </c>
      <c r="AD206" s="970" t="s">
        <v>491</v>
      </c>
      <c r="AE206" s="768" t="s">
        <v>491</v>
      </c>
      <c r="AF206" s="768" t="s">
        <v>491</v>
      </c>
      <c r="AG206" s="768" t="s">
        <v>491</v>
      </c>
      <c r="AH206" s="597">
        <v>24</v>
      </c>
      <c r="AI206" s="598">
        <v>37</v>
      </c>
    </row>
    <row r="207" spans="1:35" ht="21.95" customHeight="1">
      <c r="A207" s="442">
        <v>3701</v>
      </c>
      <c r="B207" s="789" t="s">
        <v>677</v>
      </c>
      <c r="C207" s="768" t="s">
        <v>491</v>
      </c>
      <c r="D207" s="768" t="s">
        <v>491</v>
      </c>
      <c r="E207" s="768" t="s">
        <v>491</v>
      </c>
      <c r="F207" s="768"/>
      <c r="G207" s="768"/>
      <c r="H207" s="768" t="s">
        <v>491</v>
      </c>
      <c r="I207" s="768" t="s">
        <v>491</v>
      </c>
      <c r="J207" s="768" t="s">
        <v>491</v>
      </c>
      <c r="K207" s="768" t="s">
        <v>491</v>
      </c>
      <c r="L207" s="768" t="s">
        <v>491</v>
      </c>
      <c r="M207" s="768"/>
      <c r="N207" s="768"/>
      <c r="O207" s="977" t="s">
        <v>491</v>
      </c>
      <c r="P207" s="977" t="s">
        <v>491</v>
      </c>
      <c r="Q207" s="977" t="s">
        <v>491</v>
      </c>
      <c r="R207" s="977" t="s">
        <v>491</v>
      </c>
      <c r="S207" s="977" t="s">
        <v>491</v>
      </c>
      <c r="T207" s="768"/>
      <c r="U207" s="768"/>
      <c r="V207" s="977" t="s">
        <v>491</v>
      </c>
      <c r="W207" s="768" t="s">
        <v>491</v>
      </c>
      <c r="X207" s="768" t="s">
        <v>491</v>
      </c>
      <c r="Y207" s="768" t="s">
        <v>491</v>
      </c>
      <c r="Z207" s="768" t="s">
        <v>491</v>
      </c>
      <c r="AA207" s="768"/>
      <c r="AB207" s="768"/>
      <c r="AC207" s="764">
        <v>19</v>
      </c>
      <c r="AD207" s="764">
        <v>19</v>
      </c>
      <c r="AE207" s="764">
        <v>19</v>
      </c>
      <c r="AF207" s="764">
        <v>19</v>
      </c>
      <c r="AG207" s="764">
        <v>19</v>
      </c>
      <c r="AH207" s="597">
        <v>84.25</v>
      </c>
      <c r="AI207" s="598">
        <v>37</v>
      </c>
    </row>
    <row r="208" spans="1:35" ht="21.95" customHeight="1">
      <c r="A208" s="442">
        <v>3701</v>
      </c>
      <c r="B208" s="542" t="s">
        <v>678</v>
      </c>
      <c r="C208" s="768" t="s">
        <v>491</v>
      </c>
      <c r="D208" s="768" t="s">
        <v>491</v>
      </c>
      <c r="E208" s="768" t="s">
        <v>491</v>
      </c>
      <c r="F208" s="768"/>
      <c r="G208" s="768"/>
      <c r="H208" s="764">
        <v>19</v>
      </c>
      <c r="I208" s="764">
        <v>19</v>
      </c>
      <c r="J208" s="764">
        <v>19</v>
      </c>
      <c r="K208" s="764">
        <v>19</v>
      </c>
      <c r="L208" s="764">
        <v>19</v>
      </c>
      <c r="M208" s="768"/>
      <c r="N208" s="768"/>
      <c r="O208" s="970" t="s">
        <v>491</v>
      </c>
      <c r="P208" s="970" t="s">
        <v>491</v>
      </c>
      <c r="Q208" s="970" t="s">
        <v>491</v>
      </c>
      <c r="R208" s="970" t="s">
        <v>491</v>
      </c>
      <c r="S208" s="970" t="s">
        <v>491</v>
      </c>
      <c r="T208" s="970"/>
      <c r="U208" s="970"/>
      <c r="V208" s="768" t="s">
        <v>491</v>
      </c>
      <c r="W208" s="768" t="s">
        <v>491</v>
      </c>
      <c r="X208" s="768" t="s">
        <v>491</v>
      </c>
      <c r="Y208" s="768" t="s">
        <v>491</v>
      </c>
      <c r="Z208" s="768" t="s">
        <v>491</v>
      </c>
      <c r="AA208" s="768"/>
      <c r="AB208" s="768"/>
      <c r="AC208" s="768" t="s">
        <v>491</v>
      </c>
      <c r="AD208" s="768" t="s">
        <v>491</v>
      </c>
      <c r="AE208" s="768" t="s">
        <v>491</v>
      </c>
      <c r="AF208" s="768" t="s">
        <v>491</v>
      </c>
      <c r="AG208" s="768" t="s">
        <v>491</v>
      </c>
      <c r="AH208" s="597">
        <v>23</v>
      </c>
      <c r="AI208" s="598">
        <v>37</v>
      </c>
    </row>
    <row r="209" spans="1:35" ht="21.95" customHeight="1">
      <c r="A209" s="442">
        <v>3701</v>
      </c>
      <c r="B209" s="821" t="s">
        <v>679</v>
      </c>
      <c r="C209" s="768" t="s">
        <v>491</v>
      </c>
      <c r="D209" s="768" t="s">
        <v>491</v>
      </c>
      <c r="E209" s="768" t="s">
        <v>491</v>
      </c>
      <c r="F209" s="768"/>
      <c r="G209" s="768"/>
      <c r="H209" s="768" t="s">
        <v>491</v>
      </c>
      <c r="I209" s="768" t="s">
        <v>491</v>
      </c>
      <c r="J209" s="1131" t="s">
        <v>491</v>
      </c>
      <c r="K209" s="768" t="s">
        <v>491</v>
      </c>
      <c r="L209" s="768" t="s">
        <v>491</v>
      </c>
      <c r="M209" s="768"/>
      <c r="N209" s="768"/>
      <c r="O209" s="764">
        <v>19</v>
      </c>
      <c r="P209" s="764">
        <v>19</v>
      </c>
      <c r="Q209" s="764">
        <v>19</v>
      </c>
      <c r="R209" s="764">
        <v>19</v>
      </c>
      <c r="S209" s="964">
        <v>19</v>
      </c>
      <c r="T209" s="768"/>
      <c r="U209" s="768"/>
      <c r="V209" s="768" t="s">
        <v>491</v>
      </c>
      <c r="W209" s="768" t="s">
        <v>491</v>
      </c>
      <c r="X209" s="768" t="s">
        <v>491</v>
      </c>
      <c r="Y209" s="768" t="s">
        <v>491</v>
      </c>
      <c r="Z209" s="768" t="s">
        <v>491</v>
      </c>
      <c r="AA209" s="768"/>
      <c r="AB209" s="768"/>
      <c r="AC209" s="764" t="s">
        <v>485</v>
      </c>
      <c r="AD209" s="764" t="s">
        <v>485</v>
      </c>
      <c r="AE209" s="764" t="s">
        <v>485</v>
      </c>
      <c r="AF209" s="764" t="s">
        <v>485</v>
      </c>
      <c r="AG209" s="764" t="s">
        <v>485</v>
      </c>
      <c r="AH209" s="597">
        <v>78.25</v>
      </c>
      <c r="AI209" s="598">
        <v>37</v>
      </c>
    </row>
    <row r="210" spans="1:35" ht="21.95" customHeight="1">
      <c r="A210" s="820">
        <v>3701</v>
      </c>
      <c r="B210" s="792" t="s">
        <v>680</v>
      </c>
      <c r="C210" s="970" t="s">
        <v>491</v>
      </c>
      <c r="D210" s="970" t="s">
        <v>491</v>
      </c>
      <c r="E210" s="970" t="s">
        <v>491</v>
      </c>
      <c r="F210" s="768"/>
      <c r="G210" s="768"/>
      <c r="H210" s="768" t="s">
        <v>491</v>
      </c>
      <c r="I210" s="768" t="s">
        <v>491</v>
      </c>
      <c r="J210" s="768" t="s">
        <v>491</v>
      </c>
      <c r="K210" s="768" t="s">
        <v>491</v>
      </c>
      <c r="L210" s="768" t="s">
        <v>491</v>
      </c>
      <c r="M210" s="768"/>
      <c r="N210" s="768"/>
      <c r="O210" s="768" t="s">
        <v>491</v>
      </c>
      <c r="P210" s="768" t="s">
        <v>491</v>
      </c>
      <c r="Q210" s="768" t="s">
        <v>491</v>
      </c>
      <c r="R210" s="768" t="s">
        <v>491</v>
      </c>
      <c r="S210" s="768" t="s">
        <v>491</v>
      </c>
      <c r="T210" s="768"/>
      <c r="U210" s="768"/>
      <c r="V210" s="768" t="s">
        <v>491</v>
      </c>
      <c r="W210" s="768" t="s">
        <v>491</v>
      </c>
      <c r="X210" s="768" t="s">
        <v>491</v>
      </c>
      <c r="Y210" s="768" t="s">
        <v>491</v>
      </c>
      <c r="Z210" s="768" t="s">
        <v>491</v>
      </c>
      <c r="AA210" s="768"/>
      <c r="AB210" s="768"/>
      <c r="AC210" s="768" t="s">
        <v>491</v>
      </c>
      <c r="AD210" s="768" t="s">
        <v>491</v>
      </c>
      <c r="AE210" s="768" t="s">
        <v>491</v>
      </c>
      <c r="AF210" s="768" t="s">
        <v>491</v>
      </c>
      <c r="AG210" s="768" t="s">
        <v>491</v>
      </c>
      <c r="AH210" s="597">
        <v>74</v>
      </c>
      <c r="AI210" s="598">
        <v>37</v>
      </c>
    </row>
    <row r="211" spans="1:35" ht="21.95" customHeight="1" thickBot="1">
      <c r="A211" s="442">
        <v>3701</v>
      </c>
      <c r="B211" s="904" t="s">
        <v>681</v>
      </c>
      <c r="C211" s="768" t="s">
        <v>491</v>
      </c>
      <c r="D211" s="768" t="s">
        <v>491</v>
      </c>
      <c r="E211" s="768" t="s">
        <v>491</v>
      </c>
      <c r="F211" s="768"/>
      <c r="G211" s="768"/>
      <c r="H211" s="1038" t="s">
        <v>491</v>
      </c>
      <c r="I211" s="1038" t="s">
        <v>493</v>
      </c>
      <c r="J211" s="987" t="s">
        <v>491</v>
      </c>
      <c r="K211" s="987" t="s">
        <v>491</v>
      </c>
      <c r="L211" s="1038" t="s">
        <v>493</v>
      </c>
      <c r="M211" s="768"/>
      <c r="N211" s="768"/>
      <c r="O211" s="768" t="s">
        <v>491</v>
      </c>
      <c r="P211" s="768" t="s">
        <v>491</v>
      </c>
      <c r="Q211" s="768" t="s">
        <v>491</v>
      </c>
      <c r="R211" s="768" t="s">
        <v>491</v>
      </c>
      <c r="S211" s="768" t="s">
        <v>491</v>
      </c>
      <c r="T211" s="768"/>
      <c r="U211" s="768"/>
      <c r="V211" s="768" t="s">
        <v>491</v>
      </c>
      <c r="W211" s="768" t="s">
        <v>491</v>
      </c>
      <c r="X211" s="768" t="s">
        <v>491</v>
      </c>
      <c r="Y211" s="768" t="s">
        <v>491</v>
      </c>
      <c r="Z211" s="768" t="s">
        <v>491</v>
      </c>
      <c r="AA211" s="768"/>
      <c r="AB211" s="768"/>
      <c r="AC211" s="768" t="s">
        <v>491</v>
      </c>
      <c r="AD211" s="768" t="s">
        <v>491</v>
      </c>
      <c r="AE211" s="768" t="s">
        <v>491</v>
      </c>
      <c r="AF211" s="768" t="s">
        <v>491</v>
      </c>
      <c r="AG211" s="768" t="s">
        <v>491</v>
      </c>
      <c r="AH211" s="597">
        <v>185</v>
      </c>
      <c r="AI211" s="598">
        <v>37</v>
      </c>
    </row>
    <row r="212" spans="1:35" ht="21.95" customHeight="1">
      <c r="A212" s="442">
        <v>3701</v>
      </c>
      <c r="B212" s="789" t="s">
        <v>436</v>
      </c>
      <c r="C212" s="768" t="s">
        <v>491</v>
      </c>
      <c r="D212" s="768" t="s">
        <v>491</v>
      </c>
      <c r="E212" s="768" t="s">
        <v>491</v>
      </c>
      <c r="F212" s="768"/>
      <c r="G212" s="768"/>
      <c r="H212" s="768" t="s">
        <v>491</v>
      </c>
      <c r="I212" s="768" t="s">
        <v>491</v>
      </c>
      <c r="J212" s="768" t="s">
        <v>491</v>
      </c>
      <c r="K212" s="768" t="s">
        <v>491</v>
      </c>
      <c r="L212" s="768" t="s">
        <v>491</v>
      </c>
      <c r="M212" s="768"/>
      <c r="N212" s="768"/>
      <c r="O212" s="768" t="s">
        <v>491</v>
      </c>
      <c r="P212" s="768" t="s">
        <v>491</v>
      </c>
      <c r="Q212" s="768" t="s">
        <v>491</v>
      </c>
      <c r="R212" s="768" t="s">
        <v>491</v>
      </c>
      <c r="S212" s="768" t="s">
        <v>491</v>
      </c>
      <c r="T212" s="768"/>
      <c r="U212" s="768"/>
      <c r="V212" s="768" t="s">
        <v>491</v>
      </c>
      <c r="W212" s="768" t="s">
        <v>491</v>
      </c>
      <c r="X212" s="768" t="s">
        <v>491</v>
      </c>
      <c r="Y212" s="768" t="s">
        <v>491</v>
      </c>
      <c r="Z212" s="768" t="s">
        <v>491</v>
      </c>
      <c r="AA212" s="768"/>
      <c r="AB212" s="768"/>
      <c r="AC212" s="768" t="s">
        <v>491</v>
      </c>
      <c r="AD212" s="768" t="s">
        <v>491</v>
      </c>
      <c r="AE212" s="768" t="s">
        <v>491</v>
      </c>
      <c r="AF212" s="768" t="s">
        <v>491</v>
      </c>
      <c r="AG212" s="768" t="s">
        <v>491</v>
      </c>
      <c r="AH212" s="597">
        <v>185</v>
      </c>
      <c r="AI212" s="598">
        <v>37</v>
      </c>
    </row>
    <row r="213" spans="1:35" ht="21.95" customHeight="1" thickBot="1">
      <c r="A213" s="442">
        <v>3701</v>
      </c>
      <c r="B213" s="904"/>
      <c r="C213" s="768"/>
      <c r="D213" s="768"/>
      <c r="E213" s="768"/>
      <c r="F213" s="768"/>
      <c r="G213" s="768"/>
      <c r="H213" s="768"/>
      <c r="I213" s="768"/>
      <c r="J213" s="768"/>
      <c r="K213" s="768"/>
      <c r="L213" s="768"/>
      <c r="M213" s="768"/>
      <c r="N213" s="768"/>
      <c r="O213" s="768"/>
      <c r="P213" s="768"/>
      <c r="Q213" s="768"/>
      <c r="R213" s="768"/>
      <c r="S213" s="768"/>
      <c r="T213" s="768"/>
      <c r="U213" s="768"/>
      <c r="V213" s="768"/>
      <c r="W213" s="768"/>
      <c r="X213" s="768"/>
      <c r="Y213" s="768"/>
      <c r="Z213" s="768"/>
      <c r="AA213" s="768"/>
      <c r="AB213" s="768"/>
      <c r="AC213" s="768"/>
      <c r="AD213" s="768"/>
      <c r="AE213" s="768"/>
      <c r="AF213" s="768"/>
      <c r="AG213" s="768"/>
      <c r="AH213" s="597">
        <v>148</v>
      </c>
      <c r="AI213" s="598">
        <v>37</v>
      </c>
    </row>
    <row r="214" spans="1:35" ht="21.95" customHeight="1" thickBot="1">
      <c r="A214" s="903">
        <v>3701</v>
      </c>
      <c r="B214" s="904"/>
      <c r="C214" s="905"/>
      <c r="D214" s="905"/>
      <c r="E214" s="905"/>
      <c r="F214" s="905"/>
      <c r="G214" s="905"/>
      <c r="H214" s="905"/>
      <c r="I214" s="905"/>
      <c r="J214" s="905"/>
      <c r="K214" s="905"/>
      <c r="L214" s="905"/>
      <c r="M214" s="905"/>
      <c r="N214" s="905"/>
      <c r="O214" s="905"/>
      <c r="P214" s="905"/>
      <c r="Q214" s="905"/>
      <c r="R214" s="905"/>
      <c r="S214" s="905"/>
      <c r="T214" s="905"/>
      <c r="U214" s="905"/>
      <c r="V214" s="905"/>
      <c r="W214" s="905"/>
      <c r="X214" s="905"/>
      <c r="Y214" s="905"/>
      <c r="Z214" s="905"/>
      <c r="AA214" s="905"/>
      <c r="AB214" s="905"/>
      <c r="AC214" s="905"/>
      <c r="AD214" s="905"/>
      <c r="AE214" s="905"/>
      <c r="AF214" s="905"/>
      <c r="AG214" s="905"/>
      <c r="AH214" s="868"/>
      <c r="AI214" s="869"/>
    </row>
    <row r="215" spans="1:35" ht="21.95" customHeight="1">
      <c r="A215" s="574"/>
      <c r="B215" s="615"/>
      <c r="C215" s="555"/>
      <c r="D215" s="555"/>
      <c r="E215" s="555"/>
      <c r="F215" s="555"/>
      <c r="G215" s="555"/>
      <c r="H215" s="555"/>
      <c r="I215" s="555"/>
      <c r="J215" s="555"/>
      <c r="K215" s="517"/>
      <c r="L215" s="555"/>
      <c r="M215" s="555"/>
      <c r="N215" s="555"/>
      <c r="O215" s="555"/>
      <c r="P215" s="538"/>
      <c r="Q215" s="538"/>
      <c r="R215" s="538"/>
      <c r="S215" s="555"/>
      <c r="T215" s="555"/>
      <c r="U215" s="555"/>
      <c r="V215" s="555"/>
      <c r="W215" s="555"/>
      <c r="X215" s="555"/>
      <c r="Y215" s="555"/>
      <c r="Z215" s="555"/>
      <c r="AA215" s="555"/>
      <c r="AB215" s="555"/>
      <c r="AC215" s="555"/>
      <c r="AD215" s="555"/>
      <c r="AE215" s="555"/>
      <c r="AF215" s="555"/>
      <c r="AG215" s="555"/>
      <c r="AH215" s="556"/>
      <c r="AI215" s="556"/>
    </row>
    <row r="216" spans="1:35" ht="21" customHeight="1" thickBot="1">
      <c r="A216" s="1" t="s">
        <v>682</v>
      </c>
    </row>
    <row r="217" spans="1:35" ht="21" customHeight="1">
      <c r="B217" s="201" t="s">
        <v>664</v>
      </c>
      <c r="C217" s="7"/>
      <c r="D217" s="522" t="s">
        <v>2</v>
      </c>
      <c r="E217" s="51"/>
      <c r="F217" s="548"/>
      <c r="G217" s="7"/>
      <c r="H217" s="522" t="s">
        <v>3</v>
      </c>
      <c r="I217" s="51"/>
      <c r="J217" s="548"/>
      <c r="K217" s="7"/>
      <c r="L217" s="522" t="s">
        <v>4</v>
      </c>
      <c r="M217" s="51"/>
      <c r="N217" s="548"/>
      <c r="O217" s="7"/>
      <c r="P217" s="522" t="s">
        <v>5</v>
      </c>
      <c r="Q217" s="51"/>
      <c r="R217" s="548"/>
      <c r="S217" s="7"/>
      <c r="T217" s="522" t="s">
        <v>6</v>
      </c>
      <c r="U217" s="51"/>
      <c r="V217" s="548"/>
      <c r="W217" s="7"/>
      <c r="X217" s="522" t="s">
        <v>7</v>
      </c>
      <c r="Y217" s="51"/>
      <c r="Z217" s="548"/>
      <c r="AA217" s="7"/>
      <c r="AB217" s="522" t="s">
        <v>8</v>
      </c>
      <c r="AC217" s="51"/>
      <c r="AD217" s="51"/>
      <c r="AE217" s="425" t="s">
        <v>10</v>
      </c>
      <c r="AF217" s="51"/>
      <c r="AG217" s="51"/>
      <c r="AH217" s="51"/>
      <c r="AI217" s="523"/>
    </row>
    <row r="218" spans="1:35" ht="21" customHeight="1">
      <c r="B218" s="9">
        <v>8502</v>
      </c>
      <c r="C218" s="14" t="s">
        <v>11</v>
      </c>
      <c r="D218" s="603"/>
      <c r="E218" s="55"/>
      <c r="F218" s="602"/>
      <c r="G218" s="14" t="s">
        <v>11</v>
      </c>
      <c r="H218" s="603"/>
      <c r="I218" s="55"/>
      <c r="J218" s="602"/>
      <c r="K218" s="14" t="s">
        <v>11</v>
      </c>
      <c r="L218" s="603"/>
      <c r="M218" s="55"/>
      <c r="N218" s="602"/>
      <c r="O218" s="14" t="s">
        <v>11</v>
      </c>
      <c r="P218" s="603"/>
      <c r="Q218" s="55"/>
      <c r="R218" s="602"/>
      <c r="S218" s="14" t="s">
        <v>12</v>
      </c>
      <c r="T218" s="603"/>
      <c r="U218" s="55"/>
      <c r="V218" s="602"/>
      <c r="W218" s="14"/>
      <c r="X218" s="603"/>
      <c r="Y218" s="55"/>
      <c r="Z218" s="602"/>
      <c r="AA218" s="14"/>
      <c r="AB218" s="603"/>
      <c r="AC218" s="55"/>
      <c r="AD218" s="55"/>
      <c r="AE218" s="604"/>
      <c r="AF218" s="55"/>
      <c r="AG218" s="55"/>
      <c r="AH218" s="55"/>
      <c r="AI218" s="605"/>
    </row>
    <row r="219" spans="1:35" ht="21" customHeight="1">
      <c r="B219" s="606">
        <v>3701</v>
      </c>
      <c r="C219" s="121" t="s">
        <v>11</v>
      </c>
      <c r="D219" s="131"/>
      <c r="E219" s="55"/>
      <c r="F219" s="602"/>
      <c r="G219" s="121" t="s">
        <v>11</v>
      </c>
      <c r="H219" s="603"/>
      <c r="I219" s="55"/>
      <c r="J219" s="602"/>
      <c r="K219" s="121" t="s">
        <v>11</v>
      </c>
      <c r="L219" s="603"/>
      <c r="M219" s="55"/>
      <c r="N219" s="602"/>
      <c r="O219" s="121" t="s">
        <v>11</v>
      </c>
      <c r="P219" s="603"/>
      <c r="Q219" s="55"/>
      <c r="R219" s="602"/>
      <c r="S219" s="14" t="s">
        <v>12</v>
      </c>
      <c r="T219" s="603"/>
      <c r="U219" s="55"/>
      <c r="V219" s="602"/>
      <c r="W219" s="14"/>
      <c r="X219" s="603"/>
      <c r="Y219" s="55"/>
      <c r="Z219" s="602"/>
      <c r="AA219" s="14"/>
      <c r="AB219" s="603"/>
      <c r="AC219" s="55"/>
      <c r="AD219" s="55"/>
      <c r="AE219" s="604"/>
      <c r="AF219" s="55"/>
      <c r="AG219" s="55"/>
      <c r="AH219" s="55"/>
      <c r="AI219" s="605"/>
    </row>
    <row r="220" spans="1:35" ht="21" customHeight="1">
      <c r="B220" s="606">
        <v>3705</v>
      </c>
      <c r="C220" s="121" t="s">
        <v>147</v>
      </c>
      <c r="D220" s="131"/>
      <c r="E220" s="55"/>
      <c r="F220" s="602"/>
      <c r="G220" s="121" t="s">
        <v>147</v>
      </c>
      <c r="H220" s="603"/>
      <c r="I220" s="55"/>
      <c r="J220" s="602"/>
      <c r="K220" s="121" t="s">
        <v>147</v>
      </c>
      <c r="L220" s="603"/>
      <c r="M220" s="55"/>
      <c r="N220" s="602"/>
      <c r="O220" s="121" t="s">
        <v>147</v>
      </c>
      <c r="P220" s="603"/>
      <c r="Q220" s="55"/>
      <c r="R220" s="602"/>
      <c r="S220" s="121" t="s">
        <v>537</v>
      </c>
      <c r="T220" s="603"/>
      <c r="U220" s="55"/>
      <c r="V220" s="602"/>
      <c r="W220" s="14"/>
      <c r="X220" s="603"/>
      <c r="Y220" s="55"/>
      <c r="Z220" s="602"/>
      <c r="AA220" s="14"/>
      <c r="AB220" s="603"/>
      <c r="AC220" s="55"/>
      <c r="AD220" s="55"/>
      <c r="AE220" s="604"/>
      <c r="AF220" s="55"/>
      <c r="AG220" s="55"/>
      <c r="AH220" s="55"/>
      <c r="AI220" s="605"/>
    </row>
    <row r="221" spans="1:35" ht="21" customHeight="1">
      <c r="B221" s="606">
        <v>3702</v>
      </c>
      <c r="C221" s="563" t="s">
        <v>683</v>
      </c>
      <c r="D221" s="131"/>
      <c r="E221" s="55"/>
      <c r="F221" s="602"/>
      <c r="G221" s="563" t="s">
        <v>683</v>
      </c>
      <c r="H221" s="131"/>
      <c r="I221" s="55"/>
      <c r="J221" s="602"/>
      <c r="K221" s="563" t="s">
        <v>683</v>
      </c>
      <c r="L221" s="131"/>
      <c r="M221" s="55"/>
      <c r="N221" s="602"/>
      <c r="O221" s="563" t="s">
        <v>683</v>
      </c>
      <c r="P221" s="131"/>
      <c r="Q221" s="55"/>
      <c r="R221" s="602"/>
      <c r="S221" s="563" t="s">
        <v>270</v>
      </c>
      <c r="T221" s="131"/>
      <c r="U221" s="55"/>
      <c r="V221" s="602"/>
      <c r="W221" s="14"/>
      <c r="X221" s="603"/>
      <c r="Y221" s="55"/>
      <c r="Z221" s="602"/>
      <c r="AA221" s="14"/>
      <c r="AB221" s="603"/>
      <c r="AC221" s="55"/>
      <c r="AD221" s="55"/>
      <c r="AE221" s="604"/>
      <c r="AF221" s="55"/>
      <c r="AG221" s="55"/>
      <c r="AH221" s="55"/>
      <c r="AI221" s="605"/>
    </row>
    <row r="222" spans="1:35" ht="21" customHeight="1">
      <c r="B222" s="606"/>
      <c r="C222" s="563"/>
      <c r="D222" s="131"/>
      <c r="E222" s="55"/>
      <c r="F222" s="602"/>
      <c r="G222" s="603"/>
      <c r="H222" s="603"/>
      <c r="I222" s="55"/>
      <c r="J222" s="602"/>
      <c r="K222" s="603"/>
      <c r="L222" s="603"/>
      <c r="M222" s="55"/>
      <c r="N222" s="602"/>
      <c r="O222" s="603"/>
      <c r="P222" s="603"/>
      <c r="Q222" s="55"/>
      <c r="R222" s="602"/>
      <c r="S222" s="603"/>
      <c r="T222" s="603"/>
      <c r="U222" s="55"/>
      <c r="V222" s="602"/>
      <c r="W222" s="14"/>
      <c r="X222" s="603"/>
      <c r="Y222" s="55"/>
      <c r="Z222" s="602"/>
      <c r="AA222" s="14"/>
      <c r="AB222" s="603"/>
      <c r="AC222" s="55"/>
      <c r="AD222" s="55"/>
      <c r="AE222" s="604"/>
      <c r="AF222" s="55"/>
      <c r="AG222" s="55"/>
      <c r="AH222" s="55"/>
      <c r="AI222" s="605"/>
    </row>
    <row r="223" spans="1:35" ht="21" customHeight="1">
      <c r="B223" s="606" t="s">
        <v>324</v>
      </c>
      <c r="C223" s="563" t="s">
        <v>684</v>
      </c>
      <c r="D223" s="131"/>
      <c r="E223" s="55"/>
      <c r="F223" s="602"/>
      <c r="G223" s="563" t="s">
        <v>684</v>
      </c>
      <c r="H223" s="131"/>
      <c r="I223" s="55"/>
      <c r="J223" s="602"/>
      <c r="K223" s="563" t="s">
        <v>684</v>
      </c>
      <c r="L223" s="131"/>
      <c r="M223" s="55"/>
      <c r="N223" s="602"/>
      <c r="O223" s="563" t="s">
        <v>684</v>
      </c>
      <c r="P223" s="131"/>
      <c r="Q223" s="55"/>
      <c r="R223" s="602"/>
      <c r="S223" s="603" t="s">
        <v>685</v>
      </c>
      <c r="T223" s="603"/>
      <c r="U223" s="55"/>
      <c r="V223" s="602"/>
      <c r="W223" s="14"/>
      <c r="X223" s="603"/>
      <c r="Y223" s="55"/>
      <c r="Z223" s="602"/>
      <c r="AA223" s="14"/>
      <c r="AB223" s="603"/>
      <c r="AC223" s="55"/>
      <c r="AD223" s="55"/>
      <c r="AE223" s="604"/>
      <c r="AF223" s="55"/>
      <c r="AG223" s="55"/>
      <c r="AH223" s="55"/>
      <c r="AI223" s="605"/>
    </row>
    <row r="224" spans="1:35" ht="21" customHeight="1">
      <c r="B224" s="606" t="s">
        <v>325</v>
      </c>
      <c r="C224" s="563" t="s">
        <v>686</v>
      </c>
      <c r="D224" s="131"/>
      <c r="E224" s="55"/>
      <c r="F224" s="602"/>
      <c r="G224" s="563" t="s">
        <v>686</v>
      </c>
      <c r="H224" s="131"/>
      <c r="I224" s="55"/>
      <c r="J224" s="602"/>
      <c r="K224" s="563" t="s">
        <v>686</v>
      </c>
      <c r="L224" s="131"/>
      <c r="M224" s="55"/>
      <c r="N224" s="602"/>
      <c r="O224" s="563" t="s">
        <v>686</v>
      </c>
      <c r="P224" s="131"/>
      <c r="Q224" s="55"/>
      <c r="R224" s="602"/>
      <c r="S224" s="603" t="s">
        <v>687</v>
      </c>
      <c r="T224" s="603"/>
      <c r="U224" s="55"/>
      <c r="V224" s="602"/>
      <c r="W224" s="14"/>
      <c r="X224" s="603"/>
      <c r="Y224" s="55"/>
      <c r="Z224" s="602"/>
      <c r="AA224" s="14"/>
      <c r="AB224" s="603"/>
      <c r="AC224" s="55"/>
      <c r="AD224" s="55"/>
      <c r="AE224" s="604"/>
      <c r="AF224" s="55"/>
      <c r="AG224" s="55"/>
      <c r="AH224" s="55"/>
      <c r="AI224" s="605"/>
    </row>
    <row r="225" spans="1:35" ht="21" customHeight="1" thickBot="1">
      <c r="B225" s="611" t="s">
        <v>326</v>
      </c>
      <c r="C225" s="570" t="s">
        <v>688</v>
      </c>
      <c r="D225" s="48"/>
      <c r="E225" s="616"/>
      <c r="F225" s="240"/>
      <c r="G225" s="570" t="s">
        <v>688</v>
      </c>
      <c r="H225" s="48"/>
      <c r="I225" s="616"/>
      <c r="J225" s="240"/>
      <c r="K225" s="570" t="s">
        <v>688</v>
      </c>
      <c r="L225" s="48"/>
      <c r="M225" s="616"/>
      <c r="N225" s="240"/>
      <c r="O225" s="570" t="s">
        <v>688</v>
      </c>
      <c r="P225" s="48"/>
      <c r="Q225" s="616"/>
      <c r="R225" s="240"/>
      <c r="S225" s="149" t="s">
        <v>689</v>
      </c>
      <c r="T225" s="149"/>
      <c r="U225" s="616"/>
      <c r="V225" s="240"/>
      <c r="W225" s="617"/>
      <c r="X225" s="149"/>
      <c r="Y225" s="616"/>
      <c r="Z225" s="240"/>
      <c r="AA225" s="617"/>
      <c r="AB225" s="149"/>
      <c r="AC225" s="616"/>
      <c r="AD225" s="616"/>
      <c r="AE225" s="618"/>
      <c r="AF225" s="616"/>
      <c r="AG225" s="616"/>
      <c r="AH225" s="616"/>
      <c r="AI225" s="619"/>
    </row>
    <row r="226" spans="1:35" ht="21" customHeight="1">
      <c r="B226" s="274"/>
      <c r="C226" s="312"/>
      <c r="D226" s="72"/>
      <c r="G226" s="312"/>
      <c r="H226" s="72"/>
      <c r="K226" s="312"/>
      <c r="L226" s="72"/>
      <c r="O226" s="312"/>
      <c r="P226" s="72"/>
      <c r="S226" s="312"/>
      <c r="T226" s="312"/>
      <c r="X226" s="312"/>
      <c r="AB226" s="312"/>
      <c r="AE226" s="312"/>
    </row>
    <row r="227" spans="1:35" ht="21" customHeight="1" thickBot="1">
      <c r="A227" s="620" t="s">
        <v>690</v>
      </c>
    </row>
    <row r="228" spans="1:35" ht="21" customHeight="1" thickBot="1">
      <c r="A228" s="861"/>
      <c r="B228" s="862" t="s">
        <v>476</v>
      </c>
      <c r="C228" s="863">
        <v>1</v>
      </c>
      <c r="D228" s="863">
        <v>2</v>
      </c>
      <c r="E228" s="863">
        <v>3</v>
      </c>
      <c r="F228" s="880">
        <v>4</v>
      </c>
      <c r="G228" s="880">
        <v>5</v>
      </c>
      <c r="H228" s="863">
        <v>6</v>
      </c>
      <c r="I228" s="863">
        <v>7</v>
      </c>
      <c r="J228" s="863">
        <v>8</v>
      </c>
      <c r="K228" s="863">
        <v>9</v>
      </c>
      <c r="L228" s="863">
        <v>10</v>
      </c>
      <c r="M228" s="880">
        <v>11</v>
      </c>
      <c r="N228" s="880">
        <v>12</v>
      </c>
      <c r="O228" s="863">
        <v>13</v>
      </c>
      <c r="P228" s="863">
        <v>14</v>
      </c>
      <c r="Q228" s="863">
        <v>15</v>
      </c>
      <c r="R228" s="863">
        <v>16</v>
      </c>
      <c r="S228" s="863">
        <v>17</v>
      </c>
      <c r="T228" s="880">
        <v>18</v>
      </c>
      <c r="U228" s="880">
        <v>19</v>
      </c>
      <c r="V228" s="863">
        <v>20</v>
      </c>
      <c r="W228" s="863">
        <v>21</v>
      </c>
      <c r="X228" s="863">
        <v>22</v>
      </c>
      <c r="Y228" s="863">
        <v>23</v>
      </c>
      <c r="Z228" s="863">
        <v>24</v>
      </c>
      <c r="AA228" s="880">
        <v>25</v>
      </c>
      <c r="AB228" s="880">
        <v>26</v>
      </c>
      <c r="AC228" s="863">
        <v>27</v>
      </c>
      <c r="AD228" s="863">
        <v>28</v>
      </c>
      <c r="AE228" s="863">
        <v>29</v>
      </c>
      <c r="AF228" s="863">
        <v>30</v>
      </c>
      <c r="AG228" s="943">
        <v>31</v>
      </c>
      <c r="AH228" s="864" t="s">
        <v>477</v>
      </c>
      <c r="AI228" s="865" t="s">
        <v>478</v>
      </c>
    </row>
    <row r="229" spans="1:35" ht="21" customHeight="1">
      <c r="A229" s="438">
        <v>3702</v>
      </c>
      <c r="B229" s="54" t="s">
        <v>691</v>
      </c>
      <c r="C229" s="871">
        <v>1</v>
      </c>
      <c r="D229" s="871">
        <v>1</v>
      </c>
      <c r="E229" s="871">
        <v>1</v>
      </c>
      <c r="F229" s="871"/>
      <c r="G229" s="871"/>
      <c r="H229" s="871">
        <v>2</v>
      </c>
      <c r="I229" s="1014">
        <v>2</v>
      </c>
      <c r="J229" s="871">
        <v>2</v>
      </c>
      <c r="K229" s="871">
        <v>2</v>
      </c>
      <c r="L229" s="871">
        <v>2</v>
      </c>
      <c r="M229" s="871"/>
      <c r="N229" s="871"/>
      <c r="O229" s="1213">
        <v>1</v>
      </c>
      <c r="P229" s="1213">
        <v>1</v>
      </c>
      <c r="Q229" s="1127">
        <v>1</v>
      </c>
      <c r="R229" s="1127">
        <v>1</v>
      </c>
      <c r="S229" s="1127">
        <v>1</v>
      </c>
      <c r="T229" s="1127"/>
      <c r="U229" s="1127"/>
      <c r="V229" s="871">
        <v>2</v>
      </c>
      <c r="W229" s="871">
        <v>2</v>
      </c>
      <c r="X229" s="871">
        <v>2</v>
      </c>
      <c r="Y229" s="871">
        <v>2</v>
      </c>
      <c r="Z229" s="871">
        <v>2</v>
      </c>
      <c r="AA229" s="871"/>
      <c r="AB229" s="871"/>
      <c r="AC229" s="871">
        <v>1</v>
      </c>
      <c r="AD229" s="871">
        <v>1</v>
      </c>
      <c r="AE229" s="871">
        <v>1</v>
      </c>
      <c r="AF229" s="871">
        <v>1</v>
      </c>
      <c r="AG229" s="764">
        <v>1</v>
      </c>
      <c r="AH229" s="510">
        <v>30</v>
      </c>
      <c r="AI229" s="511">
        <v>32</v>
      </c>
    </row>
    <row r="230" spans="1:35" ht="21" customHeight="1">
      <c r="A230" s="442">
        <v>3701</v>
      </c>
      <c r="B230" s="153" t="s">
        <v>692</v>
      </c>
      <c r="C230" s="762" t="s">
        <v>491</v>
      </c>
      <c r="D230" s="762" t="s">
        <v>491</v>
      </c>
      <c r="E230" s="762" t="s">
        <v>491</v>
      </c>
      <c r="F230" s="762"/>
      <c r="G230" s="762"/>
      <c r="H230" s="762" t="s">
        <v>491</v>
      </c>
      <c r="I230" s="762" t="s">
        <v>491</v>
      </c>
      <c r="J230" s="762" t="s">
        <v>491</v>
      </c>
      <c r="K230" s="762" t="s">
        <v>491</v>
      </c>
      <c r="L230" s="762" t="s">
        <v>491</v>
      </c>
      <c r="M230" s="762"/>
      <c r="N230" s="762"/>
      <c r="O230" s="768" t="s">
        <v>491</v>
      </c>
      <c r="P230" s="768" t="s">
        <v>491</v>
      </c>
      <c r="Q230" s="762" t="s">
        <v>491</v>
      </c>
      <c r="R230" s="762" t="s">
        <v>491</v>
      </c>
      <c r="S230" s="762" t="s">
        <v>491</v>
      </c>
      <c r="T230" s="762"/>
      <c r="U230" s="762"/>
      <c r="V230" s="762" t="s">
        <v>491</v>
      </c>
      <c r="W230" s="762" t="s">
        <v>491</v>
      </c>
      <c r="X230" s="762" t="s">
        <v>491</v>
      </c>
      <c r="Y230" s="762" t="s">
        <v>491</v>
      </c>
      <c r="Z230" s="762" t="s">
        <v>491</v>
      </c>
      <c r="AA230" s="762"/>
      <c r="AB230" s="762"/>
      <c r="AC230" s="762" t="s">
        <v>491</v>
      </c>
      <c r="AD230" s="762" t="s">
        <v>491</v>
      </c>
      <c r="AE230" s="762" t="s">
        <v>491</v>
      </c>
      <c r="AF230" s="762" t="s">
        <v>491</v>
      </c>
      <c r="AG230" s="762" t="s">
        <v>491</v>
      </c>
      <c r="AH230" s="924">
        <v>74</v>
      </c>
      <c r="AI230" s="925">
        <v>37</v>
      </c>
    </row>
    <row r="231" spans="1:35" ht="21" customHeight="1">
      <c r="A231" s="442">
        <v>3702</v>
      </c>
      <c r="B231" s="153" t="s">
        <v>693</v>
      </c>
      <c r="C231" s="762">
        <v>2</v>
      </c>
      <c r="D231" s="762">
        <v>2</v>
      </c>
      <c r="E231" s="762">
        <v>2</v>
      </c>
      <c r="F231" s="762"/>
      <c r="G231" s="762"/>
      <c r="H231" s="762">
        <v>1</v>
      </c>
      <c r="I231" s="762">
        <v>1</v>
      </c>
      <c r="J231" s="762">
        <v>1</v>
      </c>
      <c r="K231" s="762">
        <v>1</v>
      </c>
      <c r="L231" s="762">
        <v>1</v>
      </c>
      <c r="M231" s="762"/>
      <c r="N231" s="762"/>
      <c r="O231" s="768">
        <v>2</v>
      </c>
      <c r="P231" s="768">
        <v>2</v>
      </c>
      <c r="Q231" s="762">
        <v>2</v>
      </c>
      <c r="R231" s="1015">
        <v>2</v>
      </c>
      <c r="S231" s="1015">
        <v>2</v>
      </c>
      <c r="T231" s="1015"/>
      <c r="U231" s="1015"/>
      <c r="V231" s="762">
        <v>1</v>
      </c>
      <c r="W231" s="762">
        <v>1</v>
      </c>
      <c r="X231" s="762">
        <v>1</v>
      </c>
      <c r="Y231" s="762">
        <v>1</v>
      </c>
      <c r="Z231" s="762">
        <v>1</v>
      </c>
      <c r="AA231" s="762"/>
      <c r="AB231" s="762"/>
      <c r="AC231" s="762">
        <v>2</v>
      </c>
      <c r="AD231" s="762">
        <v>2</v>
      </c>
      <c r="AE231" s="762">
        <v>2</v>
      </c>
      <c r="AF231" s="762">
        <v>2</v>
      </c>
      <c r="AG231" s="768">
        <v>2</v>
      </c>
      <c r="AH231" s="924">
        <v>140.5</v>
      </c>
      <c r="AI231" s="925">
        <v>7.5</v>
      </c>
    </row>
    <row r="232" spans="1:35" ht="21" customHeight="1">
      <c r="A232" s="621">
        <v>3706</v>
      </c>
      <c r="B232" s="854" t="s">
        <v>694</v>
      </c>
      <c r="C232" s="768"/>
      <c r="D232" s="768"/>
      <c r="E232" s="768"/>
      <c r="F232" s="768"/>
      <c r="G232" s="768"/>
      <c r="H232" s="768"/>
      <c r="I232" s="768"/>
      <c r="J232" s="768"/>
      <c r="K232" s="768"/>
      <c r="L232" s="768"/>
      <c r="M232" s="768"/>
      <c r="N232" s="768"/>
      <c r="O232" s="768"/>
      <c r="P232" s="768"/>
      <c r="Q232" s="768"/>
      <c r="R232" s="768"/>
      <c r="S232" s="768"/>
      <c r="T232" s="768"/>
      <c r="U232" s="768"/>
      <c r="V232" s="768"/>
      <c r="W232" s="768"/>
      <c r="X232" s="768"/>
      <c r="Y232" s="768"/>
      <c r="Z232" s="768"/>
      <c r="AA232" s="768"/>
      <c r="AB232" s="768"/>
      <c r="AC232" s="768"/>
      <c r="AD232" s="768"/>
      <c r="AE232" s="768"/>
      <c r="AF232" s="768"/>
      <c r="AG232" s="768"/>
      <c r="AH232" s="924">
        <v>111</v>
      </c>
      <c r="AI232" s="925">
        <v>37</v>
      </c>
    </row>
    <row r="233" spans="1:35" ht="21" customHeight="1">
      <c r="A233" s="622"/>
      <c r="B233" s="623" t="s">
        <v>695</v>
      </c>
      <c r="C233" s="940"/>
      <c r="D233" s="940"/>
      <c r="E233" s="940"/>
      <c r="F233" s="940"/>
      <c r="G233" s="940"/>
      <c r="H233" s="940"/>
      <c r="I233" s="940"/>
      <c r="J233" s="940"/>
      <c r="K233" s="940"/>
      <c r="L233" s="940"/>
      <c r="M233" s="940"/>
      <c r="N233" s="940"/>
      <c r="O233" s="940"/>
      <c r="P233" s="940"/>
      <c r="Q233" s="940"/>
      <c r="R233" s="940"/>
      <c r="S233" s="940"/>
      <c r="T233" s="940"/>
      <c r="U233" s="940"/>
      <c r="V233" s="940"/>
      <c r="W233" s="940"/>
      <c r="X233" s="940"/>
      <c r="Y233" s="940"/>
      <c r="Z233" s="940"/>
      <c r="AA233" s="940"/>
      <c r="AB233" s="940"/>
      <c r="AC233" s="940"/>
      <c r="AD233" s="940"/>
      <c r="AE233" s="940"/>
      <c r="AF233" s="940"/>
      <c r="AG233" s="922"/>
      <c r="AH233" s="624"/>
      <c r="AI233" s="625"/>
    </row>
    <row r="234" spans="1:35" ht="21" customHeight="1">
      <c r="A234" s="442">
        <v>3702</v>
      </c>
      <c r="B234" s="793" t="s">
        <v>696</v>
      </c>
      <c r="C234" s="762" t="s">
        <v>697</v>
      </c>
      <c r="D234" s="762" t="s">
        <v>697</v>
      </c>
      <c r="E234" s="762" t="s">
        <v>697</v>
      </c>
      <c r="F234" s="768"/>
      <c r="G234" s="768"/>
      <c r="H234" s="762" t="s">
        <v>697</v>
      </c>
      <c r="I234" s="762" t="s">
        <v>697</v>
      </c>
      <c r="J234" s="762" t="s">
        <v>697</v>
      </c>
      <c r="K234" s="762" t="s">
        <v>697</v>
      </c>
      <c r="L234" s="978" t="s">
        <v>697</v>
      </c>
      <c r="M234" s="768"/>
      <c r="N234" s="768"/>
      <c r="O234" s="762" t="s">
        <v>697</v>
      </c>
      <c r="P234" s="762" t="s">
        <v>697</v>
      </c>
      <c r="Q234" s="762" t="s">
        <v>697</v>
      </c>
      <c r="R234" s="762" t="s">
        <v>697</v>
      </c>
      <c r="S234" s="762" t="s">
        <v>697</v>
      </c>
      <c r="T234" s="762"/>
      <c r="U234" s="762"/>
      <c r="V234" s="762" t="s">
        <v>697</v>
      </c>
      <c r="W234" s="762" t="s">
        <v>697</v>
      </c>
      <c r="X234" s="762" t="s">
        <v>697</v>
      </c>
      <c r="Y234" s="762" t="s">
        <v>697</v>
      </c>
      <c r="Z234" s="762" t="s">
        <v>697</v>
      </c>
      <c r="AA234" s="768"/>
      <c r="AB234" s="768"/>
      <c r="AC234" s="762" t="s">
        <v>697</v>
      </c>
      <c r="AD234" s="762" t="s">
        <v>697</v>
      </c>
      <c r="AE234" s="762" t="s">
        <v>697</v>
      </c>
      <c r="AF234" s="762" t="s">
        <v>697</v>
      </c>
      <c r="AG234" s="762" t="s">
        <v>697</v>
      </c>
      <c r="AH234" s="924">
        <v>74</v>
      </c>
      <c r="AI234" s="925">
        <v>37</v>
      </c>
    </row>
    <row r="235" spans="1:35" ht="21" customHeight="1">
      <c r="A235" s="442"/>
      <c r="B235" s="153" t="s">
        <v>698</v>
      </c>
      <c r="C235" s="553" t="s">
        <v>699</v>
      </c>
      <c r="D235" s="553" t="s">
        <v>699</v>
      </c>
      <c r="E235" s="553" t="s">
        <v>699</v>
      </c>
      <c r="F235" s="768"/>
      <c r="G235" s="768"/>
      <c r="H235" s="762" t="s">
        <v>699</v>
      </c>
      <c r="I235" s="762" t="s">
        <v>699</v>
      </c>
      <c r="J235" s="762" t="s">
        <v>699</v>
      </c>
      <c r="K235" s="762" t="s">
        <v>699</v>
      </c>
      <c r="L235" s="762" t="s">
        <v>699</v>
      </c>
      <c r="M235" s="768"/>
      <c r="N235" s="768"/>
      <c r="O235" s="762" t="s">
        <v>699</v>
      </c>
      <c r="P235" s="762" t="s">
        <v>699</v>
      </c>
      <c r="Q235" s="762" t="s">
        <v>699</v>
      </c>
      <c r="R235" s="762" t="s">
        <v>699</v>
      </c>
      <c r="S235" s="762" t="s">
        <v>699</v>
      </c>
      <c r="T235" s="762"/>
      <c r="U235" s="762"/>
      <c r="V235" s="762" t="s">
        <v>699</v>
      </c>
      <c r="W235" s="762" t="s">
        <v>699</v>
      </c>
      <c r="X235" s="762" t="s">
        <v>699</v>
      </c>
      <c r="Y235" s="762" t="s">
        <v>699</v>
      </c>
      <c r="Z235" s="762" t="s">
        <v>699</v>
      </c>
      <c r="AA235" s="768"/>
      <c r="AB235" s="768"/>
      <c r="AC235" s="762" t="s">
        <v>699</v>
      </c>
      <c r="AD235" s="762" t="s">
        <v>699</v>
      </c>
      <c r="AE235" s="762" t="s">
        <v>699</v>
      </c>
      <c r="AF235" s="762" t="s">
        <v>699</v>
      </c>
      <c r="AG235" s="762" t="s">
        <v>699</v>
      </c>
      <c r="AH235" s="924">
        <v>83.5</v>
      </c>
      <c r="AI235" s="925">
        <v>37</v>
      </c>
    </row>
    <row r="236" spans="1:35" ht="21" customHeight="1" thickBot="1">
      <c r="A236" s="906"/>
      <c r="B236" s="895" t="s">
        <v>700</v>
      </c>
      <c r="C236" s="875" t="s">
        <v>701</v>
      </c>
      <c r="D236" s="875" t="s">
        <v>701</v>
      </c>
      <c r="E236" s="875" t="s">
        <v>701</v>
      </c>
      <c r="F236" s="867"/>
      <c r="G236" s="867"/>
      <c r="H236" s="875" t="s">
        <v>701</v>
      </c>
      <c r="I236" s="875" t="s">
        <v>701</v>
      </c>
      <c r="J236" s="875" t="s">
        <v>701</v>
      </c>
      <c r="K236" s="875" t="s">
        <v>701</v>
      </c>
      <c r="L236" s="875" t="s">
        <v>701</v>
      </c>
      <c r="M236" s="867"/>
      <c r="N236" s="867"/>
      <c r="O236" s="875" t="s">
        <v>701</v>
      </c>
      <c r="P236" s="875" t="s">
        <v>701</v>
      </c>
      <c r="Q236" s="875" t="s">
        <v>701</v>
      </c>
      <c r="R236" s="875" t="s">
        <v>701</v>
      </c>
      <c r="S236" s="875" t="s">
        <v>701</v>
      </c>
      <c r="T236" s="875"/>
      <c r="U236" s="875"/>
      <c r="V236" s="875" t="s">
        <v>701</v>
      </c>
      <c r="W236" s="875" t="s">
        <v>701</v>
      </c>
      <c r="X236" s="875" t="s">
        <v>701</v>
      </c>
      <c r="Y236" s="875" t="s">
        <v>701</v>
      </c>
      <c r="Z236" s="875" t="s">
        <v>701</v>
      </c>
      <c r="AA236" s="867"/>
      <c r="AB236" s="867"/>
      <c r="AC236" s="875" t="s">
        <v>701</v>
      </c>
      <c r="AD236" s="875" t="s">
        <v>701</v>
      </c>
      <c r="AE236" s="875" t="s">
        <v>701</v>
      </c>
      <c r="AF236" s="875" t="s">
        <v>701</v>
      </c>
      <c r="AG236" s="875" t="s">
        <v>701</v>
      </c>
      <c r="AH236" s="868">
        <v>96.5</v>
      </c>
      <c r="AI236" s="869">
        <v>37</v>
      </c>
    </row>
    <row r="237" spans="1:35" ht="21" customHeight="1"/>
    <row r="238" spans="1:35" ht="21" customHeight="1"/>
    <row r="239" spans="1:35" ht="21" customHeight="1" thickBot="1">
      <c r="A239" s="1" t="s">
        <v>702</v>
      </c>
    </row>
    <row r="240" spans="1:35" ht="21" customHeight="1">
      <c r="B240" s="201" t="s">
        <v>664</v>
      </c>
      <c r="C240" s="7"/>
      <c r="D240" s="522" t="s">
        <v>2</v>
      </c>
      <c r="E240" s="51"/>
      <c r="F240" s="548"/>
      <c r="G240" s="7"/>
      <c r="H240" s="522" t="s">
        <v>3</v>
      </c>
      <c r="I240" s="51"/>
      <c r="J240" s="548"/>
      <c r="K240" s="7"/>
      <c r="L240" s="522" t="s">
        <v>4</v>
      </c>
      <c r="M240" s="51"/>
      <c r="N240" s="548"/>
      <c r="O240" s="7"/>
      <c r="P240" s="522" t="s">
        <v>5</v>
      </c>
      <c r="Q240" s="51"/>
      <c r="R240" s="548"/>
      <c r="S240" s="7"/>
      <c r="T240" s="522" t="s">
        <v>6</v>
      </c>
      <c r="U240" s="51"/>
      <c r="V240" s="548"/>
      <c r="W240" s="7"/>
      <c r="X240" s="522" t="s">
        <v>7</v>
      </c>
      <c r="Y240" s="51"/>
      <c r="Z240" s="548"/>
      <c r="AA240" s="7"/>
      <c r="AB240" s="522" t="s">
        <v>8</v>
      </c>
      <c r="AC240" s="51"/>
      <c r="AD240" s="51"/>
      <c r="AE240" s="425" t="s">
        <v>10</v>
      </c>
      <c r="AF240" s="51"/>
      <c r="AG240" s="51"/>
      <c r="AH240" s="51"/>
      <c r="AI240" s="523"/>
    </row>
    <row r="241" spans="1:35" ht="21" customHeight="1">
      <c r="B241" s="9">
        <v>8500</v>
      </c>
      <c r="C241" s="121" t="s">
        <v>33</v>
      </c>
      <c r="D241" s="603"/>
      <c r="E241" s="55"/>
      <c r="F241" s="602"/>
      <c r="G241" s="121" t="s">
        <v>33</v>
      </c>
      <c r="H241" s="603"/>
      <c r="I241" s="55"/>
      <c r="J241" s="602"/>
      <c r="K241" s="121" t="s">
        <v>33</v>
      </c>
      <c r="L241" s="603"/>
      <c r="M241" s="55"/>
      <c r="N241" s="602"/>
      <c r="O241" s="121" t="s">
        <v>33</v>
      </c>
      <c r="P241" s="603"/>
      <c r="Q241" s="55"/>
      <c r="R241" s="602"/>
      <c r="S241" s="121" t="s">
        <v>34</v>
      </c>
      <c r="T241" s="603"/>
      <c r="U241" s="55"/>
      <c r="V241" s="602"/>
      <c r="W241" s="14"/>
      <c r="X241" s="603"/>
      <c r="Y241" s="55"/>
      <c r="Z241" s="602"/>
      <c r="AA241" s="14"/>
      <c r="AB241" s="603"/>
      <c r="AC241" s="55"/>
      <c r="AD241" s="55"/>
      <c r="AE241" s="604"/>
      <c r="AF241" s="55"/>
      <c r="AG241" s="55"/>
      <c r="AH241" s="55"/>
      <c r="AI241" s="605"/>
    </row>
    <row r="242" spans="1:35" ht="21" customHeight="1" thickBot="1">
      <c r="B242" s="163" t="s">
        <v>703</v>
      </c>
      <c r="C242" s="626" t="s">
        <v>704</v>
      </c>
      <c r="D242" s="627"/>
      <c r="E242" s="616"/>
      <c r="F242" s="240"/>
      <c r="G242" s="626" t="s">
        <v>704</v>
      </c>
      <c r="H242" s="149"/>
      <c r="I242" s="616"/>
      <c r="J242" s="240"/>
      <c r="K242" s="626" t="s">
        <v>704</v>
      </c>
      <c r="L242" s="149"/>
      <c r="M242" s="616"/>
      <c r="N242" s="240"/>
      <c r="O242" s="626" t="s">
        <v>705</v>
      </c>
      <c r="P242" s="149"/>
      <c r="Q242" s="616"/>
      <c r="R242" s="240"/>
      <c r="S242" s="626" t="s">
        <v>16</v>
      </c>
      <c r="T242" s="149"/>
      <c r="U242" s="616"/>
      <c r="V242" s="240"/>
      <c r="W242" s="617"/>
      <c r="X242" s="149"/>
      <c r="Y242" s="616"/>
      <c r="Z242" s="240"/>
      <c r="AA242" s="617"/>
      <c r="AB242" s="149"/>
      <c r="AC242" s="616"/>
      <c r="AD242" s="616"/>
      <c r="AE242" s="618"/>
      <c r="AF242" s="616"/>
      <c r="AG242" s="616"/>
      <c r="AH242" s="616"/>
      <c r="AI242" s="619"/>
    </row>
    <row r="243" spans="1:35" ht="21" customHeight="1" thickBot="1">
      <c r="A243" s="60" t="s">
        <v>706</v>
      </c>
    </row>
    <row r="244" spans="1:35" ht="21" customHeight="1" thickBot="1">
      <c r="A244" s="911"/>
      <c r="B244" s="862" t="s">
        <v>476</v>
      </c>
      <c r="C244" s="863">
        <v>1</v>
      </c>
      <c r="D244" s="863">
        <v>2</v>
      </c>
      <c r="E244" s="863">
        <v>3</v>
      </c>
      <c r="F244" s="880">
        <v>4</v>
      </c>
      <c r="G244" s="880">
        <v>5</v>
      </c>
      <c r="H244" s="863">
        <v>6</v>
      </c>
      <c r="I244" s="863">
        <v>7</v>
      </c>
      <c r="J244" s="863">
        <v>8</v>
      </c>
      <c r="K244" s="863">
        <v>9</v>
      </c>
      <c r="L244" s="863">
        <v>10</v>
      </c>
      <c r="M244" s="880">
        <v>11</v>
      </c>
      <c r="N244" s="880">
        <v>12</v>
      </c>
      <c r="O244" s="863">
        <v>13</v>
      </c>
      <c r="P244" s="863">
        <v>14</v>
      </c>
      <c r="Q244" s="863">
        <v>15</v>
      </c>
      <c r="R244" s="863">
        <v>16</v>
      </c>
      <c r="S244" s="863">
        <v>17</v>
      </c>
      <c r="T244" s="880">
        <v>18</v>
      </c>
      <c r="U244" s="880">
        <v>19</v>
      </c>
      <c r="V244" s="863">
        <v>20</v>
      </c>
      <c r="W244" s="863">
        <v>21</v>
      </c>
      <c r="X244" s="863">
        <v>22</v>
      </c>
      <c r="Y244" s="863">
        <v>23</v>
      </c>
      <c r="Z244" s="863">
        <v>24</v>
      </c>
      <c r="AA244" s="880">
        <v>25</v>
      </c>
      <c r="AB244" s="880">
        <v>26</v>
      </c>
      <c r="AC244" s="863">
        <v>27</v>
      </c>
      <c r="AD244" s="863">
        <v>28</v>
      </c>
      <c r="AE244" s="863">
        <v>29</v>
      </c>
      <c r="AF244" s="863">
        <v>30</v>
      </c>
      <c r="AG244" s="943">
        <v>31</v>
      </c>
      <c r="AH244" s="864" t="s">
        <v>477</v>
      </c>
      <c r="AI244" s="865" t="s">
        <v>478</v>
      </c>
    </row>
    <row r="245" spans="1:35" ht="21" customHeight="1">
      <c r="A245" s="14">
        <v>8500</v>
      </c>
      <c r="B245" s="908" t="s">
        <v>707</v>
      </c>
      <c r="C245" s="768" t="s">
        <v>491</v>
      </c>
      <c r="D245" s="768" t="s">
        <v>491</v>
      </c>
      <c r="E245" s="768" t="s">
        <v>491</v>
      </c>
      <c r="F245" s="768"/>
      <c r="G245" s="768"/>
      <c r="H245" s="768" t="s">
        <v>491</v>
      </c>
      <c r="I245" s="768" t="s">
        <v>491</v>
      </c>
      <c r="J245" s="768" t="s">
        <v>491</v>
      </c>
      <c r="K245" s="768" t="s">
        <v>491</v>
      </c>
      <c r="L245" s="768" t="s">
        <v>491</v>
      </c>
      <c r="M245" s="768"/>
      <c r="N245" s="768"/>
      <c r="O245" s="768" t="s">
        <v>491</v>
      </c>
      <c r="P245" s="768" t="s">
        <v>491</v>
      </c>
      <c r="Q245" s="768" t="s">
        <v>491</v>
      </c>
      <c r="R245" s="768" t="s">
        <v>491</v>
      </c>
      <c r="S245" s="768" t="s">
        <v>491</v>
      </c>
      <c r="T245" s="768"/>
      <c r="U245" s="768"/>
      <c r="V245" s="768" t="s">
        <v>491</v>
      </c>
      <c r="W245" s="768" t="s">
        <v>491</v>
      </c>
      <c r="X245" s="768" t="s">
        <v>491</v>
      </c>
      <c r="Y245" s="768" t="s">
        <v>491</v>
      </c>
      <c r="Z245" s="768" t="s">
        <v>491</v>
      </c>
      <c r="AA245" s="768"/>
      <c r="AB245" s="768"/>
      <c r="AC245" s="768" t="s">
        <v>491</v>
      </c>
      <c r="AD245" s="768" t="s">
        <v>491</v>
      </c>
      <c r="AE245" s="768" t="s">
        <v>491</v>
      </c>
      <c r="AF245" s="768" t="s">
        <v>491</v>
      </c>
      <c r="AG245" s="768" t="s">
        <v>491</v>
      </c>
      <c r="AH245" s="909">
        <v>97.5</v>
      </c>
      <c r="AI245" s="910">
        <v>37</v>
      </c>
    </row>
    <row r="246" spans="1:35" ht="21" customHeight="1">
      <c r="A246" s="500" t="s">
        <v>708</v>
      </c>
      <c r="B246" s="153" t="s">
        <v>709</v>
      </c>
      <c r="C246" s="970" t="s">
        <v>491</v>
      </c>
      <c r="D246" s="768" t="s">
        <v>491</v>
      </c>
      <c r="E246" s="768" t="s">
        <v>481</v>
      </c>
      <c r="F246" s="768"/>
      <c r="G246" s="768"/>
      <c r="H246" s="768" t="s">
        <v>491</v>
      </c>
      <c r="I246" s="768" t="s">
        <v>491</v>
      </c>
      <c r="J246" s="1131" t="s">
        <v>491</v>
      </c>
      <c r="K246" s="768" t="s">
        <v>491</v>
      </c>
      <c r="L246" s="768" t="s">
        <v>491</v>
      </c>
      <c r="M246" s="768"/>
      <c r="N246" s="768"/>
      <c r="O246" s="768" t="s">
        <v>491</v>
      </c>
      <c r="P246" s="768" t="s">
        <v>491</v>
      </c>
      <c r="Q246" s="768" t="s">
        <v>491</v>
      </c>
      <c r="R246" s="768" t="s">
        <v>491</v>
      </c>
      <c r="S246" s="768" t="s">
        <v>481</v>
      </c>
      <c r="T246" s="768"/>
      <c r="U246" s="768"/>
      <c r="V246" s="768" t="s">
        <v>491</v>
      </c>
      <c r="W246" s="768" t="s">
        <v>491</v>
      </c>
      <c r="X246" s="768" t="s">
        <v>491</v>
      </c>
      <c r="Y246" s="768" t="s">
        <v>491</v>
      </c>
      <c r="Z246" s="768" t="s">
        <v>491</v>
      </c>
      <c r="AA246" s="768"/>
      <c r="AB246" s="768"/>
      <c r="AC246" s="768" t="s">
        <v>491</v>
      </c>
      <c r="AD246" s="768" t="s">
        <v>491</v>
      </c>
      <c r="AE246" s="768" t="s">
        <v>491</v>
      </c>
      <c r="AF246" s="768" t="s">
        <v>491</v>
      </c>
      <c r="AG246" s="768" t="s">
        <v>481</v>
      </c>
      <c r="AH246" s="628">
        <v>69</v>
      </c>
      <c r="AI246" s="629">
        <v>37</v>
      </c>
    </row>
    <row r="247" spans="1:35" ht="21.95" customHeight="1">
      <c r="A247" s="442"/>
      <c r="B247" s="153" t="s">
        <v>710</v>
      </c>
      <c r="C247" s="768" t="s">
        <v>491</v>
      </c>
      <c r="D247" s="768" t="s">
        <v>491</v>
      </c>
      <c r="E247" s="768" t="s">
        <v>491</v>
      </c>
      <c r="F247" s="768"/>
      <c r="G247" s="768"/>
      <c r="H247" s="768" t="s">
        <v>491</v>
      </c>
      <c r="I247" s="768" t="s">
        <v>491</v>
      </c>
      <c r="J247" s="1131" t="s">
        <v>491</v>
      </c>
      <c r="K247" s="768" t="s">
        <v>491</v>
      </c>
      <c r="L247" s="768" t="s">
        <v>491</v>
      </c>
      <c r="M247" s="768"/>
      <c r="N247" s="768"/>
      <c r="O247" s="768" t="s">
        <v>491</v>
      </c>
      <c r="P247" s="768" t="s">
        <v>491</v>
      </c>
      <c r="Q247" s="768" t="s">
        <v>491</v>
      </c>
      <c r="R247" s="768" t="s">
        <v>491</v>
      </c>
      <c r="S247" s="768" t="s">
        <v>491</v>
      </c>
      <c r="T247" s="768"/>
      <c r="U247" s="768"/>
      <c r="V247" s="768" t="s">
        <v>491</v>
      </c>
      <c r="W247" s="768" t="s">
        <v>491</v>
      </c>
      <c r="X247" s="768" t="s">
        <v>491</v>
      </c>
      <c r="Y247" s="768" t="s">
        <v>491</v>
      </c>
      <c r="Z247" s="768" t="s">
        <v>491</v>
      </c>
      <c r="AA247" s="768"/>
      <c r="AB247" s="768"/>
      <c r="AC247" s="768" t="s">
        <v>491</v>
      </c>
      <c r="AD247" s="768" t="s">
        <v>491</v>
      </c>
      <c r="AE247" s="768" t="s">
        <v>491</v>
      </c>
      <c r="AF247" s="768" t="s">
        <v>491</v>
      </c>
      <c r="AG247" s="768" t="s">
        <v>491</v>
      </c>
      <c r="AH247" s="628">
        <v>111</v>
      </c>
      <c r="AI247" s="629">
        <v>37</v>
      </c>
    </row>
    <row r="248" spans="1:35" ht="21.95" customHeight="1">
      <c r="A248" s="516">
        <v>3701</v>
      </c>
      <c r="B248" s="134" t="s">
        <v>711</v>
      </c>
      <c r="C248" s="768" t="s">
        <v>491</v>
      </c>
      <c r="D248" s="768" t="s">
        <v>491</v>
      </c>
      <c r="E248" s="768" t="s">
        <v>491</v>
      </c>
      <c r="F248" s="768"/>
      <c r="G248" s="768"/>
      <c r="H248" s="768" t="s">
        <v>491</v>
      </c>
      <c r="I248" s="768" t="s">
        <v>491</v>
      </c>
      <c r="J248" s="768" t="s">
        <v>491</v>
      </c>
      <c r="K248" s="768" t="s">
        <v>491</v>
      </c>
      <c r="L248" s="977" t="s">
        <v>491</v>
      </c>
      <c r="M248" s="768"/>
      <c r="N248" s="768"/>
      <c r="O248" s="768" t="s">
        <v>491</v>
      </c>
      <c r="P248" s="768" t="s">
        <v>491</v>
      </c>
      <c r="Q248" s="768" t="s">
        <v>491</v>
      </c>
      <c r="R248" s="768" t="s">
        <v>491</v>
      </c>
      <c r="S248" s="977" t="s">
        <v>491</v>
      </c>
      <c r="T248" s="768"/>
      <c r="U248" s="768"/>
      <c r="V248" s="768" t="s">
        <v>491</v>
      </c>
      <c r="W248" s="768" t="s">
        <v>491</v>
      </c>
      <c r="X248" s="768" t="s">
        <v>491</v>
      </c>
      <c r="Y248" s="768" t="s">
        <v>491</v>
      </c>
      <c r="Z248" s="768" t="s">
        <v>491</v>
      </c>
      <c r="AA248" s="768"/>
      <c r="AB248" s="768"/>
      <c r="AC248" s="768" t="s">
        <v>491</v>
      </c>
      <c r="AD248" s="768" t="s">
        <v>491</v>
      </c>
      <c r="AE248" s="768" t="s">
        <v>491</v>
      </c>
      <c r="AF248" s="768" t="s">
        <v>491</v>
      </c>
      <c r="AG248" s="768" t="s">
        <v>491</v>
      </c>
      <c r="AH248" s="849">
        <v>103.5</v>
      </c>
      <c r="AI248" s="850">
        <v>37</v>
      </c>
    </row>
    <row r="249" spans="1:35" ht="21" customHeight="1">
      <c r="A249" s="793">
        <v>8500</v>
      </c>
      <c r="B249" s="227" t="s">
        <v>712</v>
      </c>
      <c r="C249" s="768" t="s">
        <v>491</v>
      </c>
      <c r="D249" s="768" t="s">
        <v>491</v>
      </c>
      <c r="E249" s="768" t="s">
        <v>491</v>
      </c>
      <c r="F249" s="768"/>
      <c r="G249" s="768"/>
      <c r="H249" s="768" t="s">
        <v>491</v>
      </c>
      <c r="I249" s="768" t="s">
        <v>491</v>
      </c>
      <c r="J249" s="768" t="s">
        <v>491</v>
      </c>
      <c r="K249" s="768" t="s">
        <v>491</v>
      </c>
      <c r="L249" s="768" t="s">
        <v>491</v>
      </c>
      <c r="M249" s="768"/>
      <c r="N249" s="768"/>
      <c r="O249" s="768" t="s">
        <v>491</v>
      </c>
      <c r="P249" s="768" t="s">
        <v>491</v>
      </c>
      <c r="Q249" s="768" t="s">
        <v>491</v>
      </c>
      <c r="R249" s="768" t="s">
        <v>491</v>
      </c>
      <c r="S249" s="768" t="s">
        <v>491</v>
      </c>
      <c r="T249" s="768"/>
      <c r="U249" s="768"/>
      <c r="V249" s="768" t="s">
        <v>491</v>
      </c>
      <c r="W249" s="768" t="s">
        <v>491</v>
      </c>
      <c r="X249" s="768" t="s">
        <v>491</v>
      </c>
      <c r="Y249" s="768" t="s">
        <v>491</v>
      </c>
      <c r="Z249" s="1038" t="s">
        <v>491</v>
      </c>
      <c r="AA249" s="1038"/>
      <c r="AB249" s="1038"/>
      <c r="AC249" s="768" t="s">
        <v>491</v>
      </c>
      <c r="AD249" s="768" t="s">
        <v>491</v>
      </c>
      <c r="AE249" s="768" t="s">
        <v>491</v>
      </c>
      <c r="AF249" s="768" t="s">
        <v>491</v>
      </c>
      <c r="AG249" s="768" t="s">
        <v>491</v>
      </c>
      <c r="AH249" s="849">
        <v>103.5</v>
      </c>
      <c r="AI249" s="850">
        <v>37</v>
      </c>
    </row>
    <row r="250" spans="1:35" ht="21.95" customHeight="1">
      <c r="A250" s="856">
        <v>3350</v>
      </c>
      <c r="B250" s="855" t="s">
        <v>713</v>
      </c>
      <c r="C250" s="768" t="s">
        <v>491</v>
      </c>
      <c r="D250" s="768" t="s">
        <v>491</v>
      </c>
      <c r="E250" s="768" t="s">
        <v>491</v>
      </c>
      <c r="F250" s="768"/>
      <c r="G250" s="768"/>
      <c r="H250" s="768" t="s">
        <v>491</v>
      </c>
      <c r="I250" s="768" t="s">
        <v>491</v>
      </c>
      <c r="J250" s="768" t="s">
        <v>491</v>
      </c>
      <c r="K250" s="768" t="s">
        <v>491</v>
      </c>
      <c r="L250" s="768" t="s">
        <v>491</v>
      </c>
      <c r="M250" s="768"/>
      <c r="N250" s="768"/>
      <c r="O250" s="768" t="s">
        <v>491</v>
      </c>
      <c r="P250" s="768" t="s">
        <v>491</v>
      </c>
      <c r="Q250" s="768" t="s">
        <v>491</v>
      </c>
      <c r="R250" s="768" t="s">
        <v>491</v>
      </c>
      <c r="S250" s="768" t="s">
        <v>491</v>
      </c>
      <c r="T250" s="768"/>
      <c r="U250" s="768"/>
      <c r="V250" s="768" t="s">
        <v>491</v>
      </c>
      <c r="W250" s="768" t="s">
        <v>491</v>
      </c>
      <c r="X250" s="768" t="s">
        <v>491</v>
      </c>
      <c r="Y250" s="768" t="s">
        <v>491</v>
      </c>
      <c r="Z250" s="768" t="s">
        <v>491</v>
      </c>
      <c r="AA250" s="768"/>
      <c r="AB250" s="768"/>
      <c r="AC250" s="768" t="s">
        <v>491</v>
      </c>
      <c r="AD250" s="768" t="s">
        <v>491</v>
      </c>
      <c r="AE250" s="768" t="s">
        <v>491</v>
      </c>
      <c r="AF250" s="768" t="s">
        <v>491</v>
      </c>
      <c r="AG250" s="768" t="s">
        <v>491</v>
      </c>
      <c r="AH250" s="849">
        <v>148</v>
      </c>
      <c r="AI250" s="850">
        <v>37</v>
      </c>
    </row>
    <row r="251" spans="1:35" ht="21.95" customHeight="1">
      <c r="A251" s="1136"/>
      <c r="B251" s="1137"/>
      <c r="C251" s="1140" t="s">
        <v>491</v>
      </c>
      <c r="D251" s="772" t="s">
        <v>491</v>
      </c>
      <c r="E251" s="772" t="s">
        <v>491</v>
      </c>
      <c r="F251" s="772"/>
      <c r="G251" s="772"/>
      <c r="H251" s="772" t="s">
        <v>491</v>
      </c>
      <c r="I251" s="772" t="s">
        <v>491</v>
      </c>
      <c r="J251" s="772" t="s">
        <v>491</v>
      </c>
      <c r="K251" s="772" t="s">
        <v>491</v>
      </c>
      <c r="L251" s="772" t="s">
        <v>491</v>
      </c>
      <c r="M251" s="772"/>
      <c r="N251" s="772"/>
      <c r="O251" s="772" t="s">
        <v>491</v>
      </c>
      <c r="P251" s="772" t="s">
        <v>491</v>
      </c>
      <c r="Q251" s="772" t="s">
        <v>491</v>
      </c>
      <c r="R251" s="772" t="s">
        <v>491</v>
      </c>
      <c r="S251" s="772" t="s">
        <v>491</v>
      </c>
      <c r="T251" s="772"/>
      <c r="U251" s="772"/>
      <c r="V251" s="772" t="s">
        <v>491</v>
      </c>
      <c r="W251" s="772" t="s">
        <v>491</v>
      </c>
      <c r="X251" s="772" t="s">
        <v>491</v>
      </c>
      <c r="Y251" s="772" t="s">
        <v>491</v>
      </c>
      <c r="Z251" s="772" t="s">
        <v>491</v>
      </c>
      <c r="AA251" s="772"/>
      <c r="AB251" s="772"/>
      <c r="AC251" s="772" t="s">
        <v>491</v>
      </c>
      <c r="AD251" s="772" t="s">
        <v>491</v>
      </c>
      <c r="AE251" s="772" t="s">
        <v>491</v>
      </c>
      <c r="AF251" s="772" t="s">
        <v>491</v>
      </c>
      <c r="AG251" s="958" t="s">
        <v>491</v>
      </c>
      <c r="AH251" s="849"/>
      <c r="AI251" s="850"/>
    </row>
    <row r="252" spans="1:35" ht="21.95" customHeight="1">
      <c r="A252" s="856"/>
      <c r="B252" s="1142" t="s">
        <v>763</v>
      </c>
      <c r="C252" s="782"/>
      <c r="D252" s="782"/>
      <c r="E252" s="782"/>
      <c r="F252" s="782"/>
      <c r="G252" s="782"/>
      <c r="H252" s="782"/>
      <c r="I252" s="782"/>
      <c r="J252" s="782"/>
      <c r="K252" s="782"/>
      <c r="L252" s="782"/>
      <c r="M252" s="782"/>
      <c r="N252" s="782"/>
      <c r="O252" s="782"/>
      <c r="P252" s="782"/>
      <c r="Q252" s="782"/>
      <c r="R252" s="782"/>
      <c r="S252" s="782"/>
      <c r="T252" s="782"/>
      <c r="U252" s="782"/>
      <c r="V252" s="782"/>
      <c r="W252" s="782"/>
      <c r="X252" s="782"/>
      <c r="Y252" s="782"/>
      <c r="Z252" s="782"/>
      <c r="AA252" s="782"/>
      <c r="AB252" s="782"/>
      <c r="AC252" s="782"/>
      <c r="AD252" s="782"/>
      <c r="AE252" s="782"/>
      <c r="AF252" s="782"/>
      <c r="AG252" s="782"/>
      <c r="AH252" s="1141"/>
      <c r="AI252" s="1141"/>
    </row>
    <row r="253" spans="1:35" ht="21.95" customHeight="1">
      <c r="A253" s="793"/>
      <c r="B253" s="1142" t="s">
        <v>764</v>
      </c>
      <c r="C253" s="793"/>
      <c r="D253" s="1179"/>
      <c r="E253" s="1179"/>
      <c r="F253" s="1179"/>
      <c r="G253" s="1179"/>
      <c r="H253" s="1179"/>
      <c r="I253" s="1179"/>
      <c r="J253" s="1179"/>
      <c r="K253" s="1179"/>
      <c r="L253" s="1179"/>
      <c r="M253" s="793"/>
      <c r="N253" s="793"/>
      <c r="O253" s="793"/>
      <c r="P253" s="793"/>
      <c r="Q253" s="793"/>
      <c r="R253" s="793"/>
      <c r="S253" s="793"/>
      <c r="T253" s="793"/>
      <c r="U253" s="793"/>
      <c r="V253" s="793"/>
      <c r="W253" s="793"/>
      <c r="X253" s="793"/>
      <c r="Y253" s="793"/>
      <c r="Z253" s="793"/>
      <c r="AA253" s="793"/>
      <c r="AB253" s="793"/>
      <c r="AC253" s="793"/>
      <c r="AD253" s="793"/>
      <c r="AE253" s="793"/>
      <c r="AF253" s="793"/>
      <c r="AG253" s="782"/>
      <c r="AH253" s="1141"/>
      <c r="AI253" s="793"/>
    </row>
    <row r="255" spans="1:35" ht="25.5" customHeight="1" thickBot="1">
      <c r="A255" s="1" t="s">
        <v>716</v>
      </c>
    </row>
    <row r="256" spans="1:35" ht="21" customHeight="1">
      <c r="A256" s="1"/>
      <c r="B256" s="201" t="s">
        <v>664</v>
      </c>
      <c r="C256" s="7"/>
      <c r="D256" s="522" t="s">
        <v>2</v>
      </c>
      <c r="E256" s="51"/>
      <c r="F256" s="548"/>
      <c r="G256" s="7"/>
      <c r="H256" s="522" t="s">
        <v>3</v>
      </c>
      <c r="I256" s="51"/>
      <c r="J256" s="548"/>
      <c r="K256" s="7"/>
      <c r="L256" s="522" t="s">
        <v>4</v>
      </c>
      <c r="M256" s="51"/>
      <c r="N256" s="548"/>
      <c r="O256" s="7"/>
      <c r="P256" s="522" t="s">
        <v>5</v>
      </c>
      <c r="Q256" s="51"/>
      <c r="R256" s="548"/>
      <c r="S256" s="7"/>
      <c r="T256" s="522" t="s">
        <v>6</v>
      </c>
      <c r="U256" s="51"/>
      <c r="V256" s="548"/>
      <c r="W256" s="7"/>
      <c r="X256" s="522" t="s">
        <v>7</v>
      </c>
      <c r="Y256" s="51"/>
      <c r="Z256" s="548"/>
      <c r="AA256" s="7"/>
      <c r="AB256" s="522" t="s">
        <v>8</v>
      </c>
      <c r="AC256" s="51"/>
      <c r="AD256" s="51"/>
      <c r="AE256" s="425" t="s">
        <v>10</v>
      </c>
      <c r="AF256" s="51"/>
      <c r="AG256" s="51"/>
      <c r="AH256" s="51"/>
      <c r="AI256" s="523"/>
    </row>
    <row r="257" spans="1:35" ht="21" customHeight="1">
      <c r="A257" s="1"/>
      <c r="B257" s="9"/>
      <c r="C257" s="14"/>
      <c r="D257" s="603"/>
      <c r="E257" s="55"/>
      <c r="F257" s="602"/>
      <c r="G257" s="14"/>
      <c r="H257" s="603"/>
      <c r="I257" s="55"/>
      <c r="J257" s="602"/>
      <c r="K257" s="14"/>
      <c r="L257" s="603"/>
      <c r="M257" s="55"/>
      <c r="N257" s="602"/>
      <c r="O257" s="14"/>
      <c r="P257" s="603"/>
      <c r="Q257" s="55"/>
      <c r="R257" s="602"/>
      <c r="S257" s="14"/>
      <c r="T257" s="603"/>
      <c r="U257" s="55"/>
      <c r="V257" s="602"/>
      <c r="W257" s="14"/>
      <c r="X257" s="603"/>
      <c r="Y257" s="55"/>
      <c r="Z257" s="602"/>
      <c r="AA257" s="14"/>
      <c r="AB257" s="603"/>
      <c r="AC257" s="55"/>
      <c r="AD257" s="55"/>
      <c r="AE257" s="604"/>
      <c r="AF257" s="55"/>
      <c r="AG257" s="55"/>
      <c r="AH257" s="55"/>
      <c r="AI257" s="605"/>
    </row>
    <row r="258" spans="1:35" ht="21" customHeight="1">
      <c r="B258" s="606"/>
      <c r="C258" s="121"/>
      <c r="D258" s="157"/>
      <c r="E258" s="157"/>
      <c r="F258" s="564"/>
      <c r="G258" s="121"/>
      <c r="H258" s="157"/>
      <c r="I258" s="157"/>
      <c r="J258" s="564"/>
      <c r="K258" s="121"/>
      <c r="L258" s="157"/>
      <c r="M258" s="157"/>
      <c r="N258" s="564"/>
      <c r="O258" s="121"/>
      <c r="P258" s="157"/>
      <c r="Q258" s="157"/>
      <c r="R258" s="564"/>
      <c r="S258" s="121"/>
      <c r="T258" s="157"/>
      <c r="U258" s="157"/>
      <c r="V258" s="564"/>
      <c r="W258" s="121"/>
      <c r="X258" s="157"/>
      <c r="Y258" s="157"/>
      <c r="Z258" s="564"/>
      <c r="AA258" s="563"/>
      <c r="AB258" s="157"/>
      <c r="AC258" s="157"/>
      <c r="AD258" s="565"/>
      <c r="AE258" s="607"/>
      <c r="AF258" s="157"/>
      <c r="AG258" s="157" t="s">
        <v>28</v>
      </c>
      <c r="AH258" s="565"/>
      <c r="AI258" s="490"/>
    </row>
    <row r="259" spans="1:35" ht="21" customHeight="1" thickBot="1">
      <c r="A259" s="1"/>
      <c r="B259" s="47"/>
      <c r="C259" s="570"/>
      <c r="D259" s="53"/>
      <c r="E259" s="53"/>
      <c r="F259" s="571"/>
      <c r="G259" s="570"/>
      <c r="H259" s="53"/>
      <c r="I259" s="53"/>
      <c r="J259" s="571"/>
      <c r="K259" s="570"/>
      <c r="L259" s="53"/>
      <c r="M259" s="53"/>
      <c r="N259" s="571"/>
      <c r="O259" s="570"/>
      <c r="P259" s="53"/>
      <c r="Q259" s="53"/>
      <c r="R259" s="571"/>
      <c r="S259" s="570"/>
      <c r="T259" s="53"/>
      <c r="U259" s="53"/>
      <c r="V259" s="571"/>
      <c r="W259" s="57"/>
      <c r="X259" s="53"/>
      <c r="Y259" s="53"/>
      <c r="Z259" s="571"/>
      <c r="AA259" s="57"/>
      <c r="AB259" s="53"/>
      <c r="AC259" s="53"/>
      <c r="AD259" s="573"/>
      <c r="AE259" s="57"/>
      <c r="AF259" s="53"/>
      <c r="AG259" s="53"/>
      <c r="AH259" s="573"/>
      <c r="AI259" s="536"/>
    </row>
    <row r="260" spans="1:35" ht="33" customHeight="1" thickBot="1">
      <c r="A260" s="1" t="s">
        <v>717</v>
      </c>
      <c r="B260" s="72"/>
      <c r="C260" s="312"/>
      <c r="F260" s="354"/>
      <c r="G260" s="312"/>
      <c r="J260" s="354"/>
      <c r="K260" s="312"/>
      <c r="N260" s="354"/>
      <c r="O260" s="312"/>
      <c r="R260" s="354"/>
      <c r="S260" s="312"/>
      <c r="V260" s="354"/>
      <c r="W260" s="354"/>
      <c r="Z260" s="354"/>
      <c r="AA260" s="354"/>
      <c r="AD260" s="354"/>
      <c r="AE260" s="354"/>
      <c r="AH260" s="354"/>
    </row>
    <row r="261" spans="1:35" ht="21" customHeight="1" thickBot="1">
      <c r="A261" s="861" t="s">
        <v>475</v>
      </c>
      <c r="B261" s="862" t="s">
        <v>476</v>
      </c>
      <c r="C261" s="863">
        <v>1</v>
      </c>
      <c r="D261" s="863">
        <v>2</v>
      </c>
      <c r="E261" s="863">
        <v>3</v>
      </c>
      <c r="F261" s="880">
        <v>4</v>
      </c>
      <c r="G261" s="880">
        <v>5</v>
      </c>
      <c r="H261" s="863">
        <v>6</v>
      </c>
      <c r="I261" s="863">
        <v>7</v>
      </c>
      <c r="J261" s="863">
        <v>8</v>
      </c>
      <c r="K261" s="863">
        <v>9</v>
      </c>
      <c r="L261" s="863">
        <v>10</v>
      </c>
      <c r="M261" s="880">
        <v>11</v>
      </c>
      <c r="N261" s="880">
        <v>12</v>
      </c>
      <c r="O261" s="863">
        <v>13</v>
      </c>
      <c r="P261" s="863">
        <v>14</v>
      </c>
      <c r="Q261" s="863">
        <v>15</v>
      </c>
      <c r="R261" s="863">
        <v>16</v>
      </c>
      <c r="S261" s="863">
        <v>17</v>
      </c>
      <c r="T261" s="880">
        <v>18</v>
      </c>
      <c r="U261" s="880">
        <v>19</v>
      </c>
      <c r="V261" s="863">
        <v>20</v>
      </c>
      <c r="W261" s="863">
        <v>21</v>
      </c>
      <c r="X261" s="863">
        <v>22</v>
      </c>
      <c r="Y261" s="863">
        <v>23</v>
      </c>
      <c r="Z261" s="863">
        <v>24</v>
      </c>
      <c r="AA261" s="880">
        <v>25</v>
      </c>
      <c r="AB261" s="880">
        <v>26</v>
      </c>
      <c r="AC261" s="863">
        <v>27</v>
      </c>
      <c r="AD261" s="863">
        <v>28</v>
      </c>
      <c r="AE261" s="863">
        <v>29</v>
      </c>
      <c r="AF261" s="863">
        <v>30</v>
      </c>
      <c r="AG261" s="863">
        <v>31</v>
      </c>
      <c r="AH261" s="864" t="s">
        <v>477</v>
      </c>
      <c r="AI261" s="865" t="s">
        <v>478</v>
      </c>
    </row>
    <row r="262" spans="1:35" ht="21" customHeight="1">
      <c r="A262" s="438"/>
      <c r="B262" s="916" t="s">
        <v>718</v>
      </c>
      <c r="C262" s="768" t="s">
        <v>491</v>
      </c>
      <c r="D262" s="768" t="s">
        <v>491</v>
      </c>
      <c r="E262" s="768" t="s">
        <v>491</v>
      </c>
      <c r="F262" s="768"/>
      <c r="G262" s="768"/>
      <c r="H262" s="768" t="s">
        <v>491</v>
      </c>
      <c r="I262" s="768" t="s">
        <v>491</v>
      </c>
      <c r="J262" s="768" t="s">
        <v>491</v>
      </c>
      <c r="K262" s="768" t="s">
        <v>491</v>
      </c>
      <c r="L262" s="768" t="s">
        <v>491</v>
      </c>
      <c r="M262" s="768"/>
      <c r="N262" s="768"/>
      <c r="O262" s="768" t="s">
        <v>491</v>
      </c>
      <c r="P262" s="768" t="s">
        <v>491</v>
      </c>
      <c r="Q262" s="768" t="s">
        <v>491</v>
      </c>
      <c r="R262" s="768" t="s">
        <v>491</v>
      </c>
      <c r="S262" s="768" t="s">
        <v>491</v>
      </c>
      <c r="T262" s="768"/>
      <c r="U262" s="768"/>
      <c r="V262" s="768" t="s">
        <v>491</v>
      </c>
      <c r="W262" s="768" t="s">
        <v>491</v>
      </c>
      <c r="X262" s="768" t="s">
        <v>491</v>
      </c>
      <c r="Y262" s="768" t="s">
        <v>491</v>
      </c>
      <c r="Z262" s="768" t="s">
        <v>491</v>
      </c>
      <c r="AA262" s="768"/>
      <c r="AB262" s="768"/>
      <c r="AC262" s="768" t="s">
        <v>491</v>
      </c>
      <c r="AD262" s="768" t="s">
        <v>491</v>
      </c>
      <c r="AE262" s="768" t="s">
        <v>491</v>
      </c>
      <c r="AF262" s="768" t="s">
        <v>491</v>
      </c>
      <c r="AG262" s="768" t="s">
        <v>491</v>
      </c>
      <c r="AH262" s="909">
        <v>52</v>
      </c>
      <c r="AI262" s="910">
        <v>37</v>
      </c>
    </row>
    <row r="263" spans="1:35" ht="21" customHeight="1">
      <c r="A263" s="442"/>
      <c r="B263" s="613" t="s">
        <v>719</v>
      </c>
      <c r="C263" s="762" t="s">
        <v>491</v>
      </c>
      <c r="D263" s="762" t="s">
        <v>491</v>
      </c>
      <c r="E263" s="762" t="s">
        <v>491</v>
      </c>
      <c r="F263" s="762"/>
      <c r="G263" s="762"/>
      <c r="H263" s="762" t="s">
        <v>491</v>
      </c>
      <c r="I263" s="762" t="s">
        <v>491</v>
      </c>
      <c r="J263" s="762" t="s">
        <v>491</v>
      </c>
      <c r="K263" s="762" t="s">
        <v>491</v>
      </c>
      <c r="L263" s="762" t="s">
        <v>491</v>
      </c>
      <c r="M263" s="762"/>
      <c r="N263" s="768"/>
      <c r="O263" s="970" t="s">
        <v>491</v>
      </c>
      <c r="P263" s="966" t="s">
        <v>491</v>
      </c>
      <c r="Q263" s="966" t="s">
        <v>491</v>
      </c>
      <c r="R263" s="966" t="s">
        <v>491</v>
      </c>
      <c r="S263" s="966" t="s">
        <v>491</v>
      </c>
      <c r="T263" s="966"/>
      <c r="U263" s="966"/>
      <c r="V263" s="966" t="s">
        <v>491</v>
      </c>
      <c r="W263" s="966" t="s">
        <v>491</v>
      </c>
      <c r="X263" s="966" t="s">
        <v>491</v>
      </c>
      <c r="Y263" s="966" t="s">
        <v>491</v>
      </c>
      <c r="Z263" s="966" t="s">
        <v>491</v>
      </c>
      <c r="AA263" s="966"/>
      <c r="AB263" s="970"/>
      <c r="AC263" s="768" t="s">
        <v>491</v>
      </c>
      <c r="AD263" s="762" t="s">
        <v>491</v>
      </c>
      <c r="AE263" s="762" t="s">
        <v>491</v>
      </c>
      <c r="AF263" s="762" t="s">
        <v>491</v>
      </c>
      <c r="AG263" s="762" t="s">
        <v>491</v>
      </c>
      <c r="AH263" s="628">
        <v>1</v>
      </c>
      <c r="AI263" s="629">
        <v>37</v>
      </c>
    </row>
    <row r="264" spans="1:35" ht="21" customHeight="1">
      <c r="A264" s="442"/>
      <c r="B264" s="613" t="s">
        <v>720</v>
      </c>
      <c r="C264" s="762" t="s">
        <v>491</v>
      </c>
      <c r="D264" s="762" t="s">
        <v>491</v>
      </c>
      <c r="E264" s="762" t="s">
        <v>491</v>
      </c>
      <c r="F264" s="762"/>
      <c r="G264" s="762"/>
      <c r="H264" s="762" t="s">
        <v>491</v>
      </c>
      <c r="I264" s="762" t="s">
        <v>491</v>
      </c>
      <c r="J264" s="762" t="s">
        <v>491</v>
      </c>
      <c r="K264" s="762" t="s">
        <v>491</v>
      </c>
      <c r="L264" s="762" t="s">
        <v>491</v>
      </c>
      <c r="M264" s="762"/>
      <c r="N264" s="768"/>
      <c r="O264" s="768" t="s">
        <v>491</v>
      </c>
      <c r="P264" s="762" t="s">
        <v>491</v>
      </c>
      <c r="Q264" s="762" t="s">
        <v>491</v>
      </c>
      <c r="R264" s="762" t="s">
        <v>491</v>
      </c>
      <c r="S264" s="762" t="s">
        <v>491</v>
      </c>
      <c r="T264" s="762"/>
      <c r="U264" s="762"/>
      <c r="V264" s="762" t="s">
        <v>491</v>
      </c>
      <c r="W264" s="762" t="s">
        <v>491</v>
      </c>
      <c r="X264" s="762" t="s">
        <v>491</v>
      </c>
      <c r="Y264" s="762" t="s">
        <v>491</v>
      </c>
      <c r="Z264" s="762" t="s">
        <v>491</v>
      </c>
      <c r="AA264" s="762"/>
      <c r="AB264" s="768"/>
      <c r="AC264" s="768" t="s">
        <v>491</v>
      </c>
      <c r="AD264" s="762" t="s">
        <v>491</v>
      </c>
      <c r="AE264" s="762" t="s">
        <v>491</v>
      </c>
      <c r="AF264" s="762" t="s">
        <v>491</v>
      </c>
      <c r="AG264" s="762" t="s">
        <v>491</v>
      </c>
      <c r="AH264" s="628">
        <v>37</v>
      </c>
      <c r="AI264" s="629">
        <v>37</v>
      </c>
    </row>
    <row r="265" spans="1:35" ht="21" customHeight="1">
      <c r="A265" s="442"/>
      <c r="B265" s="613" t="s">
        <v>721</v>
      </c>
      <c r="C265" s="762" t="s">
        <v>491</v>
      </c>
      <c r="D265" s="762" t="s">
        <v>491</v>
      </c>
      <c r="E265" s="762" t="s">
        <v>491</v>
      </c>
      <c r="F265" s="762"/>
      <c r="G265" s="762"/>
      <c r="H265" s="762" t="s">
        <v>491</v>
      </c>
      <c r="I265" s="762" t="s">
        <v>491</v>
      </c>
      <c r="J265" s="762" t="s">
        <v>491</v>
      </c>
      <c r="K265" s="762" t="s">
        <v>491</v>
      </c>
      <c r="L265" s="762" t="s">
        <v>491</v>
      </c>
      <c r="M265" s="762"/>
      <c r="N265" s="768"/>
      <c r="O265" s="768" t="s">
        <v>491</v>
      </c>
      <c r="P265" s="762" t="s">
        <v>491</v>
      </c>
      <c r="Q265" s="762" t="s">
        <v>491</v>
      </c>
      <c r="R265" s="762" t="s">
        <v>491</v>
      </c>
      <c r="S265" s="762" t="s">
        <v>491</v>
      </c>
      <c r="T265" s="762"/>
      <c r="U265" s="762"/>
      <c r="V265" s="762" t="s">
        <v>491</v>
      </c>
      <c r="W265" s="762" t="s">
        <v>491</v>
      </c>
      <c r="X265" s="762" t="s">
        <v>491</v>
      </c>
      <c r="Y265" s="762" t="s">
        <v>491</v>
      </c>
      <c r="Z265" s="966" t="s">
        <v>491</v>
      </c>
      <c r="AA265" s="762"/>
      <c r="AB265" s="768"/>
      <c r="AC265" s="768" t="s">
        <v>491</v>
      </c>
      <c r="AD265" s="762" t="s">
        <v>491</v>
      </c>
      <c r="AE265" s="762" t="s">
        <v>491</v>
      </c>
      <c r="AF265" s="762" t="s">
        <v>491</v>
      </c>
      <c r="AG265" s="762" t="s">
        <v>491</v>
      </c>
      <c r="AH265" s="628">
        <v>130</v>
      </c>
      <c r="AI265" s="629">
        <v>0</v>
      </c>
    </row>
    <row r="266" spans="1:35" ht="21" customHeight="1">
      <c r="A266" s="442"/>
      <c r="B266" s="613" t="s">
        <v>722</v>
      </c>
      <c r="C266" s="762" t="s">
        <v>491</v>
      </c>
      <c r="D266" s="762" t="s">
        <v>491</v>
      </c>
      <c r="E266" s="762" t="s">
        <v>491</v>
      </c>
      <c r="F266" s="762"/>
      <c r="G266" s="762"/>
      <c r="H266" s="762" t="s">
        <v>491</v>
      </c>
      <c r="I266" s="762" t="s">
        <v>491</v>
      </c>
      <c r="J266" s="762" t="s">
        <v>491</v>
      </c>
      <c r="K266" s="762" t="s">
        <v>491</v>
      </c>
      <c r="L266" s="762" t="s">
        <v>491</v>
      </c>
      <c r="M266" s="762"/>
      <c r="N266" s="768"/>
      <c r="O266" s="970" t="s">
        <v>491</v>
      </c>
      <c r="P266" s="966" t="s">
        <v>491</v>
      </c>
      <c r="Q266" s="966" t="s">
        <v>491</v>
      </c>
      <c r="R266" s="966" t="s">
        <v>491</v>
      </c>
      <c r="S266" s="966" t="s">
        <v>491</v>
      </c>
      <c r="T266" s="762"/>
      <c r="U266" s="762"/>
      <c r="V266" s="762" t="s">
        <v>491</v>
      </c>
      <c r="W266" s="762" t="s">
        <v>491</v>
      </c>
      <c r="X266" s="762" t="s">
        <v>491</v>
      </c>
      <c r="Y266" s="762" t="s">
        <v>491</v>
      </c>
      <c r="Z266" s="762" t="s">
        <v>491</v>
      </c>
      <c r="AA266" s="762"/>
      <c r="AB266" s="768"/>
      <c r="AC266" s="768" t="s">
        <v>491</v>
      </c>
      <c r="AD266" s="762" t="s">
        <v>491</v>
      </c>
      <c r="AE266" s="762" t="s">
        <v>491</v>
      </c>
      <c r="AF266" s="762" t="s">
        <v>491</v>
      </c>
      <c r="AG266" s="762" t="s">
        <v>491</v>
      </c>
      <c r="AH266" s="628">
        <v>55</v>
      </c>
      <c r="AI266" s="629">
        <v>19</v>
      </c>
    </row>
    <row r="267" spans="1:35" ht="21" customHeight="1">
      <c r="A267" s="442"/>
      <c r="B267" s="613" t="s">
        <v>723</v>
      </c>
      <c r="C267" s="966" t="s">
        <v>491</v>
      </c>
      <c r="D267" s="966" t="s">
        <v>491</v>
      </c>
      <c r="E267" s="966" t="s">
        <v>491</v>
      </c>
      <c r="F267" s="762"/>
      <c r="G267" s="762"/>
      <c r="H267" s="762" t="s">
        <v>491</v>
      </c>
      <c r="I267" s="762" t="s">
        <v>491</v>
      </c>
      <c r="J267" s="762" t="s">
        <v>491</v>
      </c>
      <c r="K267" s="762" t="s">
        <v>491</v>
      </c>
      <c r="L267" s="762" t="s">
        <v>491</v>
      </c>
      <c r="M267" s="762"/>
      <c r="N267" s="768"/>
      <c r="O267" s="768" t="s">
        <v>491</v>
      </c>
      <c r="P267" s="978" t="s">
        <v>491</v>
      </c>
      <c r="Q267" s="978" t="s">
        <v>491</v>
      </c>
      <c r="R267" s="978" t="s">
        <v>491</v>
      </c>
      <c r="S267" s="978" t="s">
        <v>491</v>
      </c>
      <c r="T267" s="762"/>
      <c r="U267" s="762"/>
      <c r="V267" s="762" t="s">
        <v>491</v>
      </c>
      <c r="W267" s="978" t="s">
        <v>491</v>
      </c>
      <c r="X267" s="762" t="s">
        <v>491</v>
      </c>
      <c r="Y267" s="762" t="s">
        <v>491</v>
      </c>
      <c r="Z267" s="762" t="s">
        <v>491</v>
      </c>
      <c r="AA267" s="762"/>
      <c r="AB267" s="768"/>
      <c r="AC267" s="768" t="s">
        <v>491</v>
      </c>
      <c r="AD267" s="978" t="s">
        <v>491</v>
      </c>
      <c r="AE267" s="978" t="s">
        <v>491</v>
      </c>
      <c r="AF267" s="762" t="s">
        <v>491</v>
      </c>
      <c r="AG267" s="762" t="s">
        <v>491</v>
      </c>
      <c r="AH267" s="628">
        <v>42</v>
      </c>
      <c r="AI267" s="629">
        <v>37</v>
      </c>
    </row>
    <row r="268" spans="1:35" ht="21" customHeight="1">
      <c r="A268" s="442"/>
      <c r="B268" s="613" t="s">
        <v>724</v>
      </c>
      <c r="C268" s="762" t="s">
        <v>491</v>
      </c>
      <c r="D268" s="762" t="s">
        <v>491</v>
      </c>
      <c r="E268" s="762" t="s">
        <v>491</v>
      </c>
      <c r="F268" s="762"/>
      <c r="G268" s="762"/>
      <c r="H268" s="762" t="s">
        <v>491</v>
      </c>
      <c r="I268" s="762" t="s">
        <v>491</v>
      </c>
      <c r="J268" s="762" t="s">
        <v>491</v>
      </c>
      <c r="K268" s="762" t="s">
        <v>491</v>
      </c>
      <c r="L268" s="966" t="s">
        <v>491</v>
      </c>
      <c r="M268" s="762"/>
      <c r="N268" s="768"/>
      <c r="O268" s="768" t="s">
        <v>491</v>
      </c>
      <c r="P268" s="762" t="s">
        <v>491</v>
      </c>
      <c r="Q268" s="762" t="s">
        <v>491</v>
      </c>
      <c r="R268" s="762" t="s">
        <v>491</v>
      </c>
      <c r="S268" s="762" t="s">
        <v>491</v>
      </c>
      <c r="T268" s="762"/>
      <c r="U268" s="762"/>
      <c r="V268" s="762" t="s">
        <v>491</v>
      </c>
      <c r="W268" s="762" t="s">
        <v>491</v>
      </c>
      <c r="X268" s="762" t="s">
        <v>491</v>
      </c>
      <c r="Y268" s="762" t="s">
        <v>491</v>
      </c>
      <c r="Z268" s="762" t="s">
        <v>491</v>
      </c>
      <c r="AA268" s="762"/>
      <c r="AB268" s="768"/>
      <c r="AC268" s="768" t="s">
        <v>491</v>
      </c>
      <c r="AD268" s="1015" t="s">
        <v>491</v>
      </c>
      <c r="AE268" s="1015" t="s">
        <v>491</v>
      </c>
      <c r="AF268" s="1015" t="s">
        <v>491</v>
      </c>
      <c r="AG268" s="1015" t="s">
        <v>491</v>
      </c>
      <c r="AH268" s="628">
        <v>69</v>
      </c>
      <c r="AI268" s="629">
        <v>25</v>
      </c>
    </row>
    <row r="269" spans="1:35" ht="21" customHeight="1">
      <c r="A269" s="442"/>
      <c r="B269" s="613" t="s">
        <v>725</v>
      </c>
      <c r="C269" s="762" t="s">
        <v>491</v>
      </c>
      <c r="D269" s="762" t="s">
        <v>491</v>
      </c>
      <c r="E269" s="762" t="s">
        <v>491</v>
      </c>
      <c r="F269" s="762"/>
      <c r="G269" s="762"/>
      <c r="H269" s="762" t="s">
        <v>491</v>
      </c>
      <c r="I269" s="762" t="s">
        <v>491</v>
      </c>
      <c r="J269" s="762" t="s">
        <v>491</v>
      </c>
      <c r="K269" s="762" t="s">
        <v>491</v>
      </c>
      <c r="L269" s="762" t="s">
        <v>491</v>
      </c>
      <c r="M269" s="762"/>
      <c r="N269" s="768"/>
      <c r="O269" s="768" t="s">
        <v>491</v>
      </c>
      <c r="P269" s="762" t="s">
        <v>491</v>
      </c>
      <c r="Q269" s="762" t="s">
        <v>491</v>
      </c>
      <c r="R269" s="762" t="s">
        <v>491</v>
      </c>
      <c r="S269" s="978" t="s">
        <v>491</v>
      </c>
      <c r="T269" s="762"/>
      <c r="U269" s="762"/>
      <c r="V269" s="762" t="s">
        <v>491</v>
      </c>
      <c r="W269" s="762" t="s">
        <v>491</v>
      </c>
      <c r="X269" s="762" t="s">
        <v>491</v>
      </c>
      <c r="Y269" s="762" t="s">
        <v>491</v>
      </c>
      <c r="Z269" s="762" t="s">
        <v>491</v>
      </c>
      <c r="AA269" s="762"/>
      <c r="AB269" s="768"/>
      <c r="AC269" s="768" t="s">
        <v>491</v>
      </c>
      <c r="AD269" s="762" t="s">
        <v>491</v>
      </c>
      <c r="AE269" s="762" t="s">
        <v>491</v>
      </c>
      <c r="AF269" s="762" t="s">
        <v>491</v>
      </c>
      <c r="AG269" s="762" t="s">
        <v>491</v>
      </c>
      <c r="AH269" s="628">
        <v>83</v>
      </c>
      <c r="AI269" s="629">
        <v>37</v>
      </c>
    </row>
    <row r="270" spans="1:35" ht="21" customHeight="1">
      <c r="A270" s="442"/>
      <c r="B270" s="613" t="s">
        <v>726</v>
      </c>
      <c r="C270" s="762" t="s">
        <v>491</v>
      </c>
      <c r="D270" s="762" t="s">
        <v>491</v>
      </c>
      <c r="E270" s="1015" t="s">
        <v>493</v>
      </c>
      <c r="F270" s="762"/>
      <c r="G270" s="762"/>
      <c r="H270" s="1015" t="s">
        <v>491</v>
      </c>
      <c r="I270" s="1015" t="s">
        <v>491</v>
      </c>
      <c r="J270" s="1015" t="s">
        <v>491</v>
      </c>
      <c r="K270" s="1015" t="s">
        <v>491</v>
      </c>
      <c r="L270" s="1015" t="s">
        <v>491</v>
      </c>
      <c r="M270" s="1015"/>
      <c r="N270" s="1038"/>
      <c r="O270" s="1038" t="s">
        <v>491</v>
      </c>
      <c r="P270" s="1015" t="s">
        <v>491</v>
      </c>
      <c r="Q270" s="1015" t="s">
        <v>491</v>
      </c>
      <c r="R270" s="1015" t="s">
        <v>491</v>
      </c>
      <c r="S270" s="1015" t="s">
        <v>491</v>
      </c>
      <c r="T270" s="1015"/>
      <c r="U270" s="1015"/>
      <c r="V270" s="1015" t="s">
        <v>491</v>
      </c>
      <c r="W270" s="1015" t="s">
        <v>491</v>
      </c>
      <c r="X270" s="1015" t="s">
        <v>491</v>
      </c>
      <c r="Y270" s="1015" t="s">
        <v>491</v>
      </c>
      <c r="Z270" s="1015" t="s">
        <v>491</v>
      </c>
      <c r="AA270" s="1015"/>
      <c r="AB270" s="1038"/>
      <c r="AC270" s="1038" t="s">
        <v>491</v>
      </c>
      <c r="AD270" s="1015" t="s">
        <v>491</v>
      </c>
      <c r="AE270" s="1015" t="s">
        <v>491</v>
      </c>
      <c r="AF270" s="1015" t="s">
        <v>491</v>
      </c>
      <c r="AG270" s="1015" t="s">
        <v>491</v>
      </c>
      <c r="AH270" s="628">
        <v>98</v>
      </c>
      <c r="AI270" s="629">
        <v>37</v>
      </c>
    </row>
    <row r="271" spans="1:35" ht="21" customHeight="1">
      <c r="A271" s="442"/>
      <c r="B271" s="613" t="s">
        <v>727</v>
      </c>
      <c r="C271" s="762" t="s">
        <v>491</v>
      </c>
      <c r="D271" s="762" t="s">
        <v>491</v>
      </c>
      <c r="E271" s="762" t="s">
        <v>491</v>
      </c>
      <c r="F271" s="762"/>
      <c r="G271" s="762"/>
      <c r="H271" s="762" t="s">
        <v>491</v>
      </c>
      <c r="I271" s="762" t="s">
        <v>491</v>
      </c>
      <c r="J271" s="762" t="s">
        <v>491</v>
      </c>
      <c r="K271" s="1206" t="s">
        <v>491</v>
      </c>
      <c r="L271" s="966" t="s">
        <v>491</v>
      </c>
      <c r="M271" s="762"/>
      <c r="N271" s="768"/>
      <c r="O271" s="768" t="s">
        <v>491</v>
      </c>
      <c r="P271" s="762" t="s">
        <v>491</v>
      </c>
      <c r="Q271" s="762" t="s">
        <v>491</v>
      </c>
      <c r="R271" s="762" t="s">
        <v>491</v>
      </c>
      <c r="S271" s="762" t="s">
        <v>491</v>
      </c>
      <c r="T271" s="762"/>
      <c r="U271" s="762"/>
      <c r="V271" s="762" t="s">
        <v>491</v>
      </c>
      <c r="W271" s="762" t="s">
        <v>491</v>
      </c>
      <c r="X271" s="762" t="s">
        <v>491</v>
      </c>
      <c r="Y271" s="762" t="s">
        <v>491</v>
      </c>
      <c r="Z271" s="762" t="s">
        <v>491</v>
      </c>
      <c r="AA271" s="762"/>
      <c r="AB271" s="768"/>
      <c r="AC271" s="768" t="s">
        <v>491</v>
      </c>
      <c r="AD271" s="762" t="s">
        <v>491</v>
      </c>
      <c r="AE271" s="762" t="s">
        <v>491</v>
      </c>
      <c r="AF271" s="762" t="s">
        <v>491</v>
      </c>
      <c r="AG271" s="762" t="s">
        <v>491</v>
      </c>
      <c r="AH271" s="628">
        <v>69.5</v>
      </c>
      <c r="AI271" s="629">
        <v>25</v>
      </c>
    </row>
    <row r="272" spans="1:35" ht="21" customHeight="1">
      <c r="A272" s="442"/>
      <c r="B272" s="153" t="s">
        <v>728</v>
      </c>
      <c r="C272" s="762" t="s">
        <v>491</v>
      </c>
      <c r="D272" s="762" t="s">
        <v>491</v>
      </c>
      <c r="E272" s="762" t="s">
        <v>491</v>
      </c>
      <c r="F272" s="762"/>
      <c r="G272" s="762"/>
      <c r="H272" s="966" t="s">
        <v>491</v>
      </c>
      <c r="I272" s="966" t="s">
        <v>491</v>
      </c>
      <c r="J272" s="966" t="s">
        <v>491</v>
      </c>
      <c r="K272" s="966" t="s">
        <v>491</v>
      </c>
      <c r="L272" s="966" t="s">
        <v>491</v>
      </c>
      <c r="M272" s="762"/>
      <c r="N272" s="768"/>
      <c r="O272" s="768" t="s">
        <v>491</v>
      </c>
      <c r="P272" s="762" t="s">
        <v>491</v>
      </c>
      <c r="Q272" s="762" t="s">
        <v>491</v>
      </c>
      <c r="R272" s="762" t="s">
        <v>491</v>
      </c>
      <c r="S272" s="762" t="s">
        <v>491</v>
      </c>
      <c r="T272" s="762"/>
      <c r="U272" s="762"/>
      <c r="V272" s="762" t="s">
        <v>491</v>
      </c>
      <c r="W272" s="762" t="s">
        <v>491</v>
      </c>
      <c r="X272" s="762" t="s">
        <v>491</v>
      </c>
      <c r="Y272" s="762" t="s">
        <v>491</v>
      </c>
      <c r="Z272" s="762" t="s">
        <v>491</v>
      </c>
      <c r="AA272" s="762"/>
      <c r="AB272" s="768"/>
      <c r="AC272" s="768" t="s">
        <v>491</v>
      </c>
      <c r="AD272" s="762" t="s">
        <v>491</v>
      </c>
      <c r="AE272" s="762" t="s">
        <v>491</v>
      </c>
      <c r="AF272" s="762" t="s">
        <v>491</v>
      </c>
      <c r="AG272" s="762" t="s">
        <v>491</v>
      </c>
      <c r="AH272" s="628">
        <v>38</v>
      </c>
      <c r="AI272" s="629">
        <v>0</v>
      </c>
    </row>
    <row r="273" spans="1:35" ht="21" customHeight="1">
      <c r="A273" s="442"/>
      <c r="B273" s="153" t="s">
        <v>729</v>
      </c>
      <c r="C273" s="762" t="s">
        <v>491</v>
      </c>
      <c r="D273" s="762" t="s">
        <v>491</v>
      </c>
      <c r="E273" s="762" t="s">
        <v>491</v>
      </c>
      <c r="F273" s="762"/>
      <c r="G273" s="762"/>
      <c r="H273" s="762" t="s">
        <v>491</v>
      </c>
      <c r="I273" s="762" t="s">
        <v>491</v>
      </c>
      <c r="J273" s="762" t="s">
        <v>491</v>
      </c>
      <c r="K273" s="762" t="s">
        <v>491</v>
      </c>
      <c r="L273" s="762" t="s">
        <v>491</v>
      </c>
      <c r="M273" s="762"/>
      <c r="N273" s="768"/>
      <c r="O273" s="768" t="s">
        <v>491</v>
      </c>
      <c r="P273" s="762" t="s">
        <v>491</v>
      </c>
      <c r="Q273" s="762" t="s">
        <v>491</v>
      </c>
      <c r="R273" s="762" t="s">
        <v>491</v>
      </c>
      <c r="S273" s="762" t="s">
        <v>491</v>
      </c>
      <c r="T273" s="762"/>
      <c r="U273" s="762"/>
      <c r="V273" s="762" t="s">
        <v>491</v>
      </c>
      <c r="W273" s="762" t="s">
        <v>491</v>
      </c>
      <c r="X273" s="762" t="s">
        <v>491</v>
      </c>
      <c r="Y273" s="762" t="s">
        <v>491</v>
      </c>
      <c r="Z273" s="762" t="s">
        <v>491</v>
      </c>
      <c r="AA273" s="762"/>
      <c r="AB273" s="768"/>
      <c r="AC273" s="768" t="s">
        <v>491</v>
      </c>
      <c r="AD273" s="762" t="s">
        <v>491</v>
      </c>
      <c r="AE273" s="762" t="s">
        <v>491</v>
      </c>
      <c r="AF273" s="1015" t="s">
        <v>491</v>
      </c>
      <c r="AG273" s="1015" t="s">
        <v>491</v>
      </c>
      <c r="AH273" s="628">
        <v>68</v>
      </c>
      <c r="AI273" s="629">
        <v>0</v>
      </c>
    </row>
    <row r="274" spans="1:35" ht="21" customHeight="1">
      <c r="A274" s="134"/>
      <c r="B274" s="134" t="s">
        <v>730</v>
      </c>
      <c r="C274" s="848" t="s">
        <v>491</v>
      </c>
      <c r="D274" s="848" t="s">
        <v>491</v>
      </c>
      <c r="E274" s="848" t="s">
        <v>491</v>
      </c>
      <c r="F274" s="848"/>
      <c r="G274" s="848"/>
      <c r="H274" s="848" t="s">
        <v>491</v>
      </c>
      <c r="I274" s="848" t="s">
        <v>491</v>
      </c>
      <c r="J274" s="848" t="s">
        <v>491</v>
      </c>
      <c r="K274" s="848" t="s">
        <v>491</v>
      </c>
      <c r="L274" s="848" t="s">
        <v>491</v>
      </c>
      <c r="M274" s="848"/>
      <c r="N274" s="772"/>
      <c r="O274" s="1086" t="s">
        <v>491</v>
      </c>
      <c r="P274" s="1207" t="s">
        <v>491</v>
      </c>
      <c r="Q274" s="1207" t="s">
        <v>491</v>
      </c>
      <c r="R274" s="1207" t="s">
        <v>491</v>
      </c>
      <c r="S274" s="1207" t="s">
        <v>491</v>
      </c>
      <c r="T274" s="848"/>
      <c r="U274" s="848"/>
      <c r="V274" s="848" t="s">
        <v>491</v>
      </c>
      <c r="W274" s="848" t="s">
        <v>491</v>
      </c>
      <c r="X274" s="848" t="s">
        <v>491</v>
      </c>
      <c r="Y274" s="1208" t="s">
        <v>491</v>
      </c>
      <c r="Z274" s="848" t="s">
        <v>491</v>
      </c>
      <c r="AA274" s="848"/>
      <c r="AB274" s="772"/>
      <c r="AC274" s="772" t="s">
        <v>491</v>
      </c>
      <c r="AD274" s="848" t="s">
        <v>491</v>
      </c>
      <c r="AE274" s="848" t="s">
        <v>491</v>
      </c>
      <c r="AF274" s="848" t="s">
        <v>491</v>
      </c>
      <c r="AG274" s="848" t="s">
        <v>491</v>
      </c>
      <c r="AH274" s="849">
        <v>45</v>
      </c>
      <c r="AI274" s="850">
        <v>18</v>
      </c>
    </row>
    <row r="275" spans="1:35" ht="21" customHeight="1" thickBot="1">
      <c r="A275" s="917"/>
      <c r="B275" s="917" t="s">
        <v>731</v>
      </c>
      <c r="C275" s="1087" t="s">
        <v>491</v>
      </c>
      <c r="D275" s="1087" t="s">
        <v>491</v>
      </c>
      <c r="E275" s="1087" t="s">
        <v>491</v>
      </c>
      <c r="F275" s="1087"/>
      <c r="G275" s="1087"/>
      <c r="H275" s="1087" t="s">
        <v>491</v>
      </c>
      <c r="I275" s="1087" t="s">
        <v>491</v>
      </c>
      <c r="J275" s="1087" t="s">
        <v>491</v>
      </c>
      <c r="K275" s="1087" t="s">
        <v>491</v>
      </c>
      <c r="L275" s="1087" t="s">
        <v>491</v>
      </c>
      <c r="M275" s="1087"/>
      <c r="N275" s="1205"/>
      <c r="O275" s="1205" t="s">
        <v>491</v>
      </c>
      <c r="P275" s="1087" t="s">
        <v>491</v>
      </c>
      <c r="Q275" s="1087" t="s">
        <v>491</v>
      </c>
      <c r="R275" s="1087" t="s">
        <v>491</v>
      </c>
      <c r="S275" s="1087" t="s">
        <v>491</v>
      </c>
      <c r="T275" s="1087"/>
      <c r="U275" s="1087"/>
      <c r="V275" s="1087" t="s">
        <v>491</v>
      </c>
      <c r="W275" s="1087" t="s">
        <v>491</v>
      </c>
      <c r="X275" s="1087" t="s">
        <v>491</v>
      </c>
      <c r="Y275" s="1087" t="s">
        <v>491</v>
      </c>
      <c r="Z275" s="1087" t="s">
        <v>491</v>
      </c>
      <c r="AA275" s="1087"/>
      <c r="AB275" s="1205"/>
      <c r="AC275" s="1205" t="s">
        <v>491</v>
      </c>
      <c r="AD275" s="1087" t="s">
        <v>491</v>
      </c>
      <c r="AE275" s="1087" t="s">
        <v>491</v>
      </c>
      <c r="AF275" s="1087" t="s">
        <v>491</v>
      </c>
      <c r="AG275" s="1087" t="s">
        <v>491</v>
      </c>
      <c r="AH275" s="914">
        <v>185</v>
      </c>
      <c r="AI275" s="915">
        <v>37</v>
      </c>
    </row>
  </sheetData>
  <sheetProtection password="CC44" sheet="1" objects="1" scenarios="1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59" max="16383" man="1"/>
  </rowBreaks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42"/>
  <dimension ref="A1:AL274"/>
  <sheetViews>
    <sheetView topLeftCell="A67" zoomScale="65" zoomScaleNormal="65" workbookViewId="0">
      <selection activeCell="AJ84" sqref="AJ84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449</v>
      </c>
    </row>
    <row r="2" spans="1:35" ht="13.35" customHeight="1">
      <c r="B2" s="443" t="s">
        <v>450</v>
      </c>
      <c r="C2" s="444" t="s">
        <v>451</v>
      </c>
      <c r="D2" s="445"/>
      <c r="E2" s="446" t="s">
        <v>452</v>
      </c>
      <c r="F2" s="447"/>
      <c r="G2" s="448"/>
      <c r="H2" s="448"/>
      <c r="I2" s="448"/>
      <c r="J2" s="448"/>
      <c r="K2" s="449"/>
      <c r="L2" s="450" t="s">
        <v>453</v>
      </c>
      <c r="M2" s="451"/>
      <c r="N2" s="380"/>
      <c r="O2" s="452" t="s">
        <v>454</v>
      </c>
      <c r="P2" s="453"/>
      <c r="Q2" s="454"/>
      <c r="R2" s="455"/>
      <c r="S2" s="456" t="s">
        <v>455</v>
      </c>
      <c r="T2" s="457"/>
      <c r="U2" s="458"/>
      <c r="V2" s="457"/>
      <c r="W2" s="459" t="s">
        <v>456</v>
      </c>
      <c r="X2" s="368"/>
      <c r="Y2" s="460"/>
      <c r="Z2" s="461" t="s">
        <v>457</v>
      </c>
      <c r="AA2" s="462"/>
      <c r="AB2" s="463"/>
      <c r="AC2" s="464"/>
      <c r="AD2" s="465" t="s">
        <v>458</v>
      </c>
      <c r="AE2" s="466"/>
      <c r="AF2" s="466"/>
      <c r="AG2" s="467"/>
    </row>
    <row r="3" spans="1:35" ht="13.35" customHeight="1">
      <c r="A3" s="1"/>
      <c r="B3" s="468" t="s">
        <v>459</v>
      </c>
      <c r="C3" s="469" t="s">
        <v>460</v>
      </c>
      <c r="D3" s="470"/>
      <c r="E3" s="471"/>
      <c r="F3" s="472"/>
      <c r="G3" s="472"/>
      <c r="H3" s="473" t="s">
        <v>461</v>
      </c>
      <c r="I3" s="474"/>
      <c r="J3" s="474"/>
      <c r="K3" s="475"/>
      <c r="L3" s="476" t="s">
        <v>462</v>
      </c>
      <c r="M3" s="157"/>
      <c r="N3" s="477"/>
      <c r="O3" s="474"/>
      <c r="P3" s="474"/>
      <c r="Q3" s="474"/>
      <c r="R3" s="474"/>
      <c r="S3" s="55"/>
      <c r="T3" s="478" t="s">
        <v>463</v>
      </c>
      <c r="U3" s="479"/>
      <c r="V3" s="480"/>
      <c r="W3" s="481"/>
      <c r="X3" s="482"/>
      <c r="Y3" s="473" t="s">
        <v>464</v>
      </c>
      <c r="Z3" s="157"/>
      <c r="AA3" s="157"/>
      <c r="AB3" s="483"/>
      <c r="AC3" s="484"/>
      <c r="AD3" s="485" t="s">
        <v>465</v>
      </c>
      <c r="AE3" s="486"/>
      <c r="AF3" s="486"/>
      <c r="AG3" s="487"/>
    </row>
    <row r="4" spans="1:35" ht="13.35" customHeight="1">
      <c r="A4" s="1" t="s">
        <v>776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 t="s">
        <v>14</v>
      </c>
      <c r="B5" s="1"/>
    </row>
    <row r="6" spans="1:35" ht="21.95" customHeight="1">
      <c r="A6" s="488" t="s">
        <v>467</v>
      </c>
      <c r="B6" s="157"/>
      <c r="C6" s="489"/>
      <c r="D6" s="488" t="s">
        <v>468</v>
      </c>
      <c r="E6" s="157"/>
      <c r="F6" s="157"/>
      <c r="G6" s="157"/>
      <c r="H6" s="490"/>
      <c r="I6" s="157"/>
      <c r="J6" s="157"/>
      <c r="K6" s="157"/>
      <c r="L6" s="488" t="s">
        <v>769</v>
      </c>
      <c r="M6" s="157"/>
      <c r="N6" s="157"/>
      <c r="O6" s="157"/>
      <c r="P6" s="157"/>
      <c r="Q6" s="157"/>
      <c r="R6" s="157"/>
      <c r="S6" s="489"/>
      <c r="T6" s="491" t="s">
        <v>470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35" ht="21.95" customHeight="1">
      <c r="A7" s="488" t="s">
        <v>471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472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35" ht="21.95" customHeight="1">
      <c r="A8" s="496" t="s">
        <v>473</v>
      </c>
      <c r="L8" s="496"/>
      <c r="AB8" s="1"/>
    </row>
    <row r="9" spans="1:35" ht="21.95" customHeight="1" thickBot="1">
      <c r="B9" s="497" t="s">
        <v>474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35" ht="21.95" customHeight="1">
      <c r="A10" s="442" t="s">
        <v>475</v>
      </c>
      <c r="B10" s="297" t="s">
        <v>476</v>
      </c>
      <c r="C10" s="788">
        <v>1</v>
      </c>
      <c r="D10" s="788">
        <v>2</v>
      </c>
      <c r="E10" s="787">
        <v>3</v>
      </c>
      <c r="F10" s="787">
        <v>4</v>
      </c>
      <c r="G10" s="787">
        <v>5</v>
      </c>
      <c r="H10" s="787">
        <v>6</v>
      </c>
      <c r="I10" s="766">
        <v>7</v>
      </c>
      <c r="J10" s="830">
        <v>8</v>
      </c>
      <c r="K10" s="788">
        <v>9</v>
      </c>
      <c r="L10" s="787">
        <v>10</v>
      </c>
      <c r="M10" s="787">
        <v>11</v>
      </c>
      <c r="N10" s="787">
        <v>12</v>
      </c>
      <c r="O10" s="787">
        <v>13</v>
      </c>
      <c r="P10" s="766">
        <v>14</v>
      </c>
      <c r="Q10" s="830">
        <v>15</v>
      </c>
      <c r="R10" s="788">
        <v>16</v>
      </c>
      <c r="S10" s="787">
        <v>17</v>
      </c>
      <c r="T10" s="787">
        <v>18</v>
      </c>
      <c r="U10" s="787">
        <v>19</v>
      </c>
      <c r="V10" s="766">
        <v>20</v>
      </c>
      <c r="W10" s="766">
        <v>21</v>
      </c>
      <c r="X10" s="830">
        <v>22</v>
      </c>
      <c r="Y10" s="788">
        <v>23</v>
      </c>
      <c r="Z10" s="787">
        <v>24</v>
      </c>
      <c r="AA10" s="787">
        <v>25</v>
      </c>
      <c r="AB10" s="787">
        <v>26</v>
      </c>
      <c r="AC10" s="787">
        <v>27</v>
      </c>
      <c r="AD10" s="766">
        <v>28</v>
      </c>
      <c r="AE10" s="830">
        <v>29</v>
      </c>
      <c r="AF10" s="788">
        <v>30</v>
      </c>
      <c r="AG10" s="787"/>
      <c r="AH10" s="498" t="s">
        <v>477</v>
      </c>
      <c r="AI10" s="499" t="s">
        <v>478</v>
      </c>
    </row>
    <row r="11" spans="1:35" ht="21.95" customHeight="1">
      <c r="A11" s="500"/>
      <c r="B11" s="501"/>
      <c r="C11" s="768"/>
      <c r="D11" s="768"/>
      <c r="E11" s="768"/>
      <c r="F11" s="768"/>
      <c r="G11" s="768"/>
      <c r="H11" s="768"/>
      <c r="I11" s="768"/>
      <c r="J11" s="768"/>
      <c r="K11" s="768"/>
      <c r="L11" s="768"/>
      <c r="M11" s="768"/>
      <c r="N11" s="768"/>
      <c r="O11" s="768"/>
      <c r="P11" s="768"/>
      <c r="Q11" s="768"/>
      <c r="R11" s="768"/>
      <c r="S11" s="768"/>
      <c r="T11" s="768"/>
      <c r="U11" s="768"/>
      <c r="V11" s="768"/>
      <c r="W11" s="768"/>
      <c r="X11" s="768"/>
      <c r="Y11" s="768"/>
      <c r="Z11" s="768"/>
      <c r="AA11" s="768"/>
      <c r="AB11" s="768"/>
      <c r="AC11" s="768"/>
      <c r="AD11" s="768"/>
      <c r="AE11" s="768"/>
      <c r="AF11" s="768"/>
      <c r="AG11" s="502"/>
      <c r="AH11" s="924"/>
      <c r="AI11" s="925"/>
    </row>
    <row r="12" spans="1:35" ht="21.95" customHeight="1">
      <c r="A12" s="503" t="s">
        <v>479</v>
      </c>
      <c r="B12" s="457"/>
      <c r="C12" s="504"/>
      <c r="D12" s="504"/>
      <c r="E12" s="504"/>
      <c r="F12" s="504"/>
      <c r="G12" s="504"/>
      <c r="H12" s="504"/>
      <c r="I12" s="504"/>
      <c r="J12" s="504"/>
      <c r="K12" s="504"/>
      <c r="L12" s="504"/>
      <c r="M12" s="504"/>
      <c r="N12" s="504"/>
      <c r="O12" s="504"/>
      <c r="P12" s="504"/>
      <c r="Q12" s="504"/>
      <c r="R12" s="504"/>
      <c r="S12" s="504"/>
      <c r="T12" s="504"/>
      <c r="U12" s="504"/>
      <c r="V12" s="504"/>
      <c r="W12" s="504"/>
      <c r="X12" s="504"/>
      <c r="Y12" s="504"/>
      <c r="Z12" s="504"/>
      <c r="AA12" s="504"/>
      <c r="AB12" s="504"/>
      <c r="AC12" s="504"/>
      <c r="AD12" s="504"/>
      <c r="AE12" s="504"/>
      <c r="AF12" s="504"/>
      <c r="AG12" s="505"/>
      <c r="AH12" s="506"/>
      <c r="AI12" s="507"/>
    </row>
    <row r="13" spans="1:35" ht="21.95" customHeight="1">
      <c r="A13" s="508">
        <v>8546</v>
      </c>
      <c r="B13" s="509" t="s">
        <v>480</v>
      </c>
      <c r="C13" s="764" t="s">
        <v>482</v>
      </c>
      <c r="D13" s="764" t="s">
        <v>482</v>
      </c>
      <c r="E13" s="764" t="s">
        <v>481</v>
      </c>
      <c r="F13" s="764" t="s">
        <v>481</v>
      </c>
      <c r="G13" s="764" t="s">
        <v>481</v>
      </c>
      <c r="H13" s="768" t="s">
        <v>481</v>
      </c>
      <c r="I13" s="764" t="s">
        <v>481</v>
      </c>
      <c r="J13" s="764"/>
      <c r="K13" s="764"/>
      <c r="L13" s="964">
        <v>1</v>
      </c>
      <c r="M13" s="964">
        <v>1</v>
      </c>
      <c r="N13" s="964">
        <v>1</v>
      </c>
      <c r="O13" s="768">
        <v>1</v>
      </c>
      <c r="P13" s="964">
        <v>1</v>
      </c>
      <c r="Q13" s="764"/>
      <c r="R13" s="764"/>
      <c r="S13" s="764">
        <v>2</v>
      </c>
      <c r="T13" s="764">
        <v>2</v>
      </c>
      <c r="U13" s="764">
        <v>2</v>
      </c>
      <c r="V13" s="764">
        <v>2</v>
      </c>
      <c r="W13" s="764">
        <v>2</v>
      </c>
      <c r="X13" s="764" t="s">
        <v>484</v>
      </c>
      <c r="Y13" s="764" t="s">
        <v>484</v>
      </c>
      <c r="Z13" s="764" t="s">
        <v>481</v>
      </c>
      <c r="AA13" s="764" t="s">
        <v>481</v>
      </c>
      <c r="AB13" s="764" t="s">
        <v>481</v>
      </c>
      <c r="AC13" s="764" t="s">
        <v>481</v>
      </c>
      <c r="AD13" s="764" t="s">
        <v>481</v>
      </c>
      <c r="AE13" s="764"/>
      <c r="AF13" s="764"/>
      <c r="AG13" s="771"/>
      <c r="AH13" s="924">
        <v>47</v>
      </c>
      <c r="AI13" s="925">
        <v>37</v>
      </c>
    </row>
    <row r="14" spans="1:35" ht="21.95" customHeight="1">
      <c r="A14" s="500">
        <v>8546</v>
      </c>
      <c r="B14" s="347" t="s">
        <v>483</v>
      </c>
      <c r="C14" s="768"/>
      <c r="D14" s="768"/>
      <c r="E14" s="768">
        <v>3</v>
      </c>
      <c r="F14" s="768">
        <v>3</v>
      </c>
      <c r="G14" s="768">
        <v>3</v>
      </c>
      <c r="H14" s="768">
        <v>3</v>
      </c>
      <c r="I14" s="768">
        <v>3</v>
      </c>
      <c r="J14" s="768"/>
      <c r="K14" s="768"/>
      <c r="L14" s="768">
        <v>4</v>
      </c>
      <c r="M14" s="768">
        <v>4</v>
      </c>
      <c r="N14" s="768">
        <v>4</v>
      </c>
      <c r="O14" s="768">
        <v>4</v>
      </c>
      <c r="P14" s="768">
        <v>4</v>
      </c>
      <c r="Q14" s="768" t="s">
        <v>482</v>
      </c>
      <c r="R14" s="768" t="s">
        <v>482</v>
      </c>
      <c r="S14" s="768" t="s">
        <v>481</v>
      </c>
      <c r="T14" s="768" t="s">
        <v>481</v>
      </c>
      <c r="U14" s="768" t="s">
        <v>481</v>
      </c>
      <c r="V14" s="768" t="s">
        <v>481</v>
      </c>
      <c r="W14" s="768" t="s">
        <v>481</v>
      </c>
      <c r="X14" s="768"/>
      <c r="Y14" s="768"/>
      <c r="Z14" s="768">
        <v>1</v>
      </c>
      <c r="AA14" s="768">
        <v>1</v>
      </c>
      <c r="AB14" s="768">
        <v>1</v>
      </c>
      <c r="AC14" s="768">
        <v>1</v>
      </c>
      <c r="AD14" s="768">
        <v>1</v>
      </c>
      <c r="AE14" s="768"/>
      <c r="AF14" s="768"/>
      <c r="AG14" s="769"/>
      <c r="AH14" s="924">
        <v>82.5</v>
      </c>
      <c r="AI14" s="925">
        <v>37</v>
      </c>
    </row>
    <row r="15" spans="1:35" ht="21.95" customHeight="1" thickBot="1">
      <c r="A15" s="500">
        <v>8546</v>
      </c>
      <c r="B15" s="347" t="s">
        <v>174</v>
      </c>
      <c r="C15" s="970"/>
      <c r="D15" s="970"/>
      <c r="E15" s="768">
        <v>4</v>
      </c>
      <c r="F15" s="768">
        <v>4</v>
      </c>
      <c r="G15" s="768">
        <v>4</v>
      </c>
      <c r="H15" s="768">
        <v>4</v>
      </c>
      <c r="I15" s="768">
        <v>4</v>
      </c>
      <c r="J15" s="768" t="s">
        <v>482</v>
      </c>
      <c r="K15" s="768" t="s">
        <v>482</v>
      </c>
      <c r="L15" s="768" t="s">
        <v>481</v>
      </c>
      <c r="M15" s="768" t="s">
        <v>481</v>
      </c>
      <c r="N15" s="768" t="s">
        <v>481</v>
      </c>
      <c r="O15" s="761" t="s">
        <v>481</v>
      </c>
      <c r="P15" s="768" t="s">
        <v>481</v>
      </c>
      <c r="Q15" s="768"/>
      <c r="R15" s="768"/>
      <c r="S15" s="768">
        <v>1</v>
      </c>
      <c r="T15" s="768">
        <v>1</v>
      </c>
      <c r="U15" s="768">
        <v>1</v>
      </c>
      <c r="V15" s="977">
        <v>1</v>
      </c>
      <c r="W15" s="977">
        <v>1</v>
      </c>
      <c r="X15" s="768"/>
      <c r="Y15" s="768"/>
      <c r="Z15" s="768">
        <v>2</v>
      </c>
      <c r="AA15" s="768">
        <v>2</v>
      </c>
      <c r="AB15" s="768">
        <v>2</v>
      </c>
      <c r="AC15" s="768">
        <v>2</v>
      </c>
      <c r="AD15" s="768">
        <v>2</v>
      </c>
      <c r="AE15" s="768" t="s">
        <v>484</v>
      </c>
      <c r="AF15" s="768" t="s">
        <v>484</v>
      </c>
      <c r="AG15" s="769"/>
      <c r="AH15" s="924">
        <v>7.25</v>
      </c>
      <c r="AI15" s="925">
        <v>37</v>
      </c>
    </row>
    <row r="16" spans="1:35" ht="21.95" customHeight="1">
      <c r="A16" s="500">
        <v>8546</v>
      </c>
      <c r="B16" s="347" t="s">
        <v>486</v>
      </c>
      <c r="C16" s="768"/>
      <c r="D16" s="768"/>
      <c r="E16" s="768">
        <v>2</v>
      </c>
      <c r="F16" s="768">
        <v>2</v>
      </c>
      <c r="G16" s="768">
        <v>2</v>
      </c>
      <c r="H16" s="768">
        <v>2</v>
      </c>
      <c r="I16" s="768">
        <v>2</v>
      </c>
      <c r="J16" s="768" t="s">
        <v>484</v>
      </c>
      <c r="K16" s="977" t="s">
        <v>484</v>
      </c>
      <c r="L16" s="768" t="s">
        <v>481</v>
      </c>
      <c r="M16" s="768" t="s">
        <v>481</v>
      </c>
      <c r="N16" s="768" t="s">
        <v>481</v>
      </c>
      <c r="O16" s="768" t="s">
        <v>481</v>
      </c>
      <c r="P16" s="768" t="s">
        <v>481</v>
      </c>
      <c r="Q16" s="768"/>
      <c r="R16" s="768"/>
      <c r="S16" s="768">
        <v>3</v>
      </c>
      <c r="T16" s="768">
        <v>3</v>
      </c>
      <c r="U16" s="768">
        <v>3</v>
      </c>
      <c r="V16" s="768">
        <v>3</v>
      </c>
      <c r="W16" s="768">
        <v>3</v>
      </c>
      <c r="X16" s="768"/>
      <c r="Y16" s="768"/>
      <c r="Z16" s="970">
        <v>4</v>
      </c>
      <c r="AA16" s="970">
        <v>4</v>
      </c>
      <c r="AB16" s="970">
        <v>4</v>
      </c>
      <c r="AC16" s="970">
        <v>4</v>
      </c>
      <c r="AD16" s="970">
        <v>4</v>
      </c>
      <c r="AE16" s="970" t="s">
        <v>482</v>
      </c>
      <c r="AF16" s="970" t="s">
        <v>482</v>
      </c>
      <c r="AG16" s="769"/>
      <c r="AH16" s="924">
        <v>1.5</v>
      </c>
      <c r="AI16" s="925">
        <v>37</v>
      </c>
    </row>
    <row r="17" spans="1:37" ht="21.95" customHeight="1">
      <c r="A17" s="500">
        <v>8546</v>
      </c>
      <c r="B17" s="347" t="s">
        <v>487</v>
      </c>
      <c r="C17" s="768"/>
      <c r="D17" s="768"/>
      <c r="E17" s="970">
        <v>1</v>
      </c>
      <c r="F17" s="970">
        <v>1</v>
      </c>
      <c r="G17" s="970">
        <v>1</v>
      </c>
      <c r="H17" s="970">
        <v>1</v>
      </c>
      <c r="I17" s="970">
        <v>1</v>
      </c>
      <c r="J17" s="970"/>
      <c r="K17" s="970"/>
      <c r="L17" s="970">
        <v>2</v>
      </c>
      <c r="M17" s="970">
        <v>2</v>
      </c>
      <c r="N17" s="970">
        <v>2</v>
      </c>
      <c r="O17" s="970">
        <v>2</v>
      </c>
      <c r="P17" s="970">
        <v>2</v>
      </c>
      <c r="Q17" s="980" t="s">
        <v>484</v>
      </c>
      <c r="R17" s="980" t="s">
        <v>484</v>
      </c>
      <c r="S17" s="768" t="s">
        <v>481</v>
      </c>
      <c r="T17" s="768" t="s">
        <v>481</v>
      </c>
      <c r="U17" s="768" t="s">
        <v>481</v>
      </c>
      <c r="V17" s="768" t="s">
        <v>481</v>
      </c>
      <c r="W17" s="768" t="s">
        <v>481</v>
      </c>
      <c r="X17" s="768"/>
      <c r="Y17" s="768"/>
      <c r="Z17" s="980">
        <v>3</v>
      </c>
      <c r="AA17" s="768">
        <v>3</v>
      </c>
      <c r="AB17" s="768">
        <v>3</v>
      </c>
      <c r="AC17" s="768">
        <v>3</v>
      </c>
      <c r="AD17" s="768">
        <v>3</v>
      </c>
      <c r="AE17" s="768"/>
      <c r="AF17" s="768"/>
      <c r="AG17" s="769"/>
      <c r="AH17" s="924">
        <v>0</v>
      </c>
      <c r="AI17" s="925">
        <v>5.75</v>
      </c>
    </row>
    <row r="18" spans="1:37" ht="21.95" customHeight="1">
      <c r="A18" s="500">
        <v>8546</v>
      </c>
      <c r="B18" s="347" t="s">
        <v>488</v>
      </c>
      <c r="C18" s="768" t="s">
        <v>484</v>
      </c>
      <c r="D18" s="768" t="s">
        <v>484</v>
      </c>
      <c r="E18" s="768" t="s">
        <v>481</v>
      </c>
      <c r="F18" s="768" t="s">
        <v>481</v>
      </c>
      <c r="G18" s="768" t="s">
        <v>481</v>
      </c>
      <c r="H18" s="768" t="s">
        <v>481</v>
      </c>
      <c r="I18" s="768" t="s">
        <v>481</v>
      </c>
      <c r="J18" s="768"/>
      <c r="K18" s="768"/>
      <c r="L18" s="768">
        <v>3</v>
      </c>
      <c r="M18" s="1007">
        <v>3</v>
      </c>
      <c r="N18" s="768">
        <v>3</v>
      </c>
      <c r="O18" s="768">
        <v>3</v>
      </c>
      <c r="P18" s="977">
        <v>3</v>
      </c>
      <c r="Q18" s="768"/>
      <c r="R18" s="768"/>
      <c r="S18" s="768">
        <v>4</v>
      </c>
      <c r="T18" s="768">
        <v>4</v>
      </c>
      <c r="U18" s="768">
        <v>4</v>
      </c>
      <c r="V18" s="768">
        <v>4</v>
      </c>
      <c r="W18" s="768">
        <v>4</v>
      </c>
      <c r="X18" s="768" t="s">
        <v>482</v>
      </c>
      <c r="Y18" s="768" t="s">
        <v>482</v>
      </c>
      <c r="Z18" s="768" t="s">
        <v>481</v>
      </c>
      <c r="AA18" s="768" t="s">
        <v>481</v>
      </c>
      <c r="AB18" s="768" t="s">
        <v>481</v>
      </c>
      <c r="AC18" s="768" t="s">
        <v>481</v>
      </c>
      <c r="AD18" s="768" t="s">
        <v>481</v>
      </c>
      <c r="AE18" s="768"/>
      <c r="AF18" s="768"/>
      <c r="AG18" s="769"/>
      <c r="AH18" s="924">
        <v>13</v>
      </c>
      <c r="AI18" s="925">
        <v>37</v>
      </c>
    </row>
    <row r="19" spans="1:37" ht="21.95" customHeight="1">
      <c r="A19" s="512" t="s">
        <v>489</v>
      </c>
      <c r="B19" s="513"/>
      <c r="C19" s="504"/>
      <c r="D19" s="504"/>
      <c r="E19" s="504"/>
      <c r="F19" s="504"/>
      <c r="G19" s="504"/>
      <c r="H19" s="504"/>
      <c r="I19" s="504"/>
      <c r="J19" s="504"/>
      <c r="K19" s="504"/>
      <c r="L19" s="504"/>
      <c r="M19" s="504"/>
      <c r="N19" s="504"/>
      <c r="O19" s="504"/>
      <c r="P19" s="504"/>
      <c r="Q19" s="504"/>
      <c r="R19" s="504"/>
      <c r="S19" s="504"/>
      <c r="T19" s="504"/>
      <c r="U19" s="504"/>
      <c r="V19" s="504"/>
      <c r="W19" s="504"/>
      <c r="X19" s="504"/>
      <c r="Y19" s="504"/>
      <c r="Z19" s="504"/>
      <c r="AA19" s="504"/>
      <c r="AB19" s="504"/>
      <c r="AC19" s="504"/>
      <c r="AD19" s="504"/>
      <c r="AE19" s="504"/>
      <c r="AF19" s="504"/>
      <c r="AG19" s="505"/>
      <c r="AH19" s="506"/>
      <c r="AI19" s="507"/>
    </row>
    <row r="20" spans="1:37" ht="21.95" customHeight="1">
      <c r="A20" s="500">
        <v>8500</v>
      </c>
      <c r="B20" s="186" t="s">
        <v>188</v>
      </c>
      <c r="C20" s="768"/>
      <c r="D20" s="768"/>
      <c r="E20" s="768" t="s">
        <v>491</v>
      </c>
      <c r="F20" s="768" t="s">
        <v>491</v>
      </c>
      <c r="G20" s="768" t="s">
        <v>491</v>
      </c>
      <c r="H20" s="768" t="s">
        <v>491</v>
      </c>
      <c r="I20" s="768" t="s">
        <v>491</v>
      </c>
      <c r="J20" s="768"/>
      <c r="K20" s="768"/>
      <c r="L20" s="768" t="s">
        <v>491</v>
      </c>
      <c r="M20" s="768" t="s">
        <v>491</v>
      </c>
      <c r="N20" s="768" t="s">
        <v>491</v>
      </c>
      <c r="O20" s="768" t="s">
        <v>491</v>
      </c>
      <c r="P20" s="768" t="s">
        <v>491</v>
      </c>
      <c r="Q20" s="1044" t="s">
        <v>484</v>
      </c>
      <c r="R20" s="768"/>
      <c r="S20" s="768" t="s">
        <v>491</v>
      </c>
      <c r="T20" s="1038" t="s">
        <v>491</v>
      </c>
      <c r="U20" s="1038" t="s">
        <v>491</v>
      </c>
      <c r="V20" s="1038" t="s">
        <v>491</v>
      </c>
      <c r="W20" s="1038" t="s">
        <v>491</v>
      </c>
      <c r="X20" s="1038"/>
      <c r="Y20" s="1038"/>
      <c r="Z20" s="1038" t="s">
        <v>491</v>
      </c>
      <c r="AA20" s="1038" t="s">
        <v>491</v>
      </c>
      <c r="AB20" s="1038" t="s">
        <v>491</v>
      </c>
      <c r="AC20" s="1038" t="s">
        <v>491</v>
      </c>
      <c r="AD20" s="1038" t="s">
        <v>491</v>
      </c>
      <c r="AE20" s="768"/>
      <c r="AF20" s="768"/>
      <c r="AG20" s="768"/>
      <c r="AH20" s="924">
        <v>103.25</v>
      </c>
      <c r="AI20" s="925">
        <v>37</v>
      </c>
    </row>
    <row r="21" spans="1:37" ht="21.95" customHeight="1">
      <c r="A21" s="500">
        <v>8500</v>
      </c>
      <c r="B21" s="153" t="s">
        <v>492</v>
      </c>
      <c r="C21" s="768"/>
      <c r="D21" s="768"/>
      <c r="E21" s="768">
        <v>1</v>
      </c>
      <c r="F21" s="768">
        <v>1</v>
      </c>
      <c r="G21" s="837" t="s">
        <v>777</v>
      </c>
      <c r="H21" s="768">
        <v>1</v>
      </c>
      <c r="I21" s="768">
        <v>1</v>
      </c>
      <c r="J21" s="768"/>
      <c r="K21" s="768"/>
      <c r="L21" s="768">
        <v>2</v>
      </c>
      <c r="M21" s="768" t="s">
        <v>490</v>
      </c>
      <c r="N21" s="768">
        <v>2</v>
      </c>
      <c r="O21" s="768">
        <v>2</v>
      </c>
      <c r="P21" s="768">
        <v>2</v>
      </c>
      <c r="Q21" s="768" t="s">
        <v>490</v>
      </c>
      <c r="R21" s="768" t="s">
        <v>490</v>
      </c>
      <c r="S21" s="768" t="s">
        <v>491</v>
      </c>
      <c r="T21" s="768" t="s">
        <v>491</v>
      </c>
      <c r="U21" s="768" t="s">
        <v>491</v>
      </c>
      <c r="V21" s="977" t="s">
        <v>485</v>
      </c>
      <c r="W21" s="768">
        <v>1</v>
      </c>
      <c r="X21" s="768"/>
      <c r="Y21" s="768"/>
      <c r="Z21" s="768">
        <v>3</v>
      </c>
      <c r="AA21" s="768" t="s">
        <v>491</v>
      </c>
      <c r="AB21" s="768" t="s">
        <v>491</v>
      </c>
      <c r="AC21" s="768" t="s">
        <v>491</v>
      </c>
      <c r="AD21" s="768" t="s">
        <v>491</v>
      </c>
      <c r="AE21" s="768"/>
      <c r="AF21" s="768"/>
      <c r="AG21" s="768"/>
      <c r="AH21" s="924">
        <v>43</v>
      </c>
      <c r="AI21" s="925">
        <v>37</v>
      </c>
    </row>
    <row r="22" spans="1:37" ht="21.95" customHeight="1" thickBot="1">
      <c r="A22" s="500"/>
      <c r="B22" s="153"/>
      <c r="C22" s="768"/>
      <c r="D22" s="768"/>
      <c r="E22" s="768"/>
      <c r="F22" s="768"/>
      <c r="G22" s="768"/>
      <c r="H22" s="768"/>
      <c r="I22" s="768"/>
      <c r="J22" s="768"/>
      <c r="K22" s="768"/>
      <c r="L22" s="768"/>
      <c r="M22" s="768"/>
      <c r="N22" s="768"/>
      <c r="O22" s="768"/>
      <c r="P22" s="768"/>
      <c r="Q22" s="768"/>
      <c r="R22" s="768"/>
      <c r="S22" s="768"/>
      <c r="T22" s="768"/>
      <c r="U22" s="768"/>
      <c r="V22" s="768"/>
      <c r="W22" s="768"/>
      <c r="X22" s="768"/>
      <c r="Y22" s="768"/>
      <c r="Z22" s="768"/>
      <c r="AA22" s="768"/>
      <c r="AB22" s="768"/>
      <c r="AC22" s="768"/>
      <c r="AD22" s="768"/>
      <c r="AE22" s="768"/>
      <c r="AF22" s="768"/>
      <c r="AG22" s="768"/>
      <c r="AH22" s="514">
        <v>185</v>
      </c>
      <c r="AI22" s="515">
        <v>37</v>
      </c>
    </row>
    <row r="23" spans="1:37" ht="21.95" customHeight="1">
      <c r="A23" s="516"/>
      <c r="C23" s="517"/>
      <c r="D23" s="517"/>
      <c r="E23" s="517"/>
      <c r="F23" s="517"/>
      <c r="G23" s="517"/>
      <c r="H23" s="517"/>
      <c r="I23" s="517"/>
      <c r="J23" s="517"/>
      <c r="K23" s="517"/>
      <c r="L23" s="517"/>
      <c r="M23" s="517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17"/>
      <c r="Y23" s="517"/>
      <c r="Z23" s="517"/>
      <c r="AA23" s="517"/>
      <c r="AB23" s="517"/>
      <c r="AC23" s="517"/>
      <c r="AD23" s="517"/>
      <c r="AE23" s="517"/>
      <c r="AF23" s="517"/>
      <c r="AG23" s="517"/>
    </row>
    <row r="24" spans="1:37" ht="21.95" customHeight="1">
      <c r="A24" s="516"/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</row>
    <row r="25" spans="1:37" ht="21.95" customHeight="1">
      <c r="A25" s="516"/>
      <c r="C25" s="517"/>
      <c r="D25" s="517"/>
      <c r="E25" s="517"/>
      <c r="F25" s="517"/>
      <c r="G25" s="517"/>
      <c r="H25" s="517"/>
      <c r="I25" s="517"/>
      <c r="J25" s="517"/>
      <c r="K25" s="517"/>
      <c r="L25" s="517"/>
      <c r="M25" s="517"/>
      <c r="N25" s="517"/>
      <c r="O25" s="517"/>
      <c r="P25" s="517"/>
      <c r="Q25" s="517"/>
      <c r="R25" s="517"/>
      <c r="S25" s="517"/>
      <c r="T25" s="517"/>
      <c r="U25" s="517"/>
      <c r="V25" s="517"/>
      <c r="W25" s="517"/>
      <c r="X25" s="517"/>
      <c r="Y25" s="517"/>
      <c r="Z25" s="517"/>
      <c r="AA25" s="517"/>
      <c r="AB25" s="517"/>
      <c r="AC25" s="517"/>
      <c r="AD25" s="517"/>
      <c r="AE25" s="517"/>
      <c r="AF25" s="517"/>
      <c r="AG25" s="517"/>
    </row>
    <row r="26" spans="1:37" ht="21.95" customHeight="1">
      <c r="A26" s="516"/>
      <c r="C26" s="517"/>
      <c r="D26" s="517"/>
      <c r="E26" s="517"/>
      <c r="F26" s="517"/>
      <c r="G26" s="517"/>
      <c r="H26" s="517"/>
      <c r="I26" s="517"/>
      <c r="J26" s="517"/>
      <c r="K26" s="517"/>
      <c r="L26" s="517"/>
      <c r="M26" s="517"/>
      <c r="N26" s="517"/>
      <c r="O26" s="517"/>
      <c r="P26" s="517"/>
      <c r="Q26" s="517"/>
      <c r="R26" s="517"/>
      <c r="S26" s="517"/>
      <c r="T26" s="517"/>
      <c r="U26" s="517"/>
      <c r="V26" s="517"/>
      <c r="W26" s="517"/>
      <c r="X26" s="517"/>
      <c r="Y26" s="517"/>
      <c r="Z26" s="517"/>
      <c r="AA26" s="517"/>
      <c r="AB26" s="517"/>
      <c r="AC26" s="517"/>
      <c r="AD26" s="517"/>
      <c r="AE26" s="517"/>
      <c r="AF26" s="517"/>
      <c r="AG26" s="517"/>
    </row>
    <row r="27" spans="1:37" ht="21.95" customHeight="1">
      <c r="A27" s="516"/>
      <c r="C27" s="517"/>
      <c r="D27" s="517"/>
      <c r="E27" s="517"/>
      <c r="F27" s="517"/>
      <c r="G27" s="517"/>
      <c r="H27" s="517"/>
      <c r="I27" s="517"/>
      <c r="J27" s="517"/>
      <c r="K27" s="517"/>
      <c r="L27" s="517"/>
      <c r="M27" s="517"/>
      <c r="N27" s="517"/>
      <c r="O27" s="517"/>
      <c r="P27" s="517"/>
      <c r="Q27" s="517"/>
      <c r="R27" s="517"/>
      <c r="S27" s="517"/>
      <c r="T27" s="517"/>
      <c r="U27" s="517"/>
      <c r="V27" s="517"/>
      <c r="W27" s="517"/>
      <c r="X27" s="517"/>
      <c r="Y27" s="517"/>
      <c r="Z27" s="517"/>
      <c r="AA27" s="517"/>
      <c r="AB27" s="517"/>
      <c r="AC27" s="517"/>
      <c r="AD27" s="517"/>
      <c r="AE27" s="517"/>
      <c r="AF27" s="517"/>
      <c r="AG27" s="517"/>
    </row>
    <row r="28" spans="1:37" ht="21.95" customHeight="1">
      <c r="A28" s="516"/>
      <c r="C28" s="517"/>
      <c r="D28" s="517"/>
      <c r="E28" s="517"/>
      <c r="F28" s="517"/>
      <c r="G28" s="517"/>
      <c r="H28" s="517"/>
      <c r="I28" s="517"/>
      <c r="J28" s="517"/>
      <c r="K28" s="517"/>
      <c r="L28" s="517"/>
      <c r="M28" s="517"/>
      <c r="N28" s="517"/>
      <c r="O28" s="517"/>
      <c r="P28" s="517"/>
      <c r="Q28" s="517"/>
      <c r="R28" s="517"/>
      <c r="S28" s="517"/>
      <c r="T28" s="517"/>
      <c r="U28" s="517"/>
      <c r="V28" s="517"/>
      <c r="W28" s="517"/>
      <c r="X28" s="517"/>
      <c r="Y28" s="517"/>
      <c r="Z28" s="517"/>
      <c r="AA28" s="517"/>
      <c r="AB28" s="517"/>
      <c r="AC28" s="517"/>
      <c r="AD28" s="517"/>
      <c r="AE28" s="517"/>
      <c r="AF28" s="517"/>
      <c r="AG28" s="517"/>
    </row>
    <row r="29" spans="1:37" ht="21.95" customHeight="1">
      <c r="A29" s="516"/>
      <c r="C29" s="517"/>
      <c r="D29" s="517"/>
      <c r="E29" s="517"/>
      <c r="F29" s="517"/>
      <c r="G29" s="517"/>
      <c r="H29" s="517"/>
      <c r="I29" s="517"/>
      <c r="J29" s="517"/>
      <c r="K29" s="517"/>
      <c r="L29" s="517"/>
      <c r="M29" s="517"/>
      <c r="N29" s="517"/>
      <c r="O29" s="517"/>
      <c r="P29" s="517"/>
      <c r="Q29" s="517"/>
      <c r="R29" s="517"/>
      <c r="S29" s="517"/>
      <c r="T29" s="517"/>
      <c r="U29" s="517"/>
      <c r="V29" s="517"/>
      <c r="W29" s="517"/>
      <c r="X29" s="517"/>
      <c r="Y29" s="517"/>
      <c r="Z29" s="517"/>
      <c r="AA29" s="517"/>
      <c r="AB29" s="517"/>
      <c r="AC29" s="517"/>
      <c r="AD29" s="517"/>
      <c r="AE29" s="517"/>
      <c r="AF29" s="517"/>
      <c r="AG29" s="517"/>
    </row>
    <row r="30" spans="1:37" ht="21.95" customHeight="1" thickBot="1">
      <c r="A30" s="1" t="s">
        <v>494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495</v>
      </c>
      <c r="B31" s="518"/>
      <c r="C31" s="518"/>
      <c r="D31" s="425" t="s">
        <v>496</v>
      </c>
      <c r="E31" s="519"/>
      <c r="F31" s="519"/>
      <c r="G31" s="519"/>
      <c r="H31" s="519"/>
      <c r="I31" s="519"/>
      <c r="J31" s="519"/>
      <c r="K31" s="519"/>
      <c r="L31" s="519"/>
      <c r="M31" s="520" t="s">
        <v>497</v>
      </c>
      <c r="N31" s="519"/>
      <c r="O31" s="519"/>
      <c r="P31" s="519"/>
      <c r="Q31" s="519"/>
      <c r="R31" s="519"/>
      <c r="S31" s="521"/>
      <c r="T31" s="521" t="s">
        <v>770</v>
      </c>
      <c r="U31" s="519"/>
      <c r="V31" s="519"/>
      <c r="W31" s="519"/>
      <c r="X31" s="519"/>
      <c r="Y31" s="519"/>
      <c r="Z31" s="238"/>
      <c r="AA31" s="522" t="s">
        <v>499</v>
      </c>
      <c r="AB31" s="51"/>
      <c r="AC31" s="51"/>
      <c r="AD31" s="51"/>
      <c r="AE31" s="51"/>
      <c r="AF31" s="51"/>
      <c r="AG31" s="523"/>
      <c r="AK31" s="1"/>
    </row>
    <row r="32" spans="1:37" ht="21.95" customHeight="1">
      <c r="A32" s="524" t="s">
        <v>500</v>
      </c>
      <c r="B32" s="135"/>
      <c r="C32" s="135"/>
      <c r="D32" s="495" t="s">
        <v>501</v>
      </c>
      <c r="E32" s="491"/>
      <c r="F32" s="157"/>
      <c r="G32" s="157"/>
      <c r="H32" s="157"/>
      <c r="I32" s="157"/>
      <c r="J32" s="157"/>
      <c r="K32" s="157"/>
      <c r="L32" s="489"/>
      <c r="M32" s="525" t="s">
        <v>502</v>
      </c>
      <c r="N32" s="135"/>
      <c r="O32" s="526"/>
      <c r="P32" s="135"/>
      <c r="Q32" s="135"/>
      <c r="R32" s="135"/>
      <c r="S32" s="527"/>
      <c r="T32" s="495" t="s">
        <v>503</v>
      </c>
      <c r="U32" s="157"/>
      <c r="V32" s="491"/>
      <c r="W32" s="157"/>
      <c r="X32" s="157"/>
      <c r="Y32" s="157"/>
      <c r="Z32" s="489"/>
      <c r="AA32" s="1" t="s">
        <v>504</v>
      </c>
      <c r="AD32" s="496"/>
      <c r="AG32" s="528"/>
      <c r="AK32" s="1"/>
    </row>
    <row r="33" spans="1:38" ht="21.95" customHeight="1">
      <c r="A33" s="529" t="s">
        <v>505</v>
      </c>
      <c r="B33" s="157"/>
      <c r="C33" s="157"/>
      <c r="D33" s="157"/>
      <c r="E33" s="157"/>
      <c r="F33" s="157"/>
      <c r="G33" s="489"/>
      <c r="H33" s="495" t="s">
        <v>506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0" t="s">
        <v>507</v>
      </c>
      <c r="AA33" s="526"/>
      <c r="AB33" s="135"/>
      <c r="AC33" s="135"/>
      <c r="AD33" s="135"/>
      <c r="AE33" s="135"/>
      <c r="AF33" s="135"/>
      <c r="AG33" s="531"/>
      <c r="AK33" s="312"/>
    </row>
    <row r="34" spans="1:38" ht="21.95" customHeight="1" thickBot="1">
      <c r="A34" s="532" t="s">
        <v>508</v>
      </c>
      <c r="B34" s="53"/>
      <c r="C34" s="53"/>
      <c r="D34" s="53"/>
      <c r="E34" s="53"/>
      <c r="F34" s="53"/>
      <c r="G34" s="533"/>
      <c r="H34" s="534" t="s">
        <v>509</v>
      </c>
      <c r="I34" s="533"/>
      <c r="J34" s="53"/>
      <c r="K34" s="53"/>
      <c r="L34" s="53"/>
      <c r="M34" s="53"/>
      <c r="N34" s="53"/>
      <c r="O34" s="53"/>
      <c r="P34" s="53"/>
      <c r="Q34" s="535"/>
      <c r="R34" s="535"/>
      <c r="S34" s="535"/>
      <c r="T34" s="53"/>
      <c r="U34" s="534" t="s">
        <v>510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6"/>
      <c r="AK34" s="1"/>
    </row>
    <row r="35" spans="1:38" ht="21.95" customHeight="1" thickBot="1">
      <c r="B35" s="537" t="s">
        <v>474</v>
      </c>
      <c r="C35" s="538"/>
      <c r="D35" s="538"/>
      <c r="E35" s="538"/>
      <c r="F35" s="538"/>
      <c r="G35" s="538"/>
      <c r="H35" s="538"/>
      <c r="I35" s="538"/>
      <c r="J35" s="538"/>
      <c r="K35" s="538"/>
      <c r="L35" s="538"/>
      <c r="M35" s="538"/>
      <c r="N35" s="538"/>
      <c r="O35" s="538"/>
      <c r="P35" s="538"/>
      <c r="Q35" s="538"/>
      <c r="R35" s="538"/>
      <c r="S35" s="538"/>
      <c r="T35" s="538"/>
      <c r="U35" s="538"/>
      <c r="V35" s="538"/>
      <c r="W35" s="538"/>
      <c r="X35" s="538"/>
      <c r="Y35" s="538"/>
      <c r="Z35" s="538"/>
      <c r="AA35" s="538"/>
      <c r="AB35" s="538"/>
      <c r="AC35" s="538"/>
      <c r="AD35" s="538"/>
      <c r="AE35" s="538"/>
      <c r="AF35" s="538"/>
      <c r="AG35" s="538"/>
      <c r="AH35" s="1"/>
    </row>
    <row r="36" spans="1:38" ht="21.95" customHeight="1" thickBot="1">
      <c r="A36" s="539" t="s">
        <v>475</v>
      </c>
      <c r="B36" s="182" t="s">
        <v>476</v>
      </c>
      <c r="C36" s="788">
        <v>1</v>
      </c>
      <c r="D36" s="788">
        <v>2</v>
      </c>
      <c r="E36" s="787">
        <v>3</v>
      </c>
      <c r="F36" s="787">
        <v>4</v>
      </c>
      <c r="G36" s="787">
        <v>5</v>
      </c>
      <c r="H36" s="787">
        <v>6</v>
      </c>
      <c r="I36" s="766">
        <v>7</v>
      </c>
      <c r="J36" s="830">
        <v>8</v>
      </c>
      <c r="K36" s="788">
        <v>9</v>
      </c>
      <c r="L36" s="787">
        <v>10</v>
      </c>
      <c r="M36" s="787">
        <v>11</v>
      </c>
      <c r="N36" s="787">
        <v>12</v>
      </c>
      <c r="O36" s="787">
        <v>13</v>
      </c>
      <c r="P36" s="766">
        <v>14</v>
      </c>
      <c r="Q36" s="830">
        <v>15</v>
      </c>
      <c r="R36" s="788">
        <v>16</v>
      </c>
      <c r="S36" s="787">
        <v>17</v>
      </c>
      <c r="T36" s="787">
        <v>18</v>
      </c>
      <c r="U36" s="787">
        <v>19</v>
      </c>
      <c r="V36" s="766">
        <v>20</v>
      </c>
      <c r="W36" s="766">
        <v>21</v>
      </c>
      <c r="X36" s="830">
        <v>22</v>
      </c>
      <c r="Y36" s="788">
        <v>23</v>
      </c>
      <c r="Z36" s="787">
        <v>24</v>
      </c>
      <c r="AA36" s="787">
        <v>25</v>
      </c>
      <c r="AB36" s="787">
        <v>26</v>
      </c>
      <c r="AC36" s="787">
        <v>27</v>
      </c>
      <c r="AD36" s="766">
        <v>28</v>
      </c>
      <c r="AE36" s="830">
        <v>29</v>
      </c>
      <c r="AF36" s="788">
        <v>30</v>
      </c>
      <c r="AG36" s="787"/>
      <c r="AH36" s="498" t="s">
        <v>477</v>
      </c>
      <c r="AI36" s="499" t="s">
        <v>478</v>
      </c>
      <c r="AL36" t="s">
        <v>28</v>
      </c>
    </row>
    <row r="37" spans="1:38" ht="21.95" customHeight="1">
      <c r="A37" s="540">
        <v>1</v>
      </c>
      <c r="B37" s="45" t="s">
        <v>511</v>
      </c>
      <c r="C37" s="1016"/>
      <c r="D37" s="1016"/>
      <c r="E37" s="1016">
        <v>1</v>
      </c>
      <c r="F37" s="1016">
        <v>1</v>
      </c>
      <c r="G37" s="1237">
        <v>1</v>
      </c>
      <c r="H37" s="1016">
        <v>1</v>
      </c>
      <c r="I37" s="1016">
        <v>1</v>
      </c>
      <c r="J37" s="1016"/>
      <c r="K37" s="1016"/>
      <c r="L37" s="1016">
        <v>9</v>
      </c>
      <c r="M37" s="1016">
        <v>9</v>
      </c>
      <c r="N37" s="1016">
        <v>9</v>
      </c>
      <c r="O37" s="1016">
        <v>9</v>
      </c>
      <c r="P37" s="1016">
        <v>9</v>
      </c>
      <c r="Q37" s="1016" t="s">
        <v>519</v>
      </c>
      <c r="R37" s="1016" t="s">
        <v>771</v>
      </c>
      <c r="S37" s="763" t="s">
        <v>481</v>
      </c>
      <c r="T37" s="763" t="s">
        <v>481</v>
      </c>
      <c r="U37" s="763" t="s">
        <v>481</v>
      </c>
      <c r="V37" s="763" t="s">
        <v>481</v>
      </c>
      <c r="W37" s="763" t="s">
        <v>481</v>
      </c>
      <c r="X37" s="763"/>
      <c r="Y37" s="763"/>
      <c r="Z37" s="763">
        <v>6</v>
      </c>
      <c r="AA37" s="763">
        <v>6</v>
      </c>
      <c r="AB37" s="763">
        <v>6</v>
      </c>
      <c r="AC37" s="763">
        <v>6</v>
      </c>
      <c r="AD37" s="763">
        <v>6</v>
      </c>
      <c r="AE37" s="763" t="s">
        <v>512</v>
      </c>
      <c r="AF37" s="763" t="s">
        <v>513</v>
      </c>
      <c r="AG37" s="773"/>
      <c r="AH37" s="924">
        <v>91.5</v>
      </c>
      <c r="AI37" s="925">
        <v>37</v>
      </c>
    </row>
    <row r="38" spans="1:38" ht="21.95" customHeight="1">
      <c r="A38" s="541">
        <v>6</v>
      </c>
      <c r="B38" s="153" t="s">
        <v>650</v>
      </c>
      <c r="C38" s="768"/>
      <c r="D38" s="768"/>
      <c r="E38" s="768">
        <v>5</v>
      </c>
      <c r="F38" s="768">
        <v>5</v>
      </c>
      <c r="G38" s="768">
        <v>5</v>
      </c>
      <c r="H38" s="977">
        <v>5</v>
      </c>
      <c r="I38" s="768">
        <v>5</v>
      </c>
      <c r="J38" s="768"/>
      <c r="K38" s="768"/>
      <c r="L38" s="768">
        <v>10</v>
      </c>
      <c r="M38" s="768">
        <v>10</v>
      </c>
      <c r="N38" s="768">
        <v>10</v>
      </c>
      <c r="O38" s="768">
        <v>10</v>
      </c>
      <c r="P38" s="768">
        <v>10</v>
      </c>
      <c r="Q38" s="768" t="s">
        <v>514</v>
      </c>
      <c r="R38" s="768" t="s">
        <v>514</v>
      </c>
      <c r="S38" s="768" t="s">
        <v>481</v>
      </c>
      <c r="T38" s="768" t="s">
        <v>481</v>
      </c>
      <c r="U38" s="768" t="s">
        <v>481</v>
      </c>
      <c r="V38" s="768" t="s">
        <v>481</v>
      </c>
      <c r="W38" s="768" t="s">
        <v>481</v>
      </c>
      <c r="X38" s="1144" t="s">
        <v>515</v>
      </c>
      <c r="Y38" s="1144" t="s">
        <v>515</v>
      </c>
      <c r="Z38" s="1144">
        <v>7</v>
      </c>
      <c r="AA38" s="1144">
        <v>7</v>
      </c>
      <c r="AB38" s="1144">
        <v>7</v>
      </c>
      <c r="AC38" s="1144">
        <v>7</v>
      </c>
      <c r="AD38" s="1144">
        <v>7</v>
      </c>
      <c r="AE38" s="768"/>
      <c r="AF38" s="768"/>
      <c r="AG38" s="774"/>
      <c r="AH38" s="924">
        <v>34</v>
      </c>
      <c r="AI38" s="925">
        <v>37</v>
      </c>
    </row>
    <row r="39" spans="1:38" ht="21.95" customHeight="1" thickBot="1">
      <c r="A39" s="543">
        <v>11</v>
      </c>
      <c r="B39" s="794" t="s">
        <v>518</v>
      </c>
      <c r="C39" s="761"/>
      <c r="D39" s="761"/>
      <c r="E39" s="761">
        <v>3</v>
      </c>
      <c r="F39" s="761">
        <v>3</v>
      </c>
      <c r="G39" s="1234">
        <v>3</v>
      </c>
      <c r="H39" s="761">
        <v>3</v>
      </c>
      <c r="I39" s="761">
        <v>3</v>
      </c>
      <c r="J39" s="761"/>
      <c r="K39" s="761"/>
      <c r="L39" s="1068">
        <v>11</v>
      </c>
      <c r="M39" s="1068">
        <v>11</v>
      </c>
      <c r="N39" s="1068">
        <v>11</v>
      </c>
      <c r="O39" s="1068">
        <v>11</v>
      </c>
      <c r="P39" s="761">
        <v>11</v>
      </c>
      <c r="Q39" s="761" t="s">
        <v>517</v>
      </c>
      <c r="R39" s="761" t="s">
        <v>517</v>
      </c>
      <c r="S39" s="761" t="s">
        <v>481</v>
      </c>
      <c r="T39" s="761" t="s">
        <v>481</v>
      </c>
      <c r="U39" s="761" t="s">
        <v>481</v>
      </c>
      <c r="V39" s="761" t="s">
        <v>481</v>
      </c>
      <c r="W39" s="761" t="s">
        <v>481</v>
      </c>
      <c r="X39" s="761"/>
      <c r="Y39" s="761"/>
      <c r="Z39" s="761">
        <v>8</v>
      </c>
      <c r="AA39" s="761">
        <v>8</v>
      </c>
      <c r="AB39" s="761">
        <v>8</v>
      </c>
      <c r="AC39" s="761">
        <v>8</v>
      </c>
      <c r="AD39" s="761">
        <v>8</v>
      </c>
      <c r="AE39" s="761" t="s">
        <v>513</v>
      </c>
      <c r="AF39" s="761" t="s">
        <v>513</v>
      </c>
      <c r="AG39" s="775"/>
      <c r="AH39" s="924">
        <v>43</v>
      </c>
      <c r="AI39" s="925">
        <v>37</v>
      </c>
    </row>
    <row r="40" spans="1:38" ht="21.95" customHeight="1">
      <c r="A40" s="540">
        <v>2</v>
      </c>
      <c r="B40" s="45" t="s">
        <v>520</v>
      </c>
      <c r="C40" s="763"/>
      <c r="D40" s="763"/>
      <c r="E40" s="763">
        <v>9</v>
      </c>
      <c r="F40" s="776">
        <v>9</v>
      </c>
      <c r="G40" s="776">
        <v>9</v>
      </c>
      <c r="H40" s="763">
        <v>9</v>
      </c>
      <c r="I40" s="763">
        <v>9</v>
      </c>
      <c r="J40" s="763" t="s">
        <v>519</v>
      </c>
      <c r="K40" s="763" t="s">
        <v>514</v>
      </c>
      <c r="L40" s="763" t="s">
        <v>481</v>
      </c>
      <c r="M40" s="763" t="s">
        <v>481</v>
      </c>
      <c r="N40" s="763" t="s">
        <v>481</v>
      </c>
      <c r="O40" s="768" t="s">
        <v>481</v>
      </c>
      <c r="P40" s="763" t="s">
        <v>481</v>
      </c>
      <c r="Q40" s="763"/>
      <c r="R40" s="763"/>
      <c r="S40" s="763">
        <v>6</v>
      </c>
      <c r="T40" s="776">
        <v>6</v>
      </c>
      <c r="U40" s="776">
        <v>6</v>
      </c>
      <c r="V40" s="763">
        <v>6</v>
      </c>
      <c r="W40" s="763">
        <v>6</v>
      </c>
      <c r="X40" s="763" t="s">
        <v>512</v>
      </c>
      <c r="Y40" s="763" t="s">
        <v>513</v>
      </c>
      <c r="Z40" s="763" t="s">
        <v>481</v>
      </c>
      <c r="AA40" s="763" t="s">
        <v>481</v>
      </c>
      <c r="AB40" s="763" t="s">
        <v>481</v>
      </c>
      <c r="AC40" s="763" t="s">
        <v>481</v>
      </c>
      <c r="AD40" s="763" t="s">
        <v>481</v>
      </c>
      <c r="AE40" s="763"/>
      <c r="AF40" s="763"/>
      <c r="AG40" s="763"/>
      <c r="AH40" s="924">
        <v>60</v>
      </c>
      <c r="AI40" s="925">
        <v>37</v>
      </c>
    </row>
    <row r="41" spans="1:38" ht="21.95" customHeight="1">
      <c r="A41" s="541">
        <v>7</v>
      </c>
      <c r="B41" s="153" t="s">
        <v>522</v>
      </c>
      <c r="C41" s="768"/>
      <c r="D41" s="768"/>
      <c r="E41" s="768">
        <v>10</v>
      </c>
      <c r="F41" s="768">
        <v>10</v>
      </c>
      <c r="G41" s="768">
        <v>10</v>
      </c>
      <c r="H41" s="768">
        <v>10</v>
      </c>
      <c r="I41" s="768">
        <v>10</v>
      </c>
      <c r="J41" s="768" t="s">
        <v>514</v>
      </c>
      <c r="K41" s="768" t="s">
        <v>514</v>
      </c>
      <c r="L41" s="768" t="s">
        <v>481</v>
      </c>
      <c r="M41" s="768" t="s">
        <v>481</v>
      </c>
      <c r="N41" s="768" t="s">
        <v>481</v>
      </c>
      <c r="O41" s="768" t="s">
        <v>481</v>
      </c>
      <c r="P41" s="768" t="s">
        <v>481</v>
      </c>
      <c r="Q41" s="1038" t="s">
        <v>484</v>
      </c>
      <c r="R41" s="1038" t="s">
        <v>778</v>
      </c>
      <c r="S41" s="768">
        <v>7</v>
      </c>
      <c r="T41" s="768">
        <v>7</v>
      </c>
      <c r="U41" s="768">
        <v>7</v>
      </c>
      <c r="V41" s="768">
        <v>7</v>
      </c>
      <c r="W41" s="768">
        <v>7</v>
      </c>
      <c r="X41" s="768"/>
      <c r="Y41" s="768"/>
      <c r="Z41" s="768">
        <v>4</v>
      </c>
      <c r="AA41" s="768">
        <v>4</v>
      </c>
      <c r="AB41" s="768">
        <v>4</v>
      </c>
      <c r="AC41" s="768">
        <v>4</v>
      </c>
      <c r="AD41" s="768">
        <v>4</v>
      </c>
      <c r="AE41" s="768"/>
      <c r="AF41" s="768"/>
      <c r="AG41" s="774"/>
      <c r="AH41" s="924">
        <v>80</v>
      </c>
      <c r="AI41" s="925">
        <v>37</v>
      </c>
    </row>
    <row r="42" spans="1:38" ht="21.95" customHeight="1" thickBot="1">
      <c r="A42" s="543">
        <v>12</v>
      </c>
      <c r="B42" s="544" t="s">
        <v>523</v>
      </c>
      <c r="C42" s="761"/>
      <c r="D42" s="761"/>
      <c r="E42" s="761">
        <v>11</v>
      </c>
      <c r="F42" s="761">
        <v>11</v>
      </c>
      <c r="G42" s="761">
        <v>11</v>
      </c>
      <c r="H42" s="761">
        <v>11</v>
      </c>
      <c r="I42" s="761">
        <v>11</v>
      </c>
      <c r="J42" s="761" t="s">
        <v>517</v>
      </c>
      <c r="K42" s="761" t="s">
        <v>517</v>
      </c>
      <c r="L42" s="761" t="s">
        <v>481</v>
      </c>
      <c r="M42" s="761" t="s">
        <v>481</v>
      </c>
      <c r="N42" s="761" t="s">
        <v>481</v>
      </c>
      <c r="O42" s="768" t="s">
        <v>481</v>
      </c>
      <c r="P42" s="761" t="s">
        <v>481</v>
      </c>
      <c r="Q42" s="761"/>
      <c r="R42" s="761"/>
      <c r="S42" s="761">
        <v>8</v>
      </c>
      <c r="T42" s="761">
        <v>8</v>
      </c>
      <c r="U42" s="761">
        <v>8</v>
      </c>
      <c r="V42" s="761">
        <v>8</v>
      </c>
      <c r="W42" s="761">
        <v>8</v>
      </c>
      <c r="X42" s="1037" t="s">
        <v>513</v>
      </c>
      <c r="Y42" s="1037" t="s">
        <v>513</v>
      </c>
      <c r="Z42" s="761" t="s">
        <v>481</v>
      </c>
      <c r="AA42" s="761" t="s">
        <v>481</v>
      </c>
      <c r="AB42" s="761" t="s">
        <v>481</v>
      </c>
      <c r="AC42" s="761" t="s">
        <v>481</v>
      </c>
      <c r="AD42" s="761" t="s">
        <v>481</v>
      </c>
      <c r="AE42" s="761"/>
      <c r="AF42" s="761"/>
      <c r="AG42" s="775"/>
      <c r="AH42" s="924">
        <v>86</v>
      </c>
      <c r="AI42" s="925">
        <v>37</v>
      </c>
    </row>
    <row r="43" spans="1:38" ht="21.95" customHeight="1">
      <c r="A43" s="545">
        <v>3</v>
      </c>
      <c r="B43" s="836" t="s">
        <v>524</v>
      </c>
      <c r="C43" s="965" t="s">
        <v>519</v>
      </c>
      <c r="D43" s="965" t="s">
        <v>514</v>
      </c>
      <c r="E43" s="965" t="s">
        <v>481</v>
      </c>
      <c r="F43" s="965" t="s">
        <v>481</v>
      </c>
      <c r="G43" s="965" t="s">
        <v>481</v>
      </c>
      <c r="H43" s="965" t="s">
        <v>481</v>
      </c>
      <c r="I43" s="965" t="s">
        <v>481</v>
      </c>
      <c r="J43" s="965"/>
      <c r="K43" s="965"/>
      <c r="L43" s="965">
        <v>6</v>
      </c>
      <c r="M43" s="965">
        <v>6</v>
      </c>
      <c r="N43" s="965">
        <v>6</v>
      </c>
      <c r="O43" s="965">
        <v>6</v>
      </c>
      <c r="P43" s="965">
        <v>6</v>
      </c>
      <c r="Q43" s="965" t="s">
        <v>512</v>
      </c>
      <c r="R43" s="1235" t="s">
        <v>513</v>
      </c>
      <c r="S43" s="965" t="s">
        <v>481</v>
      </c>
      <c r="T43" s="965" t="s">
        <v>481</v>
      </c>
      <c r="U43" s="965" t="s">
        <v>481</v>
      </c>
      <c r="V43" s="965" t="s">
        <v>481</v>
      </c>
      <c r="W43" s="965" t="s">
        <v>481</v>
      </c>
      <c r="X43" s="965"/>
      <c r="Y43" s="965"/>
      <c r="Z43" s="965">
        <v>5</v>
      </c>
      <c r="AA43" s="965">
        <v>5</v>
      </c>
      <c r="AB43" s="965">
        <v>5</v>
      </c>
      <c r="AC43" s="965">
        <v>5</v>
      </c>
      <c r="AD43" s="965">
        <v>5</v>
      </c>
      <c r="AE43" s="965"/>
      <c r="AF43" s="965"/>
      <c r="AG43" s="777"/>
      <c r="AH43" s="924">
        <v>93</v>
      </c>
      <c r="AI43" s="925">
        <v>37</v>
      </c>
    </row>
    <row r="44" spans="1:38" ht="21.95" customHeight="1">
      <c r="A44" s="541">
        <v>8</v>
      </c>
      <c r="B44" s="319" t="s">
        <v>525</v>
      </c>
      <c r="C44" s="1038" t="s">
        <v>514</v>
      </c>
      <c r="D44" s="1038" t="s">
        <v>514</v>
      </c>
      <c r="E44" s="1038" t="s">
        <v>481</v>
      </c>
      <c r="F44" s="1038" t="s">
        <v>481</v>
      </c>
      <c r="G44" s="1245" t="s">
        <v>481</v>
      </c>
      <c r="H44" s="1038" t="s">
        <v>481</v>
      </c>
      <c r="I44" s="1038" t="s">
        <v>481</v>
      </c>
      <c r="J44" s="1038" t="s">
        <v>515</v>
      </c>
      <c r="K44" s="1038" t="s">
        <v>515</v>
      </c>
      <c r="L44" s="1038">
        <v>7</v>
      </c>
      <c r="M44" s="1038">
        <v>7</v>
      </c>
      <c r="N44" s="1038">
        <v>7</v>
      </c>
      <c r="O44" s="1038">
        <v>7</v>
      </c>
      <c r="P44" s="1038">
        <v>7</v>
      </c>
      <c r="Q44" s="1042"/>
      <c r="R44" s="1038"/>
      <c r="S44" s="1161">
        <v>4</v>
      </c>
      <c r="T44" s="1038">
        <v>4</v>
      </c>
      <c r="U44" s="1038">
        <v>4</v>
      </c>
      <c r="V44" s="1038">
        <v>4</v>
      </c>
      <c r="W44" s="1038">
        <v>4</v>
      </c>
      <c r="X44" s="1038"/>
      <c r="Y44" s="1038"/>
      <c r="Z44" s="1038">
        <v>3</v>
      </c>
      <c r="AA44" s="1038">
        <v>3</v>
      </c>
      <c r="AB44" s="1038">
        <v>3</v>
      </c>
      <c r="AC44" s="1038">
        <v>3</v>
      </c>
      <c r="AD44" s="1038">
        <v>3</v>
      </c>
      <c r="AE44" s="1038"/>
      <c r="AF44" s="1038"/>
      <c r="AG44" s="768"/>
      <c r="AH44" s="924">
        <v>100.5</v>
      </c>
      <c r="AI44" s="925">
        <v>12.5</v>
      </c>
    </row>
    <row r="45" spans="1:38" ht="21.95" customHeight="1" thickBot="1">
      <c r="A45" s="543">
        <v>13</v>
      </c>
      <c r="B45" s="52" t="s">
        <v>526</v>
      </c>
      <c r="C45" s="1068" t="s">
        <v>517</v>
      </c>
      <c r="D45" s="1068" t="s">
        <v>779</v>
      </c>
      <c r="E45" s="761" t="s">
        <v>481</v>
      </c>
      <c r="F45" s="761" t="s">
        <v>481</v>
      </c>
      <c r="G45" s="761" t="s">
        <v>481</v>
      </c>
      <c r="H45" s="761" t="s">
        <v>481</v>
      </c>
      <c r="I45" s="761" t="s">
        <v>481</v>
      </c>
      <c r="J45" s="761"/>
      <c r="K45" s="761"/>
      <c r="L45" s="761">
        <v>4</v>
      </c>
      <c r="M45" s="761">
        <v>4</v>
      </c>
      <c r="N45" s="761">
        <v>4</v>
      </c>
      <c r="O45" s="768">
        <v>4</v>
      </c>
      <c r="P45" s="761">
        <v>4</v>
      </c>
      <c r="Q45" s="761"/>
      <c r="R45" s="770"/>
      <c r="S45" s="761" t="s">
        <v>481</v>
      </c>
      <c r="T45" s="761" t="s">
        <v>481</v>
      </c>
      <c r="U45" s="761" t="s">
        <v>481</v>
      </c>
      <c r="V45" s="761" t="s">
        <v>481</v>
      </c>
      <c r="W45" s="761" t="s">
        <v>481</v>
      </c>
      <c r="X45" s="761"/>
      <c r="Y45" s="761"/>
      <c r="Z45" s="761">
        <v>1</v>
      </c>
      <c r="AA45" s="761">
        <v>1</v>
      </c>
      <c r="AB45" s="761">
        <v>1</v>
      </c>
      <c r="AC45" s="761">
        <v>1</v>
      </c>
      <c r="AD45" s="761">
        <v>1</v>
      </c>
      <c r="AE45" s="761"/>
      <c r="AF45" s="761"/>
      <c r="AG45" s="761"/>
      <c r="AH45" s="924">
        <v>150.5</v>
      </c>
      <c r="AI45" s="925">
        <v>37</v>
      </c>
    </row>
    <row r="46" spans="1:38" ht="21.95" customHeight="1">
      <c r="A46" s="545">
        <v>4</v>
      </c>
      <c r="B46" s="319" t="s">
        <v>527</v>
      </c>
      <c r="C46" s="768"/>
      <c r="D46" s="768"/>
      <c r="E46" s="768">
        <v>6</v>
      </c>
      <c r="F46" s="768">
        <v>6</v>
      </c>
      <c r="G46" s="768">
        <v>6</v>
      </c>
      <c r="H46" s="768">
        <v>6</v>
      </c>
      <c r="I46" s="768">
        <v>6</v>
      </c>
      <c r="J46" s="764" t="s">
        <v>512</v>
      </c>
      <c r="K46" s="764" t="s">
        <v>484</v>
      </c>
      <c r="L46" s="764" t="s">
        <v>481</v>
      </c>
      <c r="M46" s="1024" t="s">
        <v>481</v>
      </c>
      <c r="N46" s="764" t="s">
        <v>481</v>
      </c>
      <c r="O46" s="764" t="s">
        <v>481</v>
      </c>
      <c r="P46" s="764" t="s">
        <v>481</v>
      </c>
      <c r="Q46" s="764"/>
      <c r="R46" s="764"/>
      <c r="S46" s="1252">
        <v>5</v>
      </c>
      <c r="T46" s="764">
        <v>5</v>
      </c>
      <c r="U46" s="764">
        <v>5</v>
      </c>
      <c r="V46" s="764">
        <v>5</v>
      </c>
      <c r="W46" s="764">
        <v>5</v>
      </c>
      <c r="X46" s="764"/>
      <c r="Y46" s="764"/>
      <c r="Z46" s="764">
        <v>10</v>
      </c>
      <c r="AA46" s="764">
        <v>10</v>
      </c>
      <c r="AB46" s="764">
        <v>10</v>
      </c>
      <c r="AC46" s="764">
        <v>10</v>
      </c>
      <c r="AD46" s="764">
        <v>10</v>
      </c>
      <c r="AE46" s="764" t="s">
        <v>514</v>
      </c>
      <c r="AF46" s="764" t="s">
        <v>514</v>
      </c>
      <c r="AG46" s="771"/>
      <c r="AH46" s="924">
        <v>62</v>
      </c>
      <c r="AI46" s="925">
        <v>37</v>
      </c>
    </row>
    <row r="47" spans="1:38" ht="21.95" customHeight="1">
      <c r="A47" s="541">
        <v>9</v>
      </c>
      <c r="B47" s="319" t="s">
        <v>528</v>
      </c>
      <c r="C47" s="768" t="s">
        <v>515</v>
      </c>
      <c r="D47" s="768" t="s">
        <v>515</v>
      </c>
      <c r="E47" s="768">
        <v>7</v>
      </c>
      <c r="F47" s="768">
        <v>7</v>
      </c>
      <c r="G47" s="768">
        <v>7</v>
      </c>
      <c r="H47" s="768">
        <v>7</v>
      </c>
      <c r="I47" s="768">
        <v>7</v>
      </c>
      <c r="J47" s="768"/>
      <c r="K47" s="768"/>
      <c r="L47" s="977">
        <v>4</v>
      </c>
      <c r="M47" s="977">
        <v>4</v>
      </c>
      <c r="N47" s="977">
        <v>4</v>
      </c>
      <c r="O47" s="977">
        <v>4</v>
      </c>
      <c r="P47" s="977">
        <v>4</v>
      </c>
      <c r="Q47" s="768"/>
      <c r="R47" s="768"/>
      <c r="S47" s="970">
        <v>3</v>
      </c>
      <c r="T47" s="970">
        <v>3</v>
      </c>
      <c r="U47" s="970">
        <v>3</v>
      </c>
      <c r="V47" s="970">
        <v>3</v>
      </c>
      <c r="W47" s="970">
        <v>3</v>
      </c>
      <c r="X47" s="970"/>
      <c r="Y47" s="970"/>
      <c r="Z47" s="970">
        <v>11</v>
      </c>
      <c r="AA47" s="970">
        <v>11</v>
      </c>
      <c r="AB47" s="1007">
        <v>11</v>
      </c>
      <c r="AC47" s="1007">
        <v>11</v>
      </c>
      <c r="AD47" s="980">
        <v>11</v>
      </c>
      <c r="AE47" s="980" t="s">
        <v>517</v>
      </c>
      <c r="AF47" s="980" t="s">
        <v>517</v>
      </c>
      <c r="AG47" s="769"/>
      <c r="AH47" s="924">
        <v>0</v>
      </c>
      <c r="AI47" s="925">
        <v>0</v>
      </c>
    </row>
    <row r="48" spans="1:38" ht="21.95" customHeight="1" thickBot="1">
      <c r="A48" s="543">
        <v>14</v>
      </c>
      <c r="B48" s="544" t="s">
        <v>529</v>
      </c>
      <c r="C48" s="761"/>
      <c r="D48" s="761"/>
      <c r="E48" s="764">
        <v>8</v>
      </c>
      <c r="F48" s="764">
        <v>8</v>
      </c>
      <c r="G48" s="768">
        <v>8</v>
      </c>
      <c r="H48" s="764">
        <v>8</v>
      </c>
      <c r="I48" s="764">
        <v>8</v>
      </c>
      <c r="J48" s="764" t="s">
        <v>513</v>
      </c>
      <c r="K48" s="764" t="s">
        <v>513</v>
      </c>
      <c r="L48" s="761" t="s">
        <v>481</v>
      </c>
      <c r="M48" s="761" t="s">
        <v>481</v>
      </c>
      <c r="N48" s="761" t="s">
        <v>481</v>
      </c>
      <c r="O48" s="761" t="s">
        <v>481</v>
      </c>
      <c r="P48" s="761" t="s">
        <v>481</v>
      </c>
      <c r="Q48" s="761"/>
      <c r="R48" s="761"/>
      <c r="S48" s="761">
        <v>1</v>
      </c>
      <c r="T48" s="761">
        <v>1</v>
      </c>
      <c r="U48" s="761">
        <v>1</v>
      </c>
      <c r="V48" s="761">
        <v>1</v>
      </c>
      <c r="W48" s="761">
        <v>1</v>
      </c>
      <c r="X48" s="761"/>
      <c r="Y48" s="761"/>
      <c r="Z48" s="761">
        <v>9</v>
      </c>
      <c r="AA48" s="761">
        <v>9</v>
      </c>
      <c r="AB48" s="761">
        <v>9</v>
      </c>
      <c r="AC48" s="761">
        <v>9</v>
      </c>
      <c r="AD48" s="761">
        <v>9</v>
      </c>
      <c r="AE48" s="761" t="s">
        <v>519</v>
      </c>
      <c r="AF48" s="761" t="s">
        <v>514</v>
      </c>
      <c r="AG48" s="780"/>
      <c r="AH48" s="924">
        <v>129</v>
      </c>
      <c r="AI48" s="925">
        <v>37</v>
      </c>
    </row>
    <row r="49" spans="1:35" ht="21.95" customHeight="1">
      <c r="A49" s="540">
        <v>5</v>
      </c>
      <c r="B49" s="542" t="s">
        <v>530</v>
      </c>
      <c r="C49" s="763" t="s">
        <v>512</v>
      </c>
      <c r="D49" s="763" t="s">
        <v>513</v>
      </c>
      <c r="E49" s="763" t="s">
        <v>481</v>
      </c>
      <c r="F49" s="763" t="s">
        <v>481</v>
      </c>
      <c r="G49" s="768" t="s">
        <v>481</v>
      </c>
      <c r="H49" s="763" t="s">
        <v>481</v>
      </c>
      <c r="I49" s="763" t="s">
        <v>481</v>
      </c>
      <c r="J49" s="763"/>
      <c r="K49" s="763"/>
      <c r="L49" s="974">
        <v>5</v>
      </c>
      <c r="M49" s="974">
        <v>5</v>
      </c>
      <c r="N49" s="974">
        <v>5</v>
      </c>
      <c r="O49" s="974">
        <v>5</v>
      </c>
      <c r="P49" s="974">
        <v>5</v>
      </c>
      <c r="Q49" s="974"/>
      <c r="R49" s="974"/>
      <c r="S49" s="1038">
        <v>10</v>
      </c>
      <c r="T49" s="1038">
        <v>10</v>
      </c>
      <c r="U49" s="1038">
        <v>10</v>
      </c>
      <c r="V49" s="1038">
        <v>10</v>
      </c>
      <c r="W49" s="1038">
        <v>10</v>
      </c>
      <c r="X49" s="1038" t="s">
        <v>514</v>
      </c>
      <c r="Y49" s="1038" t="s">
        <v>771</v>
      </c>
      <c r="Z49" s="987" t="s">
        <v>481</v>
      </c>
      <c r="AA49" s="987" t="s">
        <v>481</v>
      </c>
      <c r="AB49" s="987" t="s">
        <v>481</v>
      </c>
      <c r="AC49" s="768" t="s">
        <v>481</v>
      </c>
      <c r="AD49" s="768" t="s">
        <v>481</v>
      </c>
      <c r="AE49" s="781" t="s">
        <v>515</v>
      </c>
      <c r="AF49" s="763" t="s">
        <v>515</v>
      </c>
      <c r="AG49" s="781"/>
      <c r="AH49" s="924">
        <v>33</v>
      </c>
      <c r="AI49" s="925">
        <v>37</v>
      </c>
    </row>
    <row r="50" spans="1:35" ht="21.95" customHeight="1">
      <c r="A50" s="541">
        <v>10</v>
      </c>
      <c r="B50" s="319" t="s">
        <v>531</v>
      </c>
      <c r="C50" s="768"/>
      <c r="D50" s="768"/>
      <c r="E50" s="768">
        <v>4</v>
      </c>
      <c r="F50" s="768">
        <v>4</v>
      </c>
      <c r="G50" s="768">
        <v>4</v>
      </c>
      <c r="H50" s="768">
        <v>4</v>
      </c>
      <c r="I50" s="768">
        <v>4</v>
      </c>
      <c r="J50" s="768"/>
      <c r="K50" s="768"/>
      <c r="L50" s="768">
        <v>3</v>
      </c>
      <c r="M50" s="1007">
        <v>3</v>
      </c>
      <c r="N50" s="1007">
        <v>3</v>
      </c>
      <c r="O50" s="768">
        <v>3</v>
      </c>
      <c r="P50" s="768">
        <v>3</v>
      </c>
      <c r="Q50" s="768"/>
      <c r="R50" s="768"/>
      <c r="S50" s="768">
        <v>11</v>
      </c>
      <c r="T50" s="768">
        <v>11</v>
      </c>
      <c r="U50" s="768">
        <v>11</v>
      </c>
      <c r="V50" s="768">
        <v>11</v>
      </c>
      <c r="W50" s="768">
        <v>11</v>
      </c>
      <c r="X50" s="768" t="s">
        <v>517</v>
      </c>
      <c r="Y50" s="768" t="s">
        <v>517</v>
      </c>
      <c r="Z50" s="768" t="s">
        <v>481</v>
      </c>
      <c r="AA50" s="768" t="s">
        <v>481</v>
      </c>
      <c r="AB50" s="768" t="s">
        <v>481</v>
      </c>
      <c r="AC50" s="768" t="s">
        <v>481</v>
      </c>
      <c r="AD50" s="768" t="s">
        <v>481</v>
      </c>
      <c r="AE50" s="769"/>
      <c r="AF50" s="768"/>
      <c r="AG50" s="769"/>
      <c r="AH50" s="924">
        <v>100</v>
      </c>
      <c r="AI50" s="925">
        <v>37</v>
      </c>
    </row>
    <row r="51" spans="1:35" ht="21.95" customHeight="1" thickBot="1">
      <c r="A51" s="543">
        <v>15</v>
      </c>
      <c r="B51" s="52" t="s">
        <v>532</v>
      </c>
      <c r="C51" s="761" t="s">
        <v>513</v>
      </c>
      <c r="D51" s="761" t="s">
        <v>513</v>
      </c>
      <c r="E51" s="761" t="s">
        <v>481</v>
      </c>
      <c r="F51" s="761" t="s">
        <v>481</v>
      </c>
      <c r="G51" s="761" t="s">
        <v>481</v>
      </c>
      <c r="H51" s="761" t="s">
        <v>481</v>
      </c>
      <c r="I51" s="761" t="s">
        <v>481</v>
      </c>
      <c r="J51" s="761"/>
      <c r="K51" s="761"/>
      <c r="L51" s="761">
        <v>1</v>
      </c>
      <c r="M51" s="761">
        <v>1</v>
      </c>
      <c r="N51" s="761">
        <v>1</v>
      </c>
      <c r="O51" s="761">
        <v>1</v>
      </c>
      <c r="P51" s="761">
        <v>1</v>
      </c>
      <c r="Q51" s="761"/>
      <c r="R51" s="761"/>
      <c r="S51" s="761">
        <v>9</v>
      </c>
      <c r="T51" s="761">
        <v>9</v>
      </c>
      <c r="U51" s="761">
        <v>9</v>
      </c>
      <c r="V51" s="761">
        <v>9</v>
      </c>
      <c r="W51" s="761">
        <v>9</v>
      </c>
      <c r="X51" s="761" t="s">
        <v>519</v>
      </c>
      <c r="Y51" s="761" t="s">
        <v>514</v>
      </c>
      <c r="Z51" s="761" t="s">
        <v>481</v>
      </c>
      <c r="AA51" s="761" t="s">
        <v>481</v>
      </c>
      <c r="AB51" s="761" t="s">
        <v>481</v>
      </c>
      <c r="AC51" s="761" t="s">
        <v>481</v>
      </c>
      <c r="AD51" s="761" t="s">
        <v>481</v>
      </c>
      <c r="AE51" s="780"/>
      <c r="AF51" s="761"/>
      <c r="AG51" s="780"/>
      <c r="AH51" s="924">
        <v>94</v>
      </c>
      <c r="AI51" s="925">
        <v>37</v>
      </c>
    </row>
    <row r="52" spans="1:35" ht="21.95" customHeight="1">
      <c r="A52" s="516"/>
      <c r="C52" s="538"/>
      <c r="D52" s="538"/>
      <c r="E52" s="538"/>
      <c r="F52" s="538"/>
      <c r="G52" s="538"/>
      <c r="H52" s="538"/>
      <c r="I52" s="538"/>
      <c r="J52" s="538"/>
      <c r="K52" s="538"/>
      <c r="L52" s="538"/>
      <c r="M52" s="538"/>
      <c r="N52" s="538"/>
      <c r="O52" s="538"/>
      <c r="P52" s="538"/>
      <c r="Q52" s="538"/>
      <c r="R52" s="538"/>
      <c r="S52" s="538"/>
      <c r="T52" s="538"/>
      <c r="U52" s="538"/>
      <c r="V52" s="538"/>
      <c r="W52" s="538"/>
      <c r="X52" s="538"/>
      <c r="Y52" s="538"/>
      <c r="Z52" s="538"/>
      <c r="AA52" s="538"/>
      <c r="AB52" s="538"/>
      <c r="AC52" s="538"/>
      <c r="AD52" s="538"/>
      <c r="AE52" s="538"/>
      <c r="AF52" s="538"/>
      <c r="AG52" s="538"/>
      <c r="AH52" s="1"/>
    </row>
    <row r="53" spans="1:35" ht="21.95" customHeight="1">
      <c r="A53" s="516"/>
      <c r="C53" s="538"/>
      <c r="D53" s="538"/>
      <c r="E53" s="538"/>
      <c r="F53" s="538"/>
      <c r="G53" s="538"/>
      <c r="H53" s="538"/>
      <c r="I53" s="538"/>
      <c r="J53" s="538"/>
      <c r="K53" s="538"/>
      <c r="L53" s="538"/>
      <c r="M53" s="538"/>
      <c r="N53" s="538"/>
      <c r="O53" s="538"/>
      <c r="P53" s="538"/>
      <c r="Q53" s="538"/>
      <c r="R53" s="538"/>
      <c r="S53" s="538"/>
      <c r="T53" s="538"/>
      <c r="U53" s="538"/>
      <c r="V53" s="538"/>
      <c r="W53" s="538"/>
      <c r="X53" s="538"/>
      <c r="Y53" s="538"/>
      <c r="Z53" s="538"/>
      <c r="AA53" s="538"/>
      <c r="AB53" s="538"/>
      <c r="AC53" s="538"/>
      <c r="AD53" s="538"/>
      <c r="AE53" s="538"/>
      <c r="AF53" s="538"/>
      <c r="AG53" s="538"/>
      <c r="AH53" s="1"/>
    </row>
    <row r="54" spans="1:35" ht="21.95" customHeight="1">
      <c r="A54" s="516"/>
      <c r="C54" s="538"/>
      <c r="D54" s="538"/>
      <c r="E54" s="538"/>
      <c r="F54" s="538"/>
      <c r="G54" s="538"/>
      <c r="H54" s="538"/>
      <c r="I54" s="538"/>
      <c r="J54" s="538"/>
      <c r="K54" s="538"/>
      <c r="L54" s="538"/>
      <c r="M54" s="538"/>
      <c r="N54" s="538"/>
      <c r="O54" s="538"/>
      <c r="P54" s="538"/>
      <c r="Q54" s="538"/>
      <c r="R54" s="538"/>
      <c r="S54" s="538"/>
      <c r="T54" s="538"/>
      <c r="U54" s="538"/>
      <c r="V54" s="538"/>
      <c r="W54" s="538"/>
      <c r="X54" s="538"/>
      <c r="Y54" s="538"/>
      <c r="Z54" s="538"/>
      <c r="AA54" s="538"/>
      <c r="AB54" s="538"/>
      <c r="AC54" s="538"/>
      <c r="AD54" s="538"/>
      <c r="AE54" s="538"/>
      <c r="AF54" s="538"/>
      <c r="AG54" s="538"/>
      <c r="AH54" s="1"/>
    </row>
    <row r="55" spans="1:35" ht="21.95" customHeight="1" thickBot="1">
      <c r="A55" s="554"/>
      <c r="C55" s="555"/>
      <c r="D55" s="555"/>
      <c r="E55" s="555"/>
      <c r="F55" s="555"/>
      <c r="G55" s="555"/>
      <c r="H55" s="555"/>
      <c r="I55" s="555"/>
      <c r="J55" s="555"/>
      <c r="K55" s="555"/>
      <c r="L55" s="555"/>
      <c r="M55" s="555"/>
      <c r="N55" s="555"/>
      <c r="O55" s="555"/>
      <c r="P55" s="555"/>
      <c r="Q55" s="555"/>
      <c r="R55" s="555"/>
      <c r="S55" s="555"/>
      <c r="T55" s="555"/>
      <c r="U55" s="555"/>
      <c r="V55" s="555"/>
      <c r="W55" s="555"/>
      <c r="X55" s="555"/>
      <c r="Y55" s="555"/>
      <c r="Z55" s="555"/>
      <c r="AA55" s="555"/>
      <c r="AB55" s="555"/>
      <c r="AC55" s="555"/>
      <c r="AD55" s="555"/>
      <c r="AE55" s="555"/>
      <c r="AF55" s="555"/>
      <c r="AG55" s="555"/>
      <c r="AH55" s="556"/>
      <c r="AI55" s="556"/>
    </row>
    <row r="56" spans="1:35" ht="21.95" customHeight="1">
      <c r="A56" s="361"/>
      <c r="B56" s="23" t="s">
        <v>533</v>
      </c>
      <c r="C56" s="7"/>
      <c r="D56" s="414" t="s">
        <v>2</v>
      </c>
      <c r="E56" s="547"/>
      <c r="F56" s="7"/>
      <c r="G56" s="6" t="s">
        <v>3</v>
      </c>
      <c r="H56" s="548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49"/>
      <c r="R56" s="118"/>
      <c r="S56" s="6" t="s">
        <v>7</v>
      </c>
      <c r="T56" s="550"/>
      <c r="U56" s="118"/>
      <c r="V56" s="6" t="s">
        <v>8</v>
      </c>
      <c r="W56" s="549"/>
      <c r="X56" s="349" t="s">
        <v>9</v>
      </c>
      <c r="Y56" s="557"/>
      <c r="Z56" s="557"/>
      <c r="AA56" s="558"/>
      <c r="AB56" s="27" t="s">
        <v>10</v>
      </c>
      <c r="AC56" s="551"/>
      <c r="AD56" s="551"/>
      <c r="AE56" s="559"/>
      <c r="AF56" s="559"/>
      <c r="AG56" s="560"/>
    </row>
    <row r="57" spans="1:35" ht="21.95" customHeight="1">
      <c r="A57" s="361"/>
      <c r="B57" s="306" t="s">
        <v>534</v>
      </c>
      <c r="C57" s="561" t="s">
        <v>535</v>
      </c>
      <c r="D57" s="483"/>
      <c r="E57" s="484"/>
      <c r="F57" s="561" t="s">
        <v>535</v>
      </c>
      <c r="G57" s="483"/>
      <c r="H57" s="484"/>
      <c r="I57" s="561" t="s">
        <v>535</v>
      </c>
      <c r="J57" s="483"/>
      <c r="K57" s="484"/>
      <c r="L57" s="561" t="s">
        <v>535</v>
      </c>
      <c r="M57" s="483"/>
      <c r="N57" s="484"/>
      <c r="O57" s="561" t="s">
        <v>116</v>
      </c>
      <c r="P57" s="483"/>
      <c r="Q57" s="484"/>
      <c r="R57" s="561"/>
      <c r="S57" s="483"/>
      <c r="T57" s="484"/>
      <c r="U57" s="561"/>
      <c r="V57" s="483"/>
      <c r="W57" s="484"/>
      <c r="X57" s="561"/>
      <c r="Y57" s="483"/>
      <c r="Z57" s="483"/>
      <c r="AA57" s="483"/>
      <c r="AB57" s="476"/>
      <c r="AC57" s="483"/>
      <c r="AD57" s="483"/>
      <c r="AE57" s="483"/>
      <c r="AF57" s="483"/>
      <c r="AG57" s="562"/>
    </row>
    <row r="58" spans="1:35" ht="21.95" customHeight="1">
      <c r="A58" s="361"/>
      <c r="B58" s="306" t="s">
        <v>536</v>
      </c>
      <c r="C58" s="561" t="s">
        <v>147</v>
      </c>
      <c r="D58" s="483"/>
      <c r="E58" s="484"/>
      <c r="F58" s="561" t="s">
        <v>147</v>
      </c>
      <c r="G58" s="483"/>
      <c r="H58" s="484"/>
      <c r="I58" s="561" t="s">
        <v>147</v>
      </c>
      <c r="J58" s="483"/>
      <c r="K58" s="484"/>
      <c r="L58" s="561" t="s">
        <v>147</v>
      </c>
      <c r="M58" s="483"/>
      <c r="N58" s="484"/>
      <c r="O58" s="561" t="s">
        <v>537</v>
      </c>
      <c r="P58" s="483"/>
      <c r="Q58" s="484"/>
      <c r="R58" s="561"/>
      <c r="S58" s="483"/>
      <c r="T58" s="484"/>
      <c r="U58" s="561"/>
      <c r="V58" s="483"/>
      <c r="W58" s="484"/>
      <c r="X58" s="561"/>
      <c r="Y58" s="483"/>
      <c r="Z58" s="483"/>
      <c r="AA58" s="483"/>
      <c r="AB58" s="476"/>
      <c r="AC58" s="483"/>
      <c r="AD58" s="483"/>
      <c r="AE58" s="483"/>
      <c r="AF58" s="483"/>
      <c r="AG58" s="562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 thickBot="1">
      <c r="A60" s="861" t="s">
        <v>475</v>
      </c>
      <c r="B60" s="862" t="s">
        <v>476</v>
      </c>
      <c r="C60" s="880">
        <v>1</v>
      </c>
      <c r="D60" s="880">
        <v>2</v>
      </c>
      <c r="E60" s="863">
        <v>3</v>
      </c>
      <c r="F60" s="863">
        <v>4</v>
      </c>
      <c r="G60" s="863">
        <v>5</v>
      </c>
      <c r="H60" s="863">
        <v>6</v>
      </c>
      <c r="I60" s="863">
        <v>7</v>
      </c>
      <c r="J60" s="880">
        <v>8</v>
      </c>
      <c r="K60" s="880">
        <v>9</v>
      </c>
      <c r="L60" s="863">
        <v>10</v>
      </c>
      <c r="M60" s="863">
        <v>11</v>
      </c>
      <c r="N60" s="863">
        <v>12</v>
      </c>
      <c r="O60" s="863">
        <v>13</v>
      </c>
      <c r="P60" s="863">
        <v>14</v>
      </c>
      <c r="Q60" s="880">
        <v>15</v>
      </c>
      <c r="R60" s="880">
        <v>16</v>
      </c>
      <c r="S60" s="863">
        <v>17</v>
      </c>
      <c r="T60" s="863">
        <v>18</v>
      </c>
      <c r="U60" s="863">
        <v>19</v>
      </c>
      <c r="V60" s="863">
        <v>20</v>
      </c>
      <c r="W60" s="863">
        <v>21</v>
      </c>
      <c r="X60" s="880">
        <v>22</v>
      </c>
      <c r="Y60" s="880">
        <v>23</v>
      </c>
      <c r="Z60" s="863">
        <v>24</v>
      </c>
      <c r="AA60" s="863">
        <v>25</v>
      </c>
      <c r="AB60" s="863">
        <v>26</v>
      </c>
      <c r="AC60" s="863">
        <v>27</v>
      </c>
      <c r="AD60" s="863">
        <v>28</v>
      </c>
      <c r="AE60" s="880">
        <v>29</v>
      </c>
      <c r="AF60" s="880">
        <v>30</v>
      </c>
      <c r="AG60" s="943"/>
      <c r="AH60" s="864" t="s">
        <v>477</v>
      </c>
      <c r="AI60" s="865" t="s">
        <v>478</v>
      </c>
    </row>
    <row r="61" spans="1:35" ht="21.95" customHeight="1">
      <c r="A61" s="860">
        <v>8520</v>
      </c>
      <c r="B61" s="860" t="s">
        <v>538</v>
      </c>
      <c r="C61" s="764"/>
      <c r="D61" s="764"/>
      <c r="E61" s="764" t="s">
        <v>539</v>
      </c>
      <c r="F61" s="764" t="s">
        <v>539</v>
      </c>
      <c r="G61" s="837" t="s">
        <v>539</v>
      </c>
      <c r="H61" s="764" t="s">
        <v>539</v>
      </c>
      <c r="I61" s="764" t="s">
        <v>539</v>
      </c>
      <c r="J61" s="764"/>
      <c r="K61" s="764"/>
      <c r="L61" s="1000" t="s">
        <v>539</v>
      </c>
      <c r="M61" s="1000" t="s">
        <v>539</v>
      </c>
      <c r="N61" s="1000" t="s">
        <v>539</v>
      </c>
      <c r="O61" s="1000" t="s">
        <v>539</v>
      </c>
      <c r="P61" s="1000" t="s">
        <v>780</v>
      </c>
      <c r="Q61" s="764"/>
      <c r="R61" s="764"/>
      <c r="S61" s="764" t="s">
        <v>539</v>
      </c>
      <c r="T61" s="764" t="s">
        <v>539</v>
      </c>
      <c r="U61" s="764" t="s">
        <v>539</v>
      </c>
      <c r="V61" s="764" t="s">
        <v>539</v>
      </c>
      <c r="W61" s="764" t="s">
        <v>539</v>
      </c>
      <c r="X61" s="764"/>
      <c r="Y61" s="764"/>
      <c r="Z61" s="764" t="s">
        <v>539</v>
      </c>
      <c r="AA61" s="764" t="s">
        <v>539</v>
      </c>
      <c r="AB61" s="764" t="s">
        <v>539</v>
      </c>
      <c r="AC61" s="764" t="s">
        <v>539</v>
      </c>
      <c r="AD61" s="764" t="s">
        <v>539</v>
      </c>
      <c r="AE61" s="764"/>
      <c r="AF61" s="764"/>
      <c r="AG61" s="764"/>
      <c r="AH61" s="510">
        <v>75</v>
      </c>
      <c r="AI61" s="511">
        <v>37</v>
      </c>
    </row>
    <row r="62" spans="1:35" ht="21.95" customHeight="1" thickBot="1">
      <c r="A62" s="866">
        <v>8521</v>
      </c>
      <c r="B62" s="866"/>
      <c r="C62" s="867"/>
      <c r="D62" s="867"/>
      <c r="E62" s="867" t="s">
        <v>540</v>
      </c>
      <c r="F62" s="867" t="s">
        <v>540</v>
      </c>
      <c r="G62" s="867" t="s">
        <v>540</v>
      </c>
      <c r="H62" s="867" t="s">
        <v>540</v>
      </c>
      <c r="I62" s="867" t="s">
        <v>540</v>
      </c>
      <c r="J62" s="867"/>
      <c r="K62" s="867"/>
      <c r="L62" s="867" t="s">
        <v>540</v>
      </c>
      <c r="M62" s="867" t="s">
        <v>540</v>
      </c>
      <c r="N62" s="867" t="s">
        <v>540</v>
      </c>
      <c r="O62" s="867" t="s">
        <v>540</v>
      </c>
      <c r="P62" s="867" t="s">
        <v>540</v>
      </c>
      <c r="Q62" s="867"/>
      <c r="R62" s="867"/>
      <c r="S62" s="867" t="s">
        <v>540</v>
      </c>
      <c r="T62" s="867" t="s">
        <v>540</v>
      </c>
      <c r="U62" s="867" t="s">
        <v>540</v>
      </c>
      <c r="V62" s="867" t="s">
        <v>540</v>
      </c>
      <c r="W62" s="867" t="s">
        <v>540</v>
      </c>
      <c r="X62" s="867"/>
      <c r="Y62" s="867"/>
      <c r="Z62" s="867" t="s">
        <v>540</v>
      </c>
      <c r="AA62" s="867" t="s">
        <v>540</v>
      </c>
      <c r="AB62" s="867" t="s">
        <v>540</v>
      </c>
      <c r="AC62" s="867" t="s">
        <v>540</v>
      </c>
      <c r="AD62" s="867" t="s">
        <v>540</v>
      </c>
      <c r="AE62" s="867"/>
      <c r="AF62" s="867"/>
      <c r="AG62" s="867"/>
      <c r="AH62" s="868">
        <v>185</v>
      </c>
      <c r="AI62" s="869">
        <v>37</v>
      </c>
    </row>
    <row r="63" spans="1:35" ht="21.95" customHeight="1">
      <c r="A63" s="361"/>
      <c r="B63" s="361"/>
      <c r="C63" s="538"/>
      <c r="D63" s="517"/>
      <c r="E63" s="517"/>
      <c r="F63" s="517"/>
      <c r="G63" s="517"/>
      <c r="H63" s="517"/>
      <c r="I63" s="517"/>
      <c r="J63" s="517"/>
      <c r="K63" s="517"/>
      <c r="L63" s="517"/>
      <c r="M63" s="517"/>
      <c r="N63" s="517"/>
      <c r="O63" s="517"/>
      <c r="P63" s="517"/>
      <c r="Q63" s="517"/>
      <c r="R63" s="517"/>
      <c r="S63" s="517"/>
      <c r="T63" s="517"/>
      <c r="U63" s="517"/>
      <c r="V63" s="517"/>
      <c r="W63" s="517"/>
      <c r="X63" s="517"/>
      <c r="Y63" s="517"/>
      <c r="Z63" s="517"/>
      <c r="AA63" s="517"/>
      <c r="AB63" s="517"/>
      <c r="AC63" s="517"/>
      <c r="AD63" s="517"/>
      <c r="AE63" s="517"/>
      <c r="AF63" s="517"/>
      <c r="AG63" s="517"/>
      <c r="AH63" s="556"/>
      <c r="AI63" s="556"/>
    </row>
    <row r="64" spans="1:35" ht="21.95" customHeight="1">
      <c r="A64" s="361"/>
      <c r="B64" s="361"/>
      <c r="C64" s="538"/>
      <c r="D64" s="517"/>
      <c r="E64" s="517"/>
      <c r="F64" s="517"/>
      <c r="G64" s="517"/>
      <c r="H64" s="517"/>
      <c r="I64" s="517"/>
      <c r="J64" s="517"/>
      <c r="K64" s="517"/>
      <c r="L64" s="517"/>
      <c r="M64" s="517"/>
      <c r="N64" s="517"/>
      <c r="O64" s="517"/>
      <c r="P64" s="517"/>
      <c r="Q64" s="517"/>
      <c r="R64" s="517"/>
      <c r="S64" s="517"/>
      <c r="T64" s="517"/>
      <c r="U64" s="517"/>
      <c r="V64" s="517"/>
      <c r="W64" s="517"/>
      <c r="X64" s="517"/>
      <c r="Y64" s="517"/>
      <c r="Z64" s="517"/>
      <c r="AA64" s="517"/>
      <c r="AB64" s="517"/>
      <c r="AC64" s="517"/>
      <c r="AD64" s="517"/>
      <c r="AE64" s="517"/>
      <c r="AF64" s="517"/>
      <c r="AG64" s="517"/>
      <c r="AH64" s="556"/>
      <c r="AI64" s="556"/>
    </row>
    <row r="65" spans="1:35" ht="21.95" customHeight="1">
      <c r="A65" s="361"/>
      <c r="B65" s="361"/>
      <c r="C65" s="538"/>
      <c r="D65" s="517"/>
      <c r="E65" s="517"/>
      <c r="F65" s="517"/>
      <c r="G65" s="517"/>
      <c r="H65" s="517"/>
      <c r="I65" s="517"/>
      <c r="J65" s="517"/>
      <c r="K65" s="517"/>
      <c r="L65" s="517"/>
      <c r="M65" s="517"/>
      <c r="N65" s="517"/>
      <c r="O65" s="517"/>
      <c r="P65" s="517"/>
      <c r="Q65" s="517"/>
      <c r="R65" s="517"/>
      <c r="S65" s="517"/>
      <c r="T65" s="517"/>
      <c r="U65" s="517"/>
      <c r="V65" s="517"/>
      <c r="W65" s="517"/>
      <c r="X65" s="517"/>
      <c r="Y65" s="517"/>
      <c r="Z65" s="517"/>
      <c r="AA65" s="517"/>
      <c r="AB65" s="517"/>
      <c r="AC65" s="517"/>
      <c r="AD65" s="517"/>
      <c r="AE65" s="517"/>
      <c r="AF65" s="517"/>
      <c r="AG65" s="517"/>
      <c r="AH65" s="556"/>
      <c r="AI65" s="556"/>
    </row>
    <row r="66" spans="1:35" ht="21.95" customHeight="1" thickBot="1">
      <c r="A66" s="1" t="s">
        <v>541</v>
      </c>
      <c r="D66" s="361"/>
      <c r="E66" s="361"/>
      <c r="F66" s="361"/>
      <c r="G66" s="546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35" ht="21.95" customHeight="1">
      <c r="A67" s="1"/>
      <c r="B67" s="23" t="s">
        <v>542</v>
      </c>
      <c r="C67" s="7"/>
      <c r="D67" s="522" t="s">
        <v>2</v>
      </c>
      <c r="E67" s="51"/>
      <c r="F67" s="548"/>
      <c r="G67" s="7"/>
      <c r="H67" s="522" t="s">
        <v>3</v>
      </c>
      <c r="I67" s="51"/>
      <c r="J67" s="548"/>
      <c r="K67" s="7"/>
      <c r="L67" s="522" t="s">
        <v>4</v>
      </c>
      <c r="M67" s="51"/>
      <c r="N67" s="548"/>
      <c r="O67" s="7"/>
      <c r="P67" s="522" t="s">
        <v>5</v>
      </c>
      <c r="Q67" s="51"/>
      <c r="R67" s="548"/>
      <c r="S67" s="7"/>
      <c r="T67" s="522" t="s">
        <v>6</v>
      </c>
      <c r="U67" s="51"/>
      <c r="V67" s="548"/>
      <c r="W67" s="27"/>
      <c r="X67" s="713" t="s">
        <v>7</v>
      </c>
      <c r="Y67" s="519"/>
      <c r="Z67" s="238"/>
      <c r="AA67" s="7"/>
      <c r="AB67" s="522" t="s">
        <v>8</v>
      </c>
      <c r="AC67" s="51"/>
      <c r="AD67" s="51"/>
      <c r="AE67" s="349" t="s">
        <v>9</v>
      </c>
      <c r="AF67" s="51"/>
      <c r="AG67" s="51"/>
      <c r="AH67" s="51"/>
      <c r="AI67" s="523"/>
    </row>
    <row r="68" spans="1:35" ht="21.95" customHeight="1">
      <c r="A68" s="1"/>
      <c r="B68" s="129" t="s">
        <v>324</v>
      </c>
      <c r="C68" s="563" t="s">
        <v>735</v>
      </c>
      <c r="E68" s="157"/>
      <c r="F68" s="564"/>
      <c r="G68" s="563" t="s">
        <v>735</v>
      </c>
      <c r="H68" s="157"/>
      <c r="I68" s="157"/>
      <c r="J68" s="564"/>
      <c r="K68" s="563" t="s">
        <v>735</v>
      </c>
      <c r="L68" s="157"/>
      <c r="M68" s="157"/>
      <c r="N68" s="564"/>
      <c r="O68" s="563" t="s">
        <v>544</v>
      </c>
      <c r="P68" s="157"/>
      <c r="Q68" s="157"/>
      <c r="R68" s="564"/>
      <c r="S68" s="563" t="s">
        <v>736</v>
      </c>
      <c r="T68" s="157"/>
      <c r="U68" s="157"/>
      <c r="V68" s="565"/>
      <c r="W68" s="714"/>
      <c r="X68" s="715"/>
      <c r="Y68" s="715"/>
      <c r="Z68" s="716"/>
      <c r="AA68" s="565"/>
      <c r="AB68" s="157"/>
      <c r="AC68" s="157"/>
      <c r="AD68" s="565"/>
      <c r="AE68" s="121">
        <v>37</v>
      </c>
      <c r="AG68" s="157"/>
      <c r="AH68" s="565"/>
      <c r="AI68" s="490"/>
    </row>
    <row r="69" spans="1:35" ht="21.95" customHeight="1">
      <c r="A69" s="1"/>
      <c r="B69" s="129" t="s">
        <v>325</v>
      </c>
      <c r="C69" s="563" t="s">
        <v>546</v>
      </c>
      <c r="D69" s="157"/>
      <c r="E69" s="157"/>
      <c r="F69" s="564"/>
      <c r="G69" s="563" t="s">
        <v>546</v>
      </c>
      <c r="H69" s="157"/>
      <c r="I69" s="157"/>
      <c r="J69" s="564"/>
      <c r="K69" s="563" t="s">
        <v>546</v>
      </c>
      <c r="L69" s="157"/>
      <c r="M69" s="157"/>
      <c r="N69" s="564"/>
      <c r="O69" s="563" t="s">
        <v>547</v>
      </c>
      <c r="P69" s="157"/>
      <c r="Q69" s="157"/>
      <c r="R69" s="564"/>
      <c r="S69" s="563" t="s">
        <v>548</v>
      </c>
      <c r="T69" s="157"/>
      <c r="U69" s="157"/>
      <c r="V69" s="564"/>
      <c r="W69" s="604" t="s">
        <v>549</v>
      </c>
      <c r="X69" s="55"/>
      <c r="Y69" s="55"/>
      <c r="Z69" s="55"/>
      <c r="AA69" s="563" t="s">
        <v>550</v>
      </c>
      <c r="AB69" s="563"/>
      <c r="AC69" s="563"/>
      <c r="AD69" s="563"/>
      <c r="AE69" s="155">
        <v>68.25</v>
      </c>
      <c r="AF69" s="157"/>
      <c r="AG69" s="567"/>
      <c r="AH69" s="568"/>
      <c r="AI69" s="569"/>
    </row>
    <row r="70" spans="1:35" ht="21.95" customHeight="1">
      <c r="A70" s="1"/>
      <c r="B70" s="129" t="s">
        <v>326</v>
      </c>
      <c r="C70" s="712" t="s">
        <v>167</v>
      </c>
      <c r="D70" s="157"/>
      <c r="E70" s="157"/>
      <c r="F70" s="564"/>
      <c r="G70" s="157" t="s">
        <v>167</v>
      </c>
      <c r="H70" s="157"/>
      <c r="I70" s="157"/>
      <c r="J70" s="564"/>
      <c r="K70" s="157" t="s">
        <v>167</v>
      </c>
      <c r="L70" s="157"/>
      <c r="M70" s="157"/>
      <c r="N70" s="564"/>
      <c r="O70" s="157" t="s">
        <v>167</v>
      </c>
      <c r="P70" s="157"/>
      <c r="Q70" s="157"/>
      <c r="R70" s="564"/>
      <c r="S70" s="157" t="s">
        <v>167</v>
      </c>
      <c r="T70" s="157"/>
      <c r="U70" s="157"/>
      <c r="V70" s="564"/>
      <c r="W70" s="563"/>
      <c r="X70" s="157"/>
      <c r="Y70" s="157"/>
      <c r="Z70" s="564"/>
      <c r="AA70" s="563"/>
      <c r="AB70" s="157"/>
      <c r="AC70" s="157"/>
      <c r="AD70" s="565"/>
      <c r="AE70" s="566">
        <v>0</v>
      </c>
      <c r="AF70" s="567"/>
      <c r="AG70" s="157"/>
      <c r="AH70" s="565"/>
      <c r="AI70" s="490"/>
    </row>
    <row r="71" spans="1:35" ht="21.95" customHeight="1" thickBot="1">
      <c r="A71" s="1"/>
      <c r="B71" s="47"/>
      <c r="C71" s="570"/>
      <c r="D71" s="53"/>
      <c r="E71" s="53"/>
      <c r="F71" s="571"/>
      <c r="G71" s="570"/>
      <c r="H71" s="53"/>
      <c r="I71" s="53"/>
      <c r="J71" s="571"/>
      <c r="K71" s="570"/>
      <c r="L71" s="53"/>
      <c r="M71" s="53"/>
      <c r="N71" s="571"/>
      <c r="O71" s="570"/>
      <c r="P71" s="53"/>
      <c r="Q71" s="53"/>
      <c r="R71" s="571"/>
      <c r="S71" s="570"/>
      <c r="T71" s="53"/>
      <c r="U71" s="53"/>
      <c r="V71" s="571"/>
      <c r="W71" s="53"/>
      <c r="X71" s="53"/>
      <c r="Y71" s="53"/>
      <c r="Z71" s="53"/>
      <c r="AA71" s="53"/>
      <c r="AB71" s="53"/>
      <c r="AC71" s="53"/>
      <c r="AD71" s="53"/>
      <c r="AE71" s="572"/>
      <c r="AF71" s="53"/>
      <c r="AG71" s="53"/>
      <c r="AH71" s="573"/>
      <c r="AI71" s="536"/>
    </row>
    <row r="72" spans="1:35" ht="21.95" customHeight="1" thickBot="1">
      <c r="A72" s="574"/>
      <c r="B72" s="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</row>
    <row r="73" spans="1:35" ht="21.95" customHeight="1" thickBot="1">
      <c r="A73" s="861"/>
      <c r="B73" s="862" t="s">
        <v>476</v>
      </c>
      <c r="C73" s="880">
        <v>1</v>
      </c>
      <c r="D73" s="880">
        <v>2</v>
      </c>
      <c r="E73" s="863">
        <v>3</v>
      </c>
      <c r="F73" s="863">
        <v>4</v>
      </c>
      <c r="G73" s="863">
        <v>5</v>
      </c>
      <c r="H73" s="863">
        <v>6</v>
      </c>
      <c r="I73" s="863">
        <v>7</v>
      </c>
      <c r="J73" s="880">
        <v>8</v>
      </c>
      <c r="K73" s="880">
        <v>9</v>
      </c>
      <c r="L73" s="863">
        <v>10</v>
      </c>
      <c r="M73" s="863">
        <v>11</v>
      </c>
      <c r="N73" s="863">
        <v>12</v>
      </c>
      <c r="O73" s="863">
        <v>13</v>
      </c>
      <c r="P73" s="863">
        <v>14</v>
      </c>
      <c r="Q73" s="880">
        <v>15</v>
      </c>
      <c r="R73" s="880">
        <v>16</v>
      </c>
      <c r="S73" s="863">
        <v>17</v>
      </c>
      <c r="T73" s="863">
        <v>18</v>
      </c>
      <c r="U73" s="863">
        <v>19</v>
      </c>
      <c r="V73" s="863">
        <v>20</v>
      </c>
      <c r="W73" s="863">
        <v>21</v>
      </c>
      <c r="X73" s="880">
        <v>22</v>
      </c>
      <c r="Y73" s="880">
        <v>23</v>
      </c>
      <c r="Z73" s="863">
        <v>24</v>
      </c>
      <c r="AA73" s="863">
        <v>25</v>
      </c>
      <c r="AB73" s="863">
        <v>26</v>
      </c>
      <c r="AC73" s="863">
        <v>27</v>
      </c>
      <c r="AD73" s="863">
        <v>28</v>
      </c>
      <c r="AE73" s="880">
        <v>29</v>
      </c>
      <c r="AF73" s="880">
        <v>30</v>
      </c>
      <c r="AG73" s="943"/>
      <c r="AH73" s="864" t="s">
        <v>477</v>
      </c>
      <c r="AI73" s="865" t="s">
        <v>478</v>
      </c>
    </row>
    <row r="74" spans="1:35" ht="21.95" customHeight="1">
      <c r="A74" s="870">
        <v>1</v>
      </c>
      <c r="B74" s="836" t="s">
        <v>551</v>
      </c>
      <c r="C74" s="1239" t="s">
        <v>555</v>
      </c>
      <c r="D74" s="1127" t="s">
        <v>555</v>
      </c>
      <c r="E74" s="871" t="s">
        <v>481</v>
      </c>
      <c r="F74" s="871" t="s">
        <v>481</v>
      </c>
      <c r="G74" s="871" t="s">
        <v>481</v>
      </c>
      <c r="H74" s="871" t="s">
        <v>481</v>
      </c>
      <c r="I74" s="871" t="s">
        <v>481</v>
      </c>
      <c r="J74" s="871"/>
      <c r="K74" s="871"/>
      <c r="L74" s="871" t="s">
        <v>552</v>
      </c>
      <c r="M74" s="871" t="s">
        <v>552</v>
      </c>
      <c r="N74" s="1249" t="s">
        <v>552</v>
      </c>
      <c r="O74" s="837" t="s">
        <v>552</v>
      </c>
      <c r="P74" s="871" t="s">
        <v>552</v>
      </c>
      <c r="Q74" s="871"/>
      <c r="R74" s="871" t="s">
        <v>484</v>
      </c>
      <c r="S74" s="871" t="s">
        <v>553</v>
      </c>
      <c r="T74" s="871" t="s">
        <v>553</v>
      </c>
      <c r="U74" s="871" t="s">
        <v>553</v>
      </c>
      <c r="V74" s="871" t="s">
        <v>554</v>
      </c>
      <c r="W74" s="871" t="s">
        <v>554</v>
      </c>
      <c r="X74" s="871" t="s">
        <v>555</v>
      </c>
      <c r="Y74" s="871" t="s">
        <v>555</v>
      </c>
      <c r="Z74" s="871" t="s">
        <v>481</v>
      </c>
      <c r="AA74" s="871" t="s">
        <v>481</v>
      </c>
      <c r="AB74" s="871" t="s">
        <v>481</v>
      </c>
      <c r="AC74" s="1263" t="s">
        <v>553</v>
      </c>
      <c r="AD74" s="871" t="s">
        <v>481</v>
      </c>
      <c r="AE74" s="871"/>
      <c r="AF74" s="871"/>
      <c r="AG74" s="872"/>
      <c r="AH74" s="510">
        <v>19.5</v>
      </c>
      <c r="AI74" s="511">
        <v>37</v>
      </c>
    </row>
    <row r="75" spans="1:35" ht="21.95" customHeight="1">
      <c r="A75" s="575">
        <v>2</v>
      </c>
      <c r="B75" s="542" t="s">
        <v>556</v>
      </c>
      <c r="C75" s="762"/>
      <c r="D75" s="762"/>
      <c r="E75" s="762" t="s">
        <v>552</v>
      </c>
      <c r="F75" s="762" t="s">
        <v>552</v>
      </c>
      <c r="G75" s="762" t="s">
        <v>552</v>
      </c>
      <c r="H75" s="837" t="s">
        <v>552</v>
      </c>
      <c r="I75" s="762" t="s">
        <v>552</v>
      </c>
      <c r="J75" s="762"/>
      <c r="K75" s="762"/>
      <c r="L75" s="871" t="s">
        <v>553</v>
      </c>
      <c r="M75" s="871" t="s">
        <v>553</v>
      </c>
      <c r="N75" s="871" t="s">
        <v>553</v>
      </c>
      <c r="O75" s="871" t="s">
        <v>554</v>
      </c>
      <c r="P75" s="871" t="s">
        <v>554</v>
      </c>
      <c r="Q75" s="982" t="s">
        <v>555</v>
      </c>
      <c r="R75" s="966" t="s">
        <v>555</v>
      </c>
      <c r="S75" s="762" t="s">
        <v>481</v>
      </c>
      <c r="T75" s="762" t="s">
        <v>481</v>
      </c>
      <c r="U75" s="762" t="s">
        <v>481</v>
      </c>
      <c r="V75" s="762" t="s">
        <v>481</v>
      </c>
      <c r="W75" s="762" t="s">
        <v>481</v>
      </c>
      <c r="X75" s="762"/>
      <c r="Y75" s="762" t="s">
        <v>555</v>
      </c>
      <c r="Z75" s="762" t="s">
        <v>552</v>
      </c>
      <c r="AA75" s="762" t="s">
        <v>552</v>
      </c>
      <c r="AB75" s="762" t="s">
        <v>552</v>
      </c>
      <c r="AC75" s="762" t="s">
        <v>552</v>
      </c>
      <c r="AD75" s="762" t="s">
        <v>552</v>
      </c>
      <c r="AE75" s="762"/>
      <c r="AF75" s="762"/>
      <c r="AG75" s="553"/>
      <c r="AH75" s="924">
        <v>71</v>
      </c>
      <c r="AI75" s="925">
        <v>37</v>
      </c>
    </row>
    <row r="76" spans="1:35" ht="21.95" customHeight="1" thickBot="1">
      <c r="A76" s="873">
        <v>3</v>
      </c>
      <c r="B76" s="874" t="s">
        <v>558</v>
      </c>
      <c r="C76" s="875"/>
      <c r="D76" s="875"/>
      <c r="E76" s="1045" t="s">
        <v>553</v>
      </c>
      <c r="F76" s="1045" t="s">
        <v>553</v>
      </c>
      <c r="G76" s="875" t="s">
        <v>553</v>
      </c>
      <c r="H76" s="768" t="s">
        <v>554</v>
      </c>
      <c r="I76" s="875" t="s">
        <v>554</v>
      </c>
      <c r="J76" s="875" t="s">
        <v>555</v>
      </c>
      <c r="K76" s="875" t="s">
        <v>555</v>
      </c>
      <c r="L76" s="875" t="s">
        <v>481</v>
      </c>
      <c r="M76" s="875" t="s">
        <v>481</v>
      </c>
      <c r="N76" s="875" t="s">
        <v>481</v>
      </c>
      <c r="O76" s="875" t="s">
        <v>481</v>
      </c>
      <c r="P76" s="875" t="s">
        <v>481</v>
      </c>
      <c r="Q76" s="875"/>
      <c r="R76" s="875"/>
      <c r="S76" s="875" t="s">
        <v>552</v>
      </c>
      <c r="T76" s="875" t="s">
        <v>552</v>
      </c>
      <c r="U76" s="1045" t="s">
        <v>552</v>
      </c>
      <c r="V76" s="875" t="s">
        <v>552</v>
      </c>
      <c r="W76" s="875" t="s">
        <v>552</v>
      </c>
      <c r="X76" s="875"/>
      <c r="Y76" s="875"/>
      <c r="Z76" s="1045" t="s">
        <v>553</v>
      </c>
      <c r="AA76" s="1045" t="s">
        <v>553</v>
      </c>
      <c r="AB76" s="875" t="s">
        <v>553</v>
      </c>
      <c r="AC76" s="875" t="s">
        <v>554</v>
      </c>
      <c r="AD76" s="875" t="s">
        <v>554</v>
      </c>
      <c r="AE76" s="990" t="s">
        <v>555</v>
      </c>
      <c r="AF76" s="875" t="s">
        <v>555</v>
      </c>
      <c r="AG76" s="876"/>
      <c r="AH76" s="868">
        <v>97</v>
      </c>
      <c r="AI76" s="869">
        <v>37</v>
      </c>
    </row>
    <row r="77" spans="1:35" ht="21.95" customHeight="1"/>
    <row r="78" spans="1:35" ht="21.95" customHeight="1" thickBot="1">
      <c r="A78" s="312" t="s">
        <v>559</v>
      </c>
      <c r="C78" s="555"/>
      <c r="D78" s="555"/>
      <c r="E78" s="555"/>
      <c r="F78" s="555"/>
      <c r="G78" s="555"/>
      <c r="H78" s="555"/>
      <c r="I78" s="555"/>
      <c r="J78" s="555"/>
      <c r="K78" s="555"/>
      <c r="L78" s="555"/>
      <c r="M78" s="555"/>
      <c r="N78" s="555"/>
      <c r="O78" s="555"/>
      <c r="P78" s="555"/>
      <c r="Q78" s="555"/>
      <c r="R78" s="555"/>
      <c r="S78" s="555"/>
      <c r="T78" s="555"/>
      <c r="U78" s="555"/>
      <c r="V78" s="555"/>
      <c r="W78" s="555"/>
      <c r="X78" s="555"/>
      <c r="Y78" s="555"/>
      <c r="Z78" s="555"/>
      <c r="AA78" s="555"/>
      <c r="AB78" s="555"/>
      <c r="AC78" s="555"/>
      <c r="AD78" s="555"/>
      <c r="AE78" s="555"/>
      <c r="AF78" s="555"/>
      <c r="AH78" s="556"/>
      <c r="AI78" s="556"/>
    </row>
    <row r="79" spans="1:35" ht="21.95" customHeight="1">
      <c r="A79" s="576"/>
      <c r="B79" s="23" t="s">
        <v>542</v>
      </c>
      <c r="C79" s="7"/>
      <c r="D79" s="522" t="s">
        <v>2</v>
      </c>
      <c r="E79" s="51"/>
      <c r="F79" s="548"/>
      <c r="G79" s="7"/>
      <c r="H79" s="522" t="s">
        <v>3</v>
      </c>
      <c r="I79" s="51"/>
      <c r="J79" s="548"/>
      <c r="K79" s="7"/>
      <c r="L79" s="522" t="s">
        <v>4</v>
      </c>
      <c r="M79" s="51"/>
      <c r="N79" s="548"/>
      <c r="O79" s="7"/>
      <c r="P79" s="522" t="s">
        <v>5</v>
      </c>
      <c r="Q79" s="51"/>
      <c r="R79" s="548"/>
      <c r="S79" s="7"/>
      <c r="T79" s="522" t="s">
        <v>6</v>
      </c>
      <c r="U79" s="51"/>
      <c r="V79" s="548"/>
      <c r="W79" s="27"/>
      <c r="X79" s="713" t="s">
        <v>7</v>
      </c>
      <c r="Y79" s="519"/>
      <c r="Z79" s="238"/>
      <c r="AA79" s="7"/>
      <c r="AB79" s="522" t="s">
        <v>8</v>
      </c>
      <c r="AC79" s="51"/>
      <c r="AD79" s="51"/>
      <c r="AE79" s="349" t="s">
        <v>9</v>
      </c>
      <c r="AF79" s="51"/>
      <c r="AG79" s="51"/>
      <c r="AH79" s="51"/>
      <c r="AI79" s="523"/>
    </row>
    <row r="80" spans="1:35" ht="21.95" customHeight="1">
      <c r="B80" s="129" t="s">
        <v>324</v>
      </c>
      <c r="C80" s="589" t="s">
        <v>560</v>
      </c>
      <c r="E80" s="157"/>
      <c r="F80" s="564"/>
      <c r="G80" s="563" t="s">
        <v>561</v>
      </c>
      <c r="H80" s="483" t="s">
        <v>562</v>
      </c>
      <c r="I80" s="157"/>
      <c r="J80" s="564"/>
      <c r="K80" s="589" t="s">
        <v>560</v>
      </c>
      <c r="L80" s="483"/>
      <c r="M80" s="483"/>
      <c r="N80" s="588"/>
      <c r="O80" s="589" t="s">
        <v>563</v>
      </c>
      <c r="P80" s="483"/>
      <c r="Q80" s="483"/>
      <c r="R80" s="588"/>
      <c r="S80" s="589" t="s">
        <v>738</v>
      </c>
      <c r="T80" s="483"/>
      <c r="U80" s="483"/>
      <c r="V80" s="477"/>
      <c r="W80" s="714"/>
      <c r="X80" s="715"/>
      <c r="Y80" s="715"/>
      <c r="Z80" s="716"/>
      <c r="AA80" s="565"/>
      <c r="AB80" s="157"/>
      <c r="AC80" s="157"/>
      <c r="AD80" s="565"/>
      <c r="AE80" s="121">
        <v>37</v>
      </c>
      <c r="AG80" s="157"/>
      <c r="AH80" s="565"/>
      <c r="AI80" s="490"/>
    </row>
    <row r="81" spans="1:35" ht="21.95" customHeight="1">
      <c r="B81" s="129" t="s">
        <v>325</v>
      </c>
      <c r="C81" s="589" t="s">
        <v>565</v>
      </c>
      <c r="E81" s="157"/>
      <c r="F81" s="564"/>
      <c r="G81" s="589" t="s">
        <v>565</v>
      </c>
      <c r="I81" s="157"/>
      <c r="J81" s="564"/>
      <c r="K81" s="589" t="s">
        <v>565</v>
      </c>
      <c r="L81" s="157"/>
      <c r="M81" s="157"/>
      <c r="N81" s="564"/>
      <c r="O81" s="589" t="s">
        <v>566</v>
      </c>
      <c r="P81" s="157"/>
      <c r="Q81" s="157"/>
      <c r="R81" s="564"/>
      <c r="S81" s="563" t="s">
        <v>567</v>
      </c>
      <c r="T81" s="157"/>
      <c r="U81" s="157"/>
      <c r="V81" s="564"/>
      <c r="W81" s="604" t="s">
        <v>291</v>
      </c>
      <c r="X81" s="55"/>
      <c r="Y81" s="55"/>
      <c r="Z81" s="55"/>
      <c r="AA81" s="563" t="s">
        <v>28</v>
      </c>
      <c r="AB81" s="563"/>
      <c r="AC81" s="563"/>
      <c r="AD81" s="563"/>
      <c r="AE81" s="155">
        <v>37</v>
      </c>
      <c r="AF81" s="157"/>
      <c r="AG81" s="567"/>
      <c r="AH81" s="568"/>
      <c r="AI81" s="569"/>
    </row>
    <row r="82" spans="1:35" ht="21.95" customHeight="1">
      <c r="B82" s="129" t="s">
        <v>326</v>
      </c>
      <c r="C82" s="834" t="s">
        <v>568</v>
      </c>
      <c r="D82" s="157"/>
      <c r="E82" s="157"/>
      <c r="F82" s="564"/>
      <c r="G82" s="157" t="s">
        <v>569</v>
      </c>
      <c r="H82" s="157"/>
      <c r="I82" s="157"/>
      <c r="J82" s="564"/>
      <c r="K82" s="835" t="s">
        <v>570</v>
      </c>
      <c r="L82" s="157"/>
      <c r="M82" s="157"/>
      <c r="N82" s="564"/>
      <c r="O82" s="835" t="s">
        <v>571</v>
      </c>
      <c r="P82" s="157"/>
      <c r="Q82" s="157"/>
      <c r="R82" s="564"/>
      <c r="S82" s="835" t="s">
        <v>571</v>
      </c>
      <c r="T82" s="157"/>
      <c r="U82" s="157"/>
      <c r="V82" s="564"/>
      <c r="W82" s="563"/>
      <c r="X82" s="157"/>
      <c r="Y82" s="157"/>
      <c r="Z82" s="564"/>
      <c r="AA82" s="563"/>
      <c r="AB82" s="157"/>
      <c r="AC82" s="157"/>
      <c r="AD82" s="565"/>
      <c r="AE82" s="566">
        <v>36</v>
      </c>
      <c r="AF82" s="567"/>
      <c r="AG82" s="157"/>
      <c r="AH82" s="565"/>
      <c r="AI82" s="490"/>
    </row>
    <row r="83" spans="1:35" ht="21.95" customHeight="1" thickBot="1">
      <c r="B83" s="47"/>
      <c r="C83" s="570"/>
      <c r="D83" s="53"/>
      <c r="E83" s="53"/>
      <c r="F83" s="571"/>
      <c r="G83" s="570"/>
      <c r="H83" s="53"/>
      <c r="I83" s="53"/>
      <c r="J83" s="571"/>
      <c r="K83" s="570"/>
      <c r="L83" s="53"/>
      <c r="M83" s="53"/>
      <c r="N83" s="571"/>
      <c r="O83" s="570"/>
      <c r="P83" s="53"/>
      <c r="Q83" s="53"/>
      <c r="R83" s="571"/>
      <c r="S83" s="570"/>
      <c r="T83" s="53"/>
      <c r="U83" s="53"/>
      <c r="V83" s="571"/>
      <c r="W83" s="53"/>
      <c r="X83" s="53"/>
      <c r="Y83" s="53"/>
      <c r="Z83" s="53"/>
      <c r="AA83" s="53"/>
      <c r="AB83" s="53"/>
      <c r="AC83" s="53"/>
      <c r="AD83" s="53"/>
      <c r="AE83" s="572"/>
      <c r="AF83" s="53"/>
      <c r="AG83" s="53"/>
      <c r="AH83" s="573"/>
      <c r="AI83" s="536"/>
    </row>
    <row r="84" spans="1:35" ht="21.95" customHeight="1" thickBot="1"/>
    <row r="85" spans="1:35" ht="21.95" customHeight="1" thickBot="1">
      <c r="A85" s="861"/>
      <c r="B85" s="862" t="s">
        <v>476</v>
      </c>
      <c r="C85" s="880">
        <v>1</v>
      </c>
      <c r="D85" s="880">
        <v>2</v>
      </c>
      <c r="E85" s="863">
        <v>3</v>
      </c>
      <c r="F85" s="863">
        <v>4</v>
      </c>
      <c r="G85" s="863">
        <v>5</v>
      </c>
      <c r="H85" s="863">
        <v>6</v>
      </c>
      <c r="I85" s="863">
        <v>7</v>
      </c>
      <c r="J85" s="880">
        <v>8</v>
      </c>
      <c r="K85" s="880">
        <v>9</v>
      </c>
      <c r="L85" s="863">
        <v>10</v>
      </c>
      <c r="M85" s="863">
        <v>11</v>
      </c>
      <c r="N85" s="863">
        <v>12</v>
      </c>
      <c r="O85" s="863">
        <v>13</v>
      </c>
      <c r="P85" s="863">
        <v>14</v>
      </c>
      <c r="Q85" s="880">
        <v>15</v>
      </c>
      <c r="R85" s="880">
        <v>16</v>
      </c>
      <c r="S85" s="863">
        <v>17</v>
      </c>
      <c r="T85" s="863">
        <v>18</v>
      </c>
      <c r="U85" s="863">
        <v>19</v>
      </c>
      <c r="V85" s="863">
        <v>20</v>
      </c>
      <c r="W85" s="863">
        <v>21</v>
      </c>
      <c r="X85" s="880">
        <v>22</v>
      </c>
      <c r="Y85" s="880">
        <v>23</v>
      </c>
      <c r="Z85" s="863">
        <v>24</v>
      </c>
      <c r="AA85" s="863">
        <v>25</v>
      </c>
      <c r="AB85" s="863">
        <v>26</v>
      </c>
      <c r="AC85" s="863">
        <v>27</v>
      </c>
      <c r="AD85" s="863">
        <v>28</v>
      </c>
      <c r="AE85" s="880">
        <v>29</v>
      </c>
      <c r="AF85" s="880">
        <v>30</v>
      </c>
      <c r="AG85" s="943"/>
      <c r="AH85" s="864" t="s">
        <v>477</v>
      </c>
      <c r="AI85" s="865" t="s">
        <v>478</v>
      </c>
    </row>
    <row r="86" spans="1:35" ht="21.95" customHeight="1">
      <c r="A86" s="870">
        <v>1</v>
      </c>
      <c r="B86" s="54" t="s">
        <v>572</v>
      </c>
      <c r="C86" s="871"/>
      <c r="D86" s="871"/>
      <c r="E86" s="871" t="s">
        <v>554</v>
      </c>
      <c r="F86" s="1127" t="s">
        <v>554</v>
      </c>
      <c r="G86" s="871" t="s">
        <v>554</v>
      </c>
      <c r="H86" s="1144" t="s">
        <v>553</v>
      </c>
      <c r="I86" s="871" t="s">
        <v>553</v>
      </c>
      <c r="J86" s="871"/>
      <c r="K86" s="871"/>
      <c r="L86" s="871" t="s">
        <v>561</v>
      </c>
      <c r="M86" s="871" t="s">
        <v>561</v>
      </c>
      <c r="N86" s="871" t="s">
        <v>561</v>
      </c>
      <c r="O86" s="871" t="s">
        <v>561</v>
      </c>
      <c r="P86" s="871" t="s">
        <v>561</v>
      </c>
      <c r="Q86" s="871"/>
      <c r="R86" s="871"/>
      <c r="S86" s="871" t="s">
        <v>573</v>
      </c>
      <c r="T86" s="871" t="s">
        <v>573</v>
      </c>
      <c r="U86" s="871" t="s">
        <v>573</v>
      </c>
      <c r="V86" s="871" t="s">
        <v>573</v>
      </c>
      <c r="W86" s="871" t="s">
        <v>573</v>
      </c>
      <c r="X86" s="871"/>
      <c r="Y86" s="871"/>
      <c r="Z86" s="871" t="s">
        <v>554</v>
      </c>
      <c r="AA86" s="871" t="s">
        <v>554</v>
      </c>
      <c r="AB86" s="871" t="s">
        <v>554</v>
      </c>
      <c r="AC86" s="1041" t="s">
        <v>553</v>
      </c>
      <c r="AD86" s="1041" t="s">
        <v>553</v>
      </c>
      <c r="AE86" s="871"/>
      <c r="AF86" s="871"/>
      <c r="AG86" s="871"/>
      <c r="AH86" s="510">
        <v>116</v>
      </c>
      <c r="AI86" s="511">
        <v>37</v>
      </c>
    </row>
    <row r="87" spans="1:35" ht="21.95" customHeight="1" thickBot="1">
      <c r="A87" s="575">
        <v>2</v>
      </c>
      <c r="B87" s="853" t="s">
        <v>574</v>
      </c>
      <c r="C87" s="762"/>
      <c r="D87" s="762"/>
      <c r="E87" s="1240" t="s">
        <v>561</v>
      </c>
      <c r="F87" s="762" t="s">
        <v>561</v>
      </c>
      <c r="G87" s="837" t="s">
        <v>561</v>
      </c>
      <c r="H87" s="1240" t="s">
        <v>561</v>
      </c>
      <c r="I87" s="1240" t="s">
        <v>561</v>
      </c>
      <c r="J87" s="762"/>
      <c r="K87" s="762"/>
      <c r="L87" s="762" t="s">
        <v>573</v>
      </c>
      <c r="M87" s="762" t="s">
        <v>573</v>
      </c>
      <c r="N87" s="762" t="s">
        <v>591</v>
      </c>
      <c r="O87" s="837" t="s">
        <v>573</v>
      </c>
      <c r="P87" s="762" t="s">
        <v>553</v>
      </c>
      <c r="Q87" s="762"/>
      <c r="R87" s="762" t="s">
        <v>513</v>
      </c>
      <c r="S87" s="875" t="s">
        <v>554</v>
      </c>
      <c r="T87" s="875" t="s">
        <v>554</v>
      </c>
      <c r="U87" s="875" t="s">
        <v>554</v>
      </c>
      <c r="V87" s="875" t="s">
        <v>553</v>
      </c>
      <c r="W87" s="875" t="s">
        <v>553</v>
      </c>
      <c r="X87" s="762"/>
      <c r="Y87" s="762"/>
      <c r="Z87" s="1258" t="s">
        <v>561</v>
      </c>
      <c r="AA87" s="875" t="s">
        <v>561</v>
      </c>
      <c r="AB87" s="875" t="s">
        <v>561</v>
      </c>
      <c r="AC87" s="875" t="s">
        <v>561</v>
      </c>
      <c r="AD87" s="875" t="s">
        <v>553</v>
      </c>
      <c r="AE87" s="762"/>
      <c r="AF87" s="762"/>
      <c r="AG87" s="762"/>
      <c r="AH87" s="924">
        <v>85</v>
      </c>
      <c r="AI87" s="925">
        <v>37</v>
      </c>
    </row>
    <row r="88" spans="1:35" ht="21.95" customHeight="1" thickBot="1">
      <c r="A88" s="877">
        <v>3</v>
      </c>
      <c r="B88" s="793" t="s">
        <v>657</v>
      </c>
      <c r="C88" s="1222" t="s">
        <v>555</v>
      </c>
      <c r="D88" s="875" t="s">
        <v>555</v>
      </c>
      <c r="E88" s="762" t="s">
        <v>481</v>
      </c>
      <c r="F88" s="762" t="s">
        <v>481</v>
      </c>
      <c r="G88" s="762" t="s">
        <v>481</v>
      </c>
      <c r="H88" s="762" t="s">
        <v>481</v>
      </c>
      <c r="I88" s="762" t="s">
        <v>481</v>
      </c>
      <c r="J88" s="875"/>
      <c r="K88" s="875"/>
      <c r="L88" s="1025" t="s">
        <v>554</v>
      </c>
      <c r="M88" s="1025" t="s">
        <v>554</v>
      </c>
      <c r="N88" s="762" t="s">
        <v>554</v>
      </c>
      <c r="O88" s="762" t="s">
        <v>553</v>
      </c>
      <c r="P88" s="762" t="s">
        <v>781</v>
      </c>
      <c r="Q88" s="875" t="s">
        <v>519</v>
      </c>
      <c r="R88" s="875" t="s">
        <v>514</v>
      </c>
      <c r="S88" s="875" t="s">
        <v>481</v>
      </c>
      <c r="T88" s="875" t="s">
        <v>481</v>
      </c>
      <c r="U88" s="875" t="s">
        <v>481</v>
      </c>
      <c r="V88" s="875" t="s">
        <v>481</v>
      </c>
      <c r="W88" s="875" t="s">
        <v>561</v>
      </c>
      <c r="X88" s="875"/>
      <c r="Y88" s="875"/>
      <c r="Z88" s="867">
        <v>11</v>
      </c>
      <c r="AA88" s="867">
        <v>11</v>
      </c>
      <c r="AB88" s="867">
        <v>11</v>
      </c>
      <c r="AC88" s="867">
        <v>11</v>
      </c>
      <c r="AD88" s="867">
        <v>11</v>
      </c>
      <c r="AE88" s="875"/>
      <c r="AF88" s="875"/>
      <c r="AG88" s="875"/>
      <c r="AH88" s="868">
        <v>128.69999999999999</v>
      </c>
      <c r="AI88" s="869">
        <v>37</v>
      </c>
    </row>
    <row r="89" spans="1:35" ht="21.95" customHeight="1">
      <c r="A89" s="576"/>
      <c r="B89" s="583"/>
      <c r="C89" s="583"/>
      <c r="D89" s="583"/>
      <c r="E89" s="583"/>
      <c r="F89" s="583"/>
      <c r="G89" s="583"/>
      <c r="H89" s="583"/>
      <c r="I89" s="555"/>
      <c r="J89" s="555"/>
      <c r="K89" s="555"/>
      <c r="L89" s="555"/>
      <c r="M89" s="555"/>
      <c r="N89" s="555"/>
      <c r="O89" s="555"/>
      <c r="P89" s="555"/>
      <c r="Q89" s="555"/>
      <c r="R89" s="555"/>
      <c r="S89" s="555"/>
      <c r="T89" s="555"/>
      <c r="U89" s="555"/>
      <c r="V89" s="555"/>
      <c r="W89" s="555"/>
      <c r="X89" s="555"/>
      <c r="Y89" s="555"/>
      <c r="Z89" s="555"/>
      <c r="AA89" s="555"/>
      <c r="AB89" s="555"/>
      <c r="AC89" s="555"/>
      <c r="AD89" s="555"/>
      <c r="AE89" s="555"/>
      <c r="AF89" s="555"/>
      <c r="AH89" s="556"/>
      <c r="AI89" s="556"/>
    </row>
    <row r="90" spans="1:35" ht="21.95" customHeight="1">
      <c r="A90" s="576"/>
      <c r="B90" s="583"/>
      <c r="C90" s="555"/>
      <c r="D90" s="555"/>
      <c r="E90" s="555"/>
      <c r="F90" s="555"/>
      <c r="G90" s="555"/>
      <c r="H90" s="555"/>
      <c r="I90" s="555"/>
      <c r="J90" s="555"/>
      <c r="K90" s="555"/>
      <c r="L90" s="555"/>
      <c r="M90" s="555"/>
      <c r="N90" s="555"/>
      <c r="O90" s="555"/>
      <c r="P90" s="555"/>
      <c r="Q90" s="555"/>
      <c r="R90" s="555"/>
      <c r="S90" s="555"/>
      <c r="T90" s="555"/>
      <c r="U90" s="555"/>
      <c r="V90" s="555"/>
      <c r="W90" s="555"/>
      <c r="X90" s="555"/>
      <c r="Y90" s="555"/>
      <c r="Z90" s="555"/>
      <c r="AA90" s="555"/>
      <c r="AB90" s="555"/>
      <c r="AC90" s="555"/>
      <c r="AD90" s="555"/>
      <c r="AE90" s="555"/>
      <c r="AF90" s="555"/>
      <c r="AG90" s="555"/>
      <c r="AH90" s="556"/>
      <c r="AI90" s="556"/>
    </row>
    <row r="91" spans="1:35" ht="21.95" customHeight="1" thickBot="1">
      <c r="A91" s="1" t="s">
        <v>576</v>
      </c>
      <c r="D91" s="361"/>
      <c r="E91" s="361"/>
      <c r="F91" s="361"/>
      <c r="G91" s="546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5" ht="21.95" customHeight="1">
      <c r="A92" s="1"/>
      <c r="B92" s="23" t="s">
        <v>577</v>
      </c>
      <c r="C92" s="7"/>
      <c r="D92" s="522" t="s">
        <v>2</v>
      </c>
      <c r="E92" s="51"/>
      <c r="F92" s="548"/>
      <c r="G92" s="7"/>
      <c r="H92" s="522" t="s">
        <v>3</v>
      </c>
      <c r="I92" s="51"/>
      <c r="J92" s="548"/>
      <c r="K92" s="7"/>
      <c r="L92" s="522" t="s">
        <v>4</v>
      </c>
      <c r="M92" s="51"/>
      <c r="N92" s="548"/>
      <c r="O92" s="7"/>
      <c r="P92" s="522" t="s">
        <v>5</v>
      </c>
      <c r="Q92" s="51"/>
      <c r="R92" s="548"/>
      <c r="S92" s="7"/>
      <c r="T92" s="522" t="s">
        <v>6</v>
      </c>
      <c r="U92" s="51"/>
      <c r="V92" s="548"/>
      <c r="W92" s="7"/>
      <c r="X92" s="522" t="s">
        <v>7</v>
      </c>
      <c r="Y92" s="51"/>
      <c r="Z92" s="548"/>
      <c r="AA92" s="7"/>
      <c r="AB92" s="522" t="s">
        <v>8</v>
      </c>
      <c r="AC92" s="51"/>
      <c r="AD92" s="51"/>
      <c r="AE92" s="425" t="s">
        <v>10</v>
      </c>
      <c r="AF92" s="51"/>
      <c r="AG92" s="51"/>
      <c r="AH92" s="51"/>
      <c r="AI92" s="523"/>
    </row>
    <row r="93" spans="1:35" ht="21.95" customHeight="1">
      <c r="A93" s="1"/>
      <c r="B93" s="129" t="s">
        <v>324</v>
      </c>
      <c r="C93" s="121" t="s">
        <v>578</v>
      </c>
      <c r="D93" s="157"/>
      <c r="E93" s="157"/>
      <c r="F93" s="564"/>
      <c r="G93" s="121" t="s">
        <v>578</v>
      </c>
      <c r="H93" s="157"/>
      <c r="I93" s="157"/>
      <c r="J93" s="564"/>
      <c r="K93" s="121" t="s">
        <v>578</v>
      </c>
      <c r="L93" s="157"/>
      <c r="M93" s="157"/>
      <c r="N93" s="564"/>
      <c r="O93" s="121" t="s">
        <v>579</v>
      </c>
      <c r="P93" s="157"/>
      <c r="Q93" s="157"/>
      <c r="R93" s="564"/>
      <c r="S93" s="121" t="s">
        <v>167</v>
      </c>
      <c r="T93" s="157"/>
      <c r="U93" s="157"/>
      <c r="V93" s="564"/>
      <c r="W93" s="795"/>
      <c r="X93" s="577"/>
      <c r="Y93" s="577"/>
      <c r="Z93" s="578"/>
      <c r="AA93" s="563"/>
      <c r="AB93" s="157"/>
      <c r="AC93" s="157"/>
      <c r="AD93" s="565"/>
      <c r="AE93" s="128">
        <v>27</v>
      </c>
      <c r="AF93" s="157"/>
      <c r="AG93" s="157" t="s">
        <v>28</v>
      </c>
      <c r="AH93" s="565"/>
      <c r="AI93" s="490"/>
    </row>
    <row r="94" spans="1:35" ht="21.95" customHeight="1">
      <c r="A94" s="1"/>
      <c r="B94" s="129" t="s">
        <v>325</v>
      </c>
      <c r="C94" s="121" t="s">
        <v>580</v>
      </c>
      <c r="D94" s="157"/>
      <c r="E94" s="157"/>
      <c r="F94" s="564"/>
      <c r="G94" s="121" t="s">
        <v>580</v>
      </c>
      <c r="H94" s="157"/>
      <c r="I94" s="157"/>
      <c r="J94" s="564"/>
      <c r="K94" s="121" t="s">
        <v>580</v>
      </c>
      <c r="L94" s="157"/>
      <c r="M94" s="157"/>
      <c r="N94" s="564"/>
      <c r="O94" s="121" t="s">
        <v>580</v>
      </c>
      <c r="P94" s="157"/>
      <c r="Q94" s="157"/>
      <c r="R94" s="564"/>
      <c r="S94" s="121" t="s">
        <v>578</v>
      </c>
      <c r="T94" s="157"/>
      <c r="U94" s="157"/>
      <c r="V94" s="564"/>
      <c r="W94" s="121"/>
      <c r="X94" s="157"/>
      <c r="Y94" s="157"/>
      <c r="Z94" s="564"/>
      <c r="AA94" s="157"/>
      <c r="AB94" s="157"/>
      <c r="AC94" s="157"/>
      <c r="AD94" s="565"/>
      <c r="AE94" s="128">
        <v>39</v>
      </c>
      <c r="AF94" s="157"/>
      <c r="AG94" s="157"/>
      <c r="AH94" s="565"/>
      <c r="AI94" s="490"/>
    </row>
    <row r="95" spans="1:35" ht="21.95" customHeight="1">
      <c r="A95" s="1"/>
      <c r="B95" s="129" t="s">
        <v>326</v>
      </c>
      <c r="C95" s="121" t="s">
        <v>580</v>
      </c>
      <c r="D95" s="157"/>
      <c r="E95" s="157"/>
      <c r="F95" s="564"/>
      <c r="G95" s="121" t="s">
        <v>580</v>
      </c>
      <c r="H95" s="157"/>
      <c r="I95" s="157"/>
      <c r="J95" s="564"/>
      <c r="K95" s="121" t="s">
        <v>580</v>
      </c>
      <c r="L95" s="157"/>
      <c r="M95" s="157"/>
      <c r="N95" s="564"/>
      <c r="O95" s="121" t="s">
        <v>580</v>
      </c>
      <c r="P95" s="157"/>
      <c r="Q95" s="157"/>
      <c r="R95" s="564"/>
      <c r="S95" s="121" t="s">
        <v>580</v>
      </c>
      <c r="T95" s="157"/>
      <c r="U95" s="157"/>
      <c r="V95" s="564"/>
      <c r="W95" s="584" t="s">
        <v>581</v>
      </c>
      <c r="X95" s="135"/>
      <c r="Y95" s="135"/>
      <c r="Z95" s="580"/>
      <c r="AA95" s="579"/>
      <c r="AB95" s="135"/>
      <c r="AC95" s="135"/>
      <c r="AD95" s="581"/>
      <c r="AE95" s="128">
        <v>45</v>
      </c>
      <c r="AF95" s="157"/>
      <c r="AG95" s="157"/>
      <c r="AH95" s="565"/>
      <c r="AI95" s="490"/>
    </row>
    <row r="96" spans="1:35" ht="21.95" customHeight="1" thickBot="1">
      <c r="A96" s="1"/>
      <c r="B96" s="16" t="s">
        <v>236</v>
      </c>
      <c r="C96" s="57"/>
      <c r="D96" s="53"/>
      <c r="E96" s="53"/>
      <c r="F96" s="571"/>
      <c r="G96" s="57"/>
      <c r="H96" s="53"/>
      <c r="I96" s="53"/>
      <c r="J96" s="571"/>
      <c r="K96" s="57"/>
      <c r="L96" s="53"/>
      <c r="M96" s="53"/>
      <c r="N96" s="571"/>
      <c r="O96" s="57"/>
      <c r="P96" s="53"/>
      <c r="Q96" s="53"/>
      <c r="R96" s="571"/>
      <c r="S96" s="57"/>
      <c r="T96" s="53"/>
      <c r="U96" s="53"/>
      <c r="V96" s="573"/>
      <c r="W96" s="57"/>
      <c r="X96" s="573"/>
      <c r="Y96" s="53"/>
      <c r="Z96" s="571"/>
      <c r="AA96" s="57"/>
      <c r="AB96" s="573"/>
      <c r="AC96" s="53"/>
      <c r="AD96" s="571"/>
      <c r="AE96" s="582"/>
      <c r="AF96" s="53"/>
      <c r="AG96" s="53"/>
      <c r="AH96" s="573"/>
      <c r="AI96" s="536"/>
    </row>
    <row r="97" spans="1:35" ht="21.95" customHeight="1" thickBot="1">
      <c r="A97" s="574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 thickBot="1">
      <c r="A98" s="861"/>
      <c r="B98" s="862" t="s">
        <v>476</v>
      </c>
      <c r="C98" s="880">
        <v>1</v>
      </c>
      <c r="D98" s="880">
        <v>2</v>
      </c>
      <c r="E98" s="863">
        <v>3</v>
      </c>
      <c r="F98" s="863">
        <v>4</v>
      </c>
      <c r="G98" s="863">
        <v>5</v>
      </c>
      <c r="H98" s="863">
        <v>6</v>
      </c>
      <c r="I98" s="863">
        <v>7</v>
      </c>
      <c r="J98" s="880">
        <v>8</v>
      </c>
      <c r="K98" s="880">
        <v>9</v>
      </c>
      <c r="L98" s="863">
        <v>10</v>
      </c>
      <c r="M98" s="863">
        <v>11</v>
      </c>
      <c r="N98" s="863">
        <v>12</v>
      </c>
      <c r="O98" s="863">
        <v>13</v>
      </c>
      <c r="P98" s="863">
        <v>14</v>
      </c>
      <c r="Q98" s="880">
        <v>15</v>
      </c>
      <c r="R98" s="880">
        <v>16</v>
      </c>
      <c r="S98" s="863">
        <v>17</v>
      </c>
      <c r="T98" s="863">
        <v>18</v>
      </c>
      <c r="U98" s="863">
        <v>19</v>
      </c>
      <c r="V98" s="863">
        <v>20</v>
      </c>
      <c r="W98" s="863">
        <v>21</v>
      </c>
      <c r="X98" s="880">
        <v>22</v>
      </c>
      <c r="Y98" s="880">
        <v>23</v>
      </c>
      <c r="Z98" s="863">
        <v>24</v>
      </c>
      <c r="AA98" s="863">
        <v>25</v>
      </c>
      <c r="AB98" s="863">
        <v>26</v>
      </c>
      <c r="AC98" s="863">
        <v>27</v>
      </c>
      <c r="AD98" s="863">
        <v>28</v>
      </c>
      <c r="AE98" s="880">
        <v>29</v>
      </c>
      <c r="AF98" s="880">
        <v>30</v>
      </c>
      <c r="AG98" s="943"/>
      <c r="AH98" s="864" t="s">
        <v>477</v>
      </c>
      <c r="AI98" s="865" t="s">
        <v>478</v>
      </c>
    </row>
    <row r="99" spans="1:35" ht="21.95" customHeight="1">
      <c r="A99" s="870">
        <v>1</v>
      </c>
      <c r="B99" s="879" t="s">
        <v>582</v>
      </c>
      <c r="C99" s="1000"/>
      <c r="D99" s="1000"/>
      <c r="E99" s="1000" t="s">
        <v>583</v>
      </c>
      <c r="F99" s="1233" t="s">
        <v>586</v>
      </c>
      <c r="G99" s="1000" t="s">
        <v>583</v>
      </c>
      <c r="H99" s="1000" t="s">
        <v>583</v>
      </c>
      <c r="I99" s="1000" t="s">
        <v>583</v>
      </c>
      <c r="J99" s="1000" t="s">
        <v>583</v>
      </c>
      <c r="K99" s="1000"/>
      <c r="L99" s="1233" t="s">
        <v>586</v>
      </c>
      <c r="M99" s="1000" t="s">
        <v>584</v>
      </c>
      <c r="N99" s="1000" t="s">
        <v>584</v>
      </c>
      <c r="O99" s="1038" t="s">
        <v>584</v>
      </c>
      <c r="P99" s="1000" t="s">
        <v>481</v>
      </c>
      <c r="Q99" s="1000"/>
      <c r="R99" s="1000"/>
      <c r="S99" s="1000" t="s">
        <v>585</v>
      </c>
      <c r="T99" s="1233" t="s">
        <v>586</v>
      </c>
      <c r="U99" s="1000" t="s">
        <v>585</v>
      </c>
      <c r="V99" s="1000" t="s">
        <v>585</v>
      </c>
      <c r="W99" s="1000" t="s">
        <v>585</v>
      </c>
      <c r="X99" s="1000"/>
      <c r="Y99" s="1000"/>
      <c r="Z99" s="1000" t="s">
        <v>583</v>
      </c>
      <c r="AA99" s="1000" t="s">
        <v>583</v>
      </c>
      <c r="AB99" s="1000" t="s">
        <v>583</v>
      </c>
      <c r="AC99" s="1233" t="s">
        <v>586</v>
      </c>
      <c r="AD99" s="1000" t="s">
        <v>583</v>
      </c>
      <c r="AE99" s="1000" t="s">
        <v>583</v>
      </c>
      <c r="AF99" s="764"/>
      <c r="AG99" s="764"/>
      <c r="AH99" s="510">
        <v>95</v>
      </c>
      <c r="AI99" s="511">
        <v>37</v>
      </c>
    </row>
    <row r="100" spans="1:35" ht="21.95" customHeight="1">
      <c r="A100" s="575">
        <v>2</v>
      </c>
      <c r="B100" s="857" t="s">
        <v>587</v>
      </c>
      <c r="C100" s="768" t="s">
        <v>583</v>
      </c>
      <c r="D100" s="768"/>
      <c r="E100" s="768" t="s">
        <v>584</v>
      </c>
      <c r="F100" s="768" t="s">
        <v>584</v>
      </c>
      <c r="G100" s="768" t="s">
        <v>584</v>
      </c>
      <c r="H100" s="768" t="s">
        <v>584</v>
      </c>
      <c r="I100" s="768" t="s">
        <v>481</v>
      </c>
      <c r="J100" s="768"/>
      <c r="K100" s="768"/>
      <c r="L100" s="768" t="s">
        <v>585</v>
      </c>
      <c r="M100" s="768" t="s">
        <v>585</v>
      </c>
      <c r="N100" s="768" t="s">
        <v>585</v>
      </c>
      <c r="O100" s="768" t="s">
        <v>585</v>
      </c>
      <c r="P100" s="1131" t="s">
        <v>585</v>
      </c>
      <c r="Q100" s="768"/>
      <c r="R100" s="768"/>
      <c r="S100" s="768" t="s">
        <v>583</v>
      </c>
      <c r="T100" s="768" t="s">
        <v>583</v>
      </c>
      <c r="U100" s="768" t="s">
        <v>583</v>
      </c>
      <c r="V100" s="768" t="s">
        <v>583</v>
      </c>
      <c r="W100" s="768" t="s">
        <v>583</v>
      </c>
      <c r="X100" s="768" t="s">
        <v>583</v>
      </c>
      <c r="Y100" s="768"/>
      <c r="Z100" s="768" t="s">
        <v>584</v>
      </c>
      <c r="AA100" s="768" t="s">
        <v>584</v>
      </c>
      <c r="AB100" s="768" t="s">
        <v>584</v>
      </c>
      <c r="AC100" s="768" t="s">
        <v>584</v>
      </c>
      <c r="AD100" s="768" t="s">
        <v>481</v>
      </c>
      <c r="AE100" s="768"/>
      <c r="AF100" s="768"/>
      <c r="AG100" s="768"/>
      <c r="AH100" s="924">
        <v>64</v>
      </c>
      <c r="AI100" s="925">
        <v>37</v>
      </c>
    </row>
    <row r="101" spans="1:35" ht="21.95" customHeight="1">
      <c r="A101" s="575">
        <v>3</v>
      </c>
      <c r="B101" s="857" t="s">
        <v>289</v>
      </c>
      <c r="C101" s="768"/>
      <c r="D101" s="768"/>
      <c r="E101" s="768" t="s">
        <v>585</v>
      </c>
      <c r="F101" s="768" t="s">
        <v>585</v>
      </c>
      <c r="G101" s="768" t="s">
        <v>585</v>
      </c>
      <c r="H101" s="768" t="s">
        <v>585</v>
      </c>
      <c r="I101" s="768" t="s">
        <v>585</v>
      </c>
      <c r="J101" s="768"/>
      <c r="K101" s="768"/>
      <c r="L101" s="768" t="s">
        <v>583</v>
      </c>
      <c r="M101" s="768" t="s">
        <v>583</v>
      </c>
      <c r="N101" s="768" t="s">
        <v>583</v>
      </c>
      <c r="O101" s="768" t="s">
        <v>583</v>
      </c>
      <c r="P101" s="768" t="s">
        <v>583</v>
      </c>
      <c r="Q101" s="768" t="s">
        <v>583</v>
      </c>
      <c r="R101" s="768"/>
      <c r="S101" s="768" t="s">
        <v>584</v>
      </c>
      <c r="T101" s="768" t="s">
        <v>584</v>
      </c>
      <c r="U101" s="768" t="s">
        <v>584</v>
      </c>
      <c r="V101" s="768" t="s">
        <v>584</v>
      </c>
      <c r="W101" s="768" t="s">
        <v>481</v>
      </c>
      <c r="X101" s="768"/>
      <c r="Y101" s="768"/>
      <c r="Z101" s="768" t="s">
        <v>585</v>
      </c>
      <c r="AA101" s="768" t="s">
        <v>585</v>
      </c>
      <c r="AB101" s="768" t="s">
        <v>585</v>
      </c>
      <c r="AC101" s="768" t="s">
        <v>585</v>
      </c>
      <c r="AD101" s="768" t="s">
        <v>585</v>
      </c>
      <c r="AE101" s="768"/>
      <c r="AF101" s="768"/>
      <c r="AG101" s="768"/>
      <c r="AH101" s="924">
        <v>90</v>
      </c>
      <c r="AI101" s="925">
        <v>37</v>
      </c>
    </row>
    <row r="102" spans="1:35" ht="21.95" customHeight="1">
      <c r="A102" s="575">
        <v>4</v>
      </c>
      <c r="B102" s="857"/>
      <c r="C102" s="768"/>
      <c r="D102" s="762"/>
      <c r="E102" s="768"/>
      <c r="F102" s="768"/>
      <c r="G102" s="768"/>
      <c r="H102" s="768"/>
      <c r="I102" s="768"/>
      <c r="J102" s="762"/>
      <c r="K102" s="762"/>
      <c r="L102" s="768"/>
      <c r="M102" s="768"/>
      <c r="N102" s="768"/>
      <c r="O102" s="768"/>
      <c r="P102" s="768"/>
      <c r="Q102" s="762"/>
      <c r="R102" s="762"/>
      <c r="S102" s="762"/>
      <c r="T102" s="762"/>
      <c r="U102" s="762"/>
      <c r="V102" s="762"/>
      <c r="W102" s="762"/>
      <c r="X102" s="768"/>
      <c r="Y102" s="762"/>
      <c r="Z102" s="768"/>
      <c r="AA102" s="768"/>
      <c r="AB102" s="768"/>
      <c r="AC102" s="768"/>
      <c r="AD102" s="768"/>
      <c r="AE102" s="768"/>
      <c r="AF102" s="762"/>
      <c r="AG102" s="768"/>
      <c r="AH102" s="924">
        <v>185</v>
      </c>
      <c r="AI102" s="925">
        <v>37</v>
      </c>
    </row>
    <row r="103" spans="1:35" ht="21.95" customHeight="1">
      <c r="A103" s="576"/>
      <c r="B103" s="583"/>
      <c r="C103" s="555"/>
      <c r="D103" s="538"/>
      <c r="E103" s="538"/>
      <c r="F103" s="538"/>
      <c r="G103" s="538"/>
      <c r="H103" s="538"/>
      <c r="I103" s="555"/>
      <c r="J103" s="555"/>
      <c r="K103" s="538"/>
      <c r="L103" s="538"/>
      <c r="M103" s="538"/>
      <c r="N103" s="538"/>
      <c r="O103" s="538"/>
      <c r="P103" s="538"/>
      <c r="Q103" s="555"/>
      <c r="R103" s="538"/>
      <c r="S103" s="817"/>
      <c r="T103" s="817"/>
      <c r="U103" s="817"/>
      <c r="V103" s="817"/>
      <c r="W103" s="555"/>
      <c r="X103" s="555"/>
      <c r="Y103" s="538"/>
      <c r="Z103" s="538"/>
      <c r="AA103" s="538"/>
      <c r="AB103" s="538"/>
      <c r="AC103" s="538"/>
      <c r="AD103" s="538"/>
      <c r="AE103" s="555"/>
      <c r="AF103" s="538"/>
      <c r="AG103" s="538"/>
      <c r="AH103" s="556"/>
      <c r="AI103" s="556"/>
    </row>
    <row r="104" spans="1:35" ht="21.95" customHeight="1" thickBot="1">
      <c r="A104" s="805" t="s">
        <v>588</v>
      </c>
      <c r="B104" s="538"/>
      <c r="C104" s="555"/>
      <c r="D104" s="538"/>
      <c r="E104" s="538"/>
      <c r="F104" s="538"/>
      <c r="G104" s="538"/>
      <c r="H104" s="538"/>
      <c r="I104" s="555"/>
      <c r="J104" s="555"/>
      <c r="K104" s="538"/>
      <c r="L104" s="538"/>
      <c r="M104" s="538"/>
      <c r="N104" s="538"/>
      <c r="O104" s="538"/>
      <c r="P104" s="538"/>
      <c r="Q104" s="555"/>
      <c r="R104" s="538"/>
      <c r="S104" s="538"/>
      <c r="T104" s="538"/>
      <c r="U104" s="538"/>
      <c r="V104" s="538"/>
      <c r="W104" s="555"/>
      <c r="X104" s="555"/>
      <c r="Y104" s="538"/>
      <c r="Z104" s="538"/>
      <c r="AA104" s="538"/>
      <c r="AB104" s="538"/>
      <c r="AC104" s="538"/>
      <c r="AD104" s="538"/>
      <c r="AE104" s="555"/>
      <c r="AF104" s="538"/>
      <c r="AG104" s="538"/>
      <c r="AH104" s="556"/>
      <c r="AI104" s="556"/>
    </row>
    <row r="105" spans="1:35" ht="21.95" customHeight="1">
      <c r="A105" s="576"/>
      <c r="B105" s="806" t="s">
        <v>589</v>
      </c>
      <c r="C105" s="814"/>
      <c r="D105" s="807" t="s">
        <v>2</v>
      </c>
      <c r="E105" s="808"/>
      <c r="F105" s="809"/>
      <c r="G105" s="810"/>
      <c r="H105" s="807" t="s">
        <v>3</v>
      </c>
      <c r="I105" s="808"/>
      <c r="J105" s="809"/>
      <c r="K105" s="810"/>
      <c r="L105" s="807" t="s">
        <v>4</v>
      </c>
      <c r="M105" s="808"/>
      <c r="N105" s="809"/>
      <c r="O105" s="810"/>
      <c r="P105" s="807" t="s">
        <v>5</v>
      </c>
      <c r="Q105" s="808"/>
      <c r="R105" s="809"/>
      <c r="S105" s="810"/>
      <c r="T105" s="807" t="s">
        <v>6</v>
      </c>
      <c r="U105" s="808"/>
      <c r="V105" s="809"/>
      <c r="W105" s="810"/>
      <c r="X105" s="807" t="s">
        <v>7</v>
      </c>
      <c r="Y105" s="808"/>
      <c r="Z105" s="809"/>
      <c r="AA105" s="810"/>
      <c r="AB105" s="807" t="s">
        <v>8</v>
      </c>
      <c r="AC105" s="808"/>
      <c r="AD105" s="808"/>
      <c r="AE105" s="811" t="s">
        <v>10</v>
      </c>
      <c r="AF105" s="808"/>
      <c r="AG105" s="808"/>
      <c r="AH105" s="808"/>
      <c r="AI105" s="812"/>
    </row>
    <row r="106" spans="1:35" ht="21.95" customHeight="1">
      <c r="A106" s="576"/>
      <c r="B106" s="832" t="s">
        <v>590</v>
      </c>
      <c r="C106" s="815" t="s">
        <v>591</v>
      </c>
      <c r="D106" s="831" t="s">
        <v>592</v>
      </c>
      <c r="E106" s="816"/>
      <c r="F106" s="813"/>
      <c r="G106" s="815"/>
      <c r="H106" s="831" t="s">
        <v>592</v>
      </c>
      <c r="I106" s="816"/>
      <c r="J106" s="813"/>
      <c r="K106" s="815"/>
      <c r="L106" s="831" t="s">
        <v>592</v>
      </c>
      <c r="M106" s="816"/>
      <c r="N106" s="813"/>
      <c r="O106" s="815"/>
      <c r="P106" s="831" t="s">
        <v>593</v>
      </c>
      <c r="Q106" s="816"/>
      <c r="R106" s="813"/>
      <c r="S106" s="815"/>
      <c r="T106" s="831" t="s">
        <v>594</v>
      </c>
      <c r="U106" s="816"/>
      <c r="V106" s="813"/>
      <c r="W106" s="815"/>
      <c r="X106" s="816"/>
      <c r="Y106" s="816"/>
      <c r="Z106" s="813"/>
      <c r="AA106" s="815"/>
      <c r="AB106" s="816"/>
      <c r="AC106" s="816"/>
      <c r="AD106" s="816"/>
      <c r="AE106" s="815"/>
      <c r="AF106" s="816"/>
      <c r="AG106" s="816"/>
      <c r="AH106" s="818"/>
      <c r="AI106" s="819"/>
    </row>
    <row r="107" spans="1:35" ht="21.95" customHeight="1">
      <c r="A107" s="576"/>
      <c r="B107" s="833" t="s">
        <v>595</v>
      </c>
      <c r="C107" s="815" t="s">
        <v>596</v>
      </c>
      <c r="D107" s="831" t="s">
        <v>592</v>
      </c>
      <c r="E107" s="816"/>
      <c r="F107" s="813"/>
      <c r="G107" s="815"/>
      <c r="H107" s="831" t="s">
        <v>592</v>
      </c>
      <c r="I107" s="816"/>
      <c r="J107" s="813"/>
      <c r="K107" s="815"/>
      <c r="L107" s="831" t="s">
        <v>592</v>
      </c>
      <c r="M107" s="816"/>
      <c r="N107" s="813"/>
      <c r="O107" s="815"/>
      <c r="P107" s="831" t="s">
        <v>593</v>
      </c>
      <c r="Q107" s="816"/>
      <c r="R107" s="813"/>
      <c r="S107" s="815"/>
      <c r="T107" s="831" t="s">
        <v>594</v>
      </c>
      <c r="U107" s="816"/>
      <c r="V107" s="813"/>
      <c r="W107" s="815"/>
      <c r="X107" s="816"/>
      <c r="Y107" s="816"/>
      <c r="Z107" s="813"/>
      <c r="AA107" s="815"/>
      <c r="AB107" s="816"/>
      <c r="AC107" s="816"/>
      <c r="AD107" s="816"/>
      <c r="AE107" s="815"/>
      <c r="AF107" s="816"/>
      <c r="AG107" s="816"/>
      <c r="AH107" s="818"/>
      <c r="AI107" s="819"/>
    </row>
    <row r="108" spans="1:35" ht="21.95" customHeight="1">
      <c r="A108" s="576"/>
      <c r="B108" s="833" t="s">
        <v>597</v>
      </c>
      <c r="C108" s="815" t="s">
        <v>598</v>
      </c>
      <c r="D108" s="831" t="s">
        <v>592</v>
      </c>
      <c r="E108" s="816"/>
      <c r="F108" s="813"/>
      <c r="G108" s="815"/>
      <c r="H108" s="831" t="s">
        <v>592</v>
      </c>
      <c r="I108" s="816"/>
      <c r="J108" s="813"/>
      <c r="K108" s="815"/>
      <c r="L108" s="831" t="s">
        <v>592</v>
      </c>
      <c r="M108" s="816"/>
      <c r="N108" s="813"/>
      <c r="O108" s="815"/>
      <c r="P108" s="831" t="s">
        <v>593</v>
      </c>
      <c r="Q108" s="816"/>
      <c r="R108" s="813"/>
      <c r="S108" s="815"/>
      <c r="T108" s="831" t="s">
        <v>594</v>
      </c>
      <c r="U108" s="816"/>
      <c r="V108" s="813"/>
      <c r="W108" s="815"/>
      <c r="X108" s="816"/>
      <c r="Y108" s="816"/>
      <c r="Z108" s="813"/>
      <c r="AA108" s="815"/>
      <c r="AB108" s="816"/>
      <c r="AC108" s="816"/>
      <c r="AD108" s="816"/>
      <c r="AE108" s="815"/>
      <c r="AF108" s="816"/>
      <c r="AG108" s="816"/>
      <c r="AH108" s="818"/>
      <c r="AI108" s="819"/>
    </row>
    <row r="109" spans="1:35" ht="21.95" customHeight="1">
      <c r="A109" s="576"/>
      <c r="B109" s="833" t="s">
        <v>599</v>
      </c>
      <c r="C109" s="815" t="s">
        <v>600</v>
      </c>
      <c r="D109" s="831" t="s">
        <v>592</v>
      </c>
      <c r="E109" s="816"/>
      <c r="F109" s="813"/>
      <c r="G109" s="815"/>
      <c r="H109" s="831" t="s">
        <v>592</v>
      </c>
      <c r="I109" s="816"/>
      <c r="J109" s="813"/>
      <c r="K109" s="815"/>
      <c r="L109" s="831" t="s">
        <v>592</v>
      </c>
      <c r="M109" s="816"/>
      <c r="N109" s="813"/>
      <c r="O109" s="815"/>
      <c r="P109" s="831" t="s">
        <v>593</v>
      </c>
      <c r="Q109" s="816"/>
      <c r="R109" s="813"/>
      <c r="S109" s="815"/>
      <c r="T109" s="831" t="s">
        <v>594</v>
      </c>
      <c r="U109" s="816"/>
      <c r="V109" s="813"/>
      <c r="W109" s="815"/>
      <c r="X109" s="816"/>
      <c r="Y109" s="816"/>
      <c r="Z109" s="813"/>
      <c r="AA109" s="815"/>
      <c r="AB109" s="816"/>
      <c r="AC109" s="816"/>
      <c r="AD109" s="816"/>
      <c r="AE109" s="815"/>
      <c r="AF109" s="816"/>
      <c r="AG109" s="816"/>
      <c r="AH109" s="818"/>
      <c r="AI109" s="819"/>
    </row>
    <row r="110" spans="1:35" ht="21.95" customHeight="1">
      <c r="A110" s="576"/>
      <c r="B110" s="833" t="s">
        <v>601</v>
      </c>
      <c r="C110" s="815" t="s">
        <v>602</v>
      </c>
      <c r="D110" s="831" t="s">
        <v>592</v>
      </c>
      <c r="E110" s="816"/>
      <c r="F110" s="813"/>
      <c r="G110" s="815"/>
      <c r="H110" s="831" t="s">
        <v>592</v>
      </c>
      <c r="I110" s="816"/>
      <c r="J110" s="813"/>
      <c r="K110" s="815"/>
      <c r="L110" s="831" t="s">
        <v>592</v>
      </c>
      <c r="M110" s="816"/>
      <c r="N110" s="813"/>
      <c r="O110" s="815"/>
      <c r="P110" s="831" t="s">
        <v>593</v>
      </c>
      <c r="Q110" s="816"/>
      <c r="R110" s="813"/>
      <c r="S110" s="815"/>
      <c r="T110" s="831" t="s">
        <v>594</v>
      </c>
      <c r="U110" s="816"/>
      <c r="V110" s="813"/>
      <c r="W110" s="815"/>
      <c r="X110" s="816"/>
      <c r="Y110" s="816"/>
      <c r="Z110" s="813"/>
      <c r="AA110" s="815"/>
      <c r="AB110" s="816"/>
      <c r="AC110" s="816"/>
      <c r="AD110" s="816"/>
      <c r="AE110" s="815"/>
      <c r="AF110" s="816"/>
      <c r="AG110" s="816"/>
      <c r="AH110" s="818"/>
      <c r="AI110" s="819"/>
    </row>
    <row r="111" spans="1:35" ht="21.95" customHeight="1">
      <c r="A111" s="576"/>
      <c r="B111" s="833" t="s">
        <v>603</v>
      </c>
      <c r="C111" s="815" t="s">
        <v>604</v>
      </c>
      <c r="D111" s="831" t="s">
        <v>592</v>
      </c>
      <c r="E111" s="816"/>
      <c r="F111" s="813"/>
      <c r="G111" s="815"/>
      <c r="H111" s="831" t="s">
        <v>592</v>
      </c>
      <c r="I111" s="816"/>
      <c r="J111" s="813"/>
      <c r="K111" s="815"/>
      <c r="L111" s="831" t="s">
        <v>592</v>
      </c>
      <c r="M111" s="816"/>
      <c r="N111" s="813"/>
      <c r="O111" s="815"/>
      <c r="P111" s="831" t="s">
        <v>593</v>
      </c>
      <c r="Q111" s="816"/>
      <c r="R111" s="813"/>
      <c r="S111" s="815"/>
      <c r="T111" s="831" t="s">
        <v>594</v>
      </c>
      <c r="U111" s="816"/>
      <c r="V111" s="813"/>
      <c r="W111" s="815"/>
      <c r="X111" s="816"/>
      <c r="Y111" s="816"/>
      <c r="Z111" s="813"/>
      <c r="AA111" s="815"/>
      <c r="AB111" s="816"/>
      <c r="AC111" s="816"/>
      <c r="AD111" s="816"/>
      <c r="AE111" s="815"/>
      <c r="AF111" s="816"/>
      <c r="AG111" s="816"/>
      <c r="AH111" s="818"/>
      <c r="AI111" s="819"/>
    </row>
    <row r="112" spans="1:35" ht="21.95" customHeight="1">
      <c r="A112" s="576"/>
      <c r="B112" s="833" t="s">
        <v>605</v>
      </c>
      <c r="C112" s="815" t="s">
        <v>606</v>
      </c>
      <c r="D112" s="831" t="s">
        <v>592</v>
      </c>
      <c r="E112" s="816"/>
      <c r="F112" s="813"/>
      <c r="G112" s="815"/>
      <c r="H112" s="831" t="s">
        <v>592</v>
      </c>
      <c r="I112" s="816"/>
      <c r="J112" s="813"/>
      <c r="K112" s="815"/>
      <c r="L112" s="831" t="s">
        <v>592</v>
      </c>
      <c r="M112" s="816"/>
      <c r="N112" s="813"/>
      <c r="O112" s="815"/>
      <c r="P112" s="831" t="s">
        <v>593</v>
      </c>
      <c r="Q112" s="816"/>
      <c r="R112" s="813"/>
      <c r="S112" s="815"/>
      <c r="T112" s="831" t="s">
        <v>594</v>
      </c>
      <c r="U112" s="816"/>
      <c r="V112" s="813"/>
      <c r="W112" s="815"/>
      <c r="X112" s="816"/>
      <c r="Y112" s="816"/>
      <c r="Z112" s="813"/>
      <c r="AA112" s="815"/>
      <c r="AB112" s="816"/>
      <c r="AC112" s="816"/>
      <c r="AD112" s="816"/>
      <c r="AE112" s="815"/>
      <c r="AF112" s="816"/>
      <c r="AG112" s="816"/>
      <c r="AH112" s="818"/>
      <c r="AI112" s="819"/>
    </row>
    <row r="113" spans="1:37" ht="21.95" customHeight="1">
      <c r="A113" s="576"/>
      <c r="B113" s="833" t="s">
        <v>605</v>
      </c>
      <c r="C113" s="815" t="s">
        <v>607</v>
      </c>
      <c r="D113" s="831" t="s">
        <v>592</v>
      </c>
      <c r="E113" s="816"/>
      <c r="F113" s="813"/>
      <c r="G113" s="815"/>
      <c r="H113" s="831" t="s">
        <v>592</v>
      </c>
      <c r="I113" s="816"/>
      <c r="J113" s="813"/>
      <c r="K113" s="815"/>
      <c r="L113" s="831" t="s">
        <v>592</v>
      </c>
      <c r="M113" s="816"/>
      <c r="N113" s="813"/>
      <c r="O113" s="815"/>
      <c r="P113" s="831" t="s">
        <v>593</v>
      </c>
      <c r="Q113" s="816"/>
      <c r="R113" s="813"/>
      <c r="S113" s="815"/>
      <c r="T113" s="831" t="s">
        <v>594</v>
      </c>
      <c r="U113" s="816"/>
      <c r="V113" s="813"/>
      <c r="W113" s="815"/>
      <c r="X113" s="816"/>
      <c r="Y113" s="816"/>
      <c r="Z113" s="813"/>
      <c r="AA113" s="815"/>
      <c r="AB113" s="816"/>
      <c r="AC113" s="816"/>
      <c r="AD113" s="816"/>
      <c r="AE113" s="815"/>
      <c r="AF113" s="816"/>
      <c r="AG113" s="816"/>
      <c r="AH113" s="818"/>
      <c r="AI113" s="819"/>
    </row>
    <row r="114" spans="1:37" ht="21.95" customHeight="1">
      <c r="A114" s="576"/>
      <c r="B114" s="833" t="s">
        <v>608</v>
      </c>
      <c r="C114" s="815" t="s">
        <v>609</v>
      </c>
      <c r="D114" s="831" t="s">
        <v>592</v>
      </c>
      <c r="E114" s="816"/>
      <c r="F114" s="813"/>
      <c r="G114" s="815"/>
      <c r="H114" s="831" t="s">
        <v>592</v>
      </c>
      <c r="I114" s="816"/>
      <c r="J114" s="813"/>
      <c r="K114" s="815"/>
      <c r="L114" s="831" t="s">
        <v>592</v>
      </c>
      <c r="M114" s="816"/>
      <c r="N114" s="813"/>
      <c r="O114" s="815"/>
      <c r="P114" s="831" t="s">
        <v>593</v>
      </c>
      <c r="Q114" s="816"/>
      <c r="R114" s="813"/>
      <c r="S114" s="815"/>
      <c r="T114" s="831" t="s">
        <v>594</v>
      </c>
      <c r="U114" s="816"/>
      <c r="V114" s="813"/>
      <c r="W114" s="815"/>
      <c r="X114" s="816"/>
      <c r="Y114" s="816"/>
      <c r="Z114" s="813"/>
      <c r="AA114" s="815"/>
      <c r="AB114" s="816"/>
      <c r="AC114" s="816"/>
      <c r="AD114" s="816"/>
      <c r="AE114" s="815"/>
      <c r="AF114" s="816"/>
      <c r="AG114" s="816"/>
      <c r="AH114" s="818"/>
      <c r="AI114" s="819"/>
    </row>
    <row r="115" spans="1:37" ht="21.95" customHeight="1">
      <c r="A115" s="576"/>
      <c r="B115" s="833" t="s">
        <v>610</v>
      </c>
      <c r="C115" s="815" t="s">
        <v>611</v>
      </c>
      <c r="D115" s="831" t="s">
        <v>592</v>
      </c>
      <c r="E115" s="816"/>
      <c r="F115" s="813"/>
      <c r="G115" s="815"/>
      <c r="H115" s="831" t="s">
        <v>592</v>
      </c>
      <c r="I115" s="816"/>
      <c r="J115" s="813"/>
      <c r="K115" s="815"/>
      <c r="L115" s="831" t="s">
        <v>592</v>
      </c>
      <c r="M115" s="816"/>
      <c r="N115" s="813"/>
      <c r="O115" s="815"/>
      <c r="P115" s="831" t="s">
        <v>593</v>
      </c>
      <c r="Q115" s="816"/>
      <c r="R115" s="813"/>
      <c r="S115" s="815"/>
      <c r="T115" s="831" t="s">
        <v>594</v>
      </c>
      <c r="U115" s="816"/>
      <c r="V115" s="813"/>
      <c r="W115" s="815"/>
      <c r="X115" s="816"/>
      <c r="Y115" s="816"/>
      <c r="Z115" s="813"/>
      <c r="AA115" s="815"/>
      <c r="AB115" s="816"/>
      <c r="AC115" s="816"/>
      <c r="AD115" s="816"/>
      <c r="AE115" s="815"/>
      <c r="AF115" s="816"/>
      <c r="AG115" s="816"/>
      <c r="AH115" s="818"/>
      <c r="AI115" s="819"/>
    </row>
    <row r="116" spans="1:37" ht="21.95" customHeight="1">
      <c r="A116" s="576"/>
      <c r="B116" s="833" t="s">
        <v>612</v>
      </c>
      <c r="C116" s="815" t="s">
        <v>613</v>
      </c>
      <c r="D116" s="831" t="s">
        <v>592</v>
      </c>
      <c r="E116" s="816"/>
      <c r="F116" s="813"/>
      <c r="G116" s="815"/>
      <c r="H116" s="831" t="s">
        <v>592</v>
      </c>
      <c r="I116" s="816"/>
      <c r="J116" s="813"/>
      <c r="K116" s="815"/>
      <c r="L116" s="831" t="s">
        <v>592</v>
      </c>
      <c r="M116" s="816"/>
      <c r="N116" s="813"/>
      <c r="O116" s="815"/>
      <c r="P116" s="831" t="s">
        <v>593</v>
      </c>
      <c r="Q116" s="816"/>
      <c r="R116" s="813"/>
      <c r="S116" s="815"/>
      <c r="T116" s="831" t="s">
        <v>594</v>
      </c>
      <c r="U116" s="816"/>
      <c r="V116" s="813"/>
      <c r="W116" s="815"/>
      <c r="X116" s="816"/>
      <c r="Y116" s="816"/>
      <c r="Z116" s="813"/>
      <c r="AA116" s="815"/>
      <c r="AB116" s="816"/>
      <c r="AC116" s="816"/>
      <c r="AD116" s="816"/>
      <c r="AE116" s="815"/>
      <c r="AF116" s="816"/>
      <c r="AG116" s="816"/>
      <c r="AH116" s="818"/>
      <c r="AI116" s="819"/>
    </row>
    <row r="117" spans="1:37" ht="21.95" customHeight="1" thickBot="1">
      <c r="A117" s="576"/>
      <c r="B117" s="583"/>
      <c r="C117" s="555"/>
      <c r="D117" s="538"/>
      <c r="E117" s="538"/>
      <c r="F117" s="538"/>
      <c r="G117" s="538"/>
      <c r="H117" s="538"/>
      <c r="I117" s="555"/>
      <c r="J117" s="555"/>
      <c r="K117" s="538"/>
      <c r="L117" s="538"/>
      <c r="M117" s="538"/>
      <c r="N117" s="538"/>
      <c r="O117" s="538"/>
      <c r="P117" s="538"/>
      <c r="Q117" s="555"/>
      <c r="R117" s="538"/>
      <c r="S117" s="538"/>
      <c r="T117" s="538"/>
      <c r="U117" s="538"/>
      <c r="V117" s="538"/>
      <c r="W117" s="555"/>
      <c r="X117" s="555"/>
      <c r="Y117" s="538"/>
      <c r="Z117" s="538"/>
      <c r="AA117" s="538"/>
      <c r="AB117" s="538"/>
      <c r="AC117" s="538"/>
      <c r="AD117" s="538"/>
      <c r="AE117" s="555"/>
      <c r="AF117" s="538"/>
      <c r="AG117" s="538"/>
      <c r="AH117" s="556"/>
      <c r="AI117" s="556"/>
    </row>
    <row r="118" spans="1:37" ht="21.95" customHeight="1" thickBot="1">
      <c r="A118" s="785"/>
      <c r="B118" s="883" t="s">
        <v>476</v>
      </c>
      <c r="C118" s="880">
        <v>1</v>
      </c>
      <c r="D118" s="880">
        <v>2</v>
      </c>
      <c r="E118" s="863">
        <v>3</v>
      </c>
      <c r="F118" s="863">
        <v>4</v>
      </c>
      <c r="G118" s="863">
        <v>5</v>
      </c>
      <c r="H118" s="863">
        <v>6</v>
      </c>
      <c r="I118" s="863">
        <v>7</v>
      </c>
      <c r="J118" s="880">
        <v>8</v>
      </c>
      <c r="K118" s="880">
        <v>9</v>
      </c>
      <c r="L118" s="863">
        <v>10</v>
      </c>
      <c r="M118" s="863">
        <v>11</v>
      </c>
      <c r="N118" s="863">
        <v>12</v>
      </c>
      <c r="O118" s="863">
        <v>13</v>
      </c>
      <c r="P118" s="863">
        <v>14</v>
      </c>
      <c r="Q118" s="880">
        <v>15</v>
      </c>
      <c r="R118" s="880">
        <v>16</v>
      </c>
      <c r="S118" s="863">
        <v>17</v>
      </c>
      <c r="T118" s="863">
        <v>18</v>
      </c>
      <c r="U118" s="863">
        <v>19</v>
      </c>
      <c r="V118" s="863">
        <v>20</v>
      </c>
      <c r="W118" s="863">
        <v>21</v>
      </c>
      <c r="X118" s="880">
        <v>22</v>
      </c>
      <c r="Y118" s="880">
        <v>23</v>
      </c>
      <c r="Z118" s="863">
        <v>24</v>
      </c>
      <c r="AA118" s="863">
        <v>25</v>
      </c>
      <c r="AB118" s="863">
        <v>26</v>
      </c>
      <c r="AC118" s="863">
        <v>27</v>
      </c>
      <c r="AD118" s="863">
        <v>28</v>
      </c>
      <c r="AE118" s="880">
        <v>29</v>
      </c>
      <c r="AF118" s="880">
        <v>30</v>
      </c>
      <c r="AG118" s="945"/>
      <c r="AH118" s="884" t="s">
        <v>477</v>
      </c>
      <c r="AI118" s="885" t="s">
        <v>478</v>
      </c>
    </row>
    <row r="119" spans="1:37" ht="21.95" customHeight="1">
      <c r="A119" s="576"/>
      <c r="B119" s="881" t="s">
        <v>614</v>
      </c>
      <c r="C119" s="882"/>
      <c r="D119" s="882"/>
      <c r="E119" s="882" t="s">
        <v>591</v>
      </c>
      <c r="F119" s="882" t="s">
        <v>591</v>
      </c>
      <c r="G119" s="882" t="s">
        <v>591</v>
      </c>
      <c r="H119" s="837" t="s">
        <v>591</v>
      </c>
      <c r="I119" s="882" t="s">
        <v>591</v>
      </c>
      <c r="J119" s="882"/>
      <c r="K119" s="882"/>
      <c r="L119" s="882" t="s">
        <v>591</v>
      </c>
      <c r="M119" s="882" t="s">
        <v>591</v>
      </c>
      <c r="N119" s="882" t="s">
        <v>591</v>
      </c>
      <c r="O119" s="882" t="s">
        <v>591</v>
      </c>
      <c r="P119" s="882" t="s">
        <v>591</v>
      </c>
      <c r="Q119" s="882"/>
      <c r="R119" s="882"/>
      <c r="S119" s="882" t="s">
        <v>591</v>
      </c>
      <c r="T119" s="882" t="s">
        <v>591</v>
      </c>
      <c r="U119" s="882" t="s">
        <v>591</v>
      </c>
      <c r="V119" s="882" t="s">
        <v>591</v>
      </c>
      <c r="W119" s="882" t="s">
        <v>591</v>
      </c>
      <c r="X119" s="882"/>
      <c r="Y119" s="882"/>
      <c r="Z119" s="882" t="s">
        <v>591</v>
      </c>
      <c r="AA119" s="882" t="s">
        <v>591</v>
      </c>
      <c r="AB119" s="882" t="s">
        <v>591</v>
      </c>
      <c r="AC119" s="882" t="s">
        <v>591</v>
      </c>
      <c r="AD119" s="882" t="s">
        <v>591</v>
      </c>
      <c r="AE119" s="882"/>
      <c r="AF119" s="882"/>
      <c r="AG119" s="882"/>
      <c r="AH119" s="510">
        <v>91.5</v>
      </c>
      <c r="AI119" s="511">
        <v>37</v>
      </c>
    </row>
    <row r="120" spans="1:37" ht="21.95" customHeight="1">
      <c r="A120" s="576"/>
      <c r="B120" s="804" t="s">
        <v>615</v>
      </c>
      <c r="C120" s="837"/>
      <c r="D120" s="837"/>
      <c r="E120" s="837" t="s">
        <v>591</v>
      </c>
      <c r="F120" s="837" t="s">
        <v>591</v>
      </c>
      <c r="G120" s="837" t="s">
        <v>591</v>
      </c>
      <c r="H120" s="837" t="s">
        <v>591</v>
      </c>
      <c r="I120" s="837" t="s">
        <v>591</v>
      </c>
      <c r="J120" s="837"/>
      <c r="K120" s="837"/>
      <c r="L120" s="837" t="s">
        <v>591</v>
      </c>
      <c r="M120" s="837" t="s">
        <v>591</v>
      </c>
      <c r="N120" s="837" t="s">
        <v>591</v>
      </c>
      <c r="O120" s="837" t="s">
        <v>591</v>
      </c>
      <c r="P120" s="837" t="s">
        <v>591</v>
      </c>
      <c r="Q120" s="837"/>
      <c r="R120" s="837"/>
      <c r="S120" s="837" t="s">
        <v>591</v>
      </c>
      <c r="T120" s="837" t="s">
        <v>591</v>
      </c>
      <c r="U120" s="837" t="s">
        <v>591</v>
      </c>
      <c r="V120" s="837" t="s">
        <v>591</v>
      </c>
      <c r="W120" s="837" t="s">
        <v>591</v>
      </c>
      <c r="X120" s="837"/>
      <c r="Y120" s="837"/>
      <c r="Z120" s="837" t="s">
        <v>591</v>
      </c>
      <c r="AA120" s="837" t="s">
        <v>591</v>
      </c>
      <c r="AB120" s="837" t="s">
        <v>591</v>
      </c>
      <c r="AC120" s="837" t="s">
        <v>591</v>
      </c>
      <c r="AD120" s="837" t="s">
        <v>591</v>
      </c>
      <c r="AE120" s="837"/>
      <c r="AF120" s="837"/>
      <c r="AG120" s="837"/>
      <c r="AH120" s="924">
        <v>66.75</v>
      </c>
      <c r="AI120" s="925">
        <v>37</v>
      </c>
    </row>
    <row r="121" spans="1:37" ht="21.95" customHeight="1">
      <c r="A121" s="576"/>
      <c r="B121" s="804" t="s">
        <v>616</v>
      </c>
      <c r="C121" s="969"/>
      <c r="D121" s="969"/>
      <c r="E121" s="1023" t="s">
        <v>596</v>
      </c>
      <c r="F121" s="1023" t="s">
        <v>596</v>
      </c>
      <c r="G121" s="1023" t="s">
        <v>596</v>
      </c>
      <c r="H121" s="1023" t="s">
        <v>596</v>
      </c>
      <c r="I121" s="1023" t="s">
        <v>754</v>
      </c>
      <c r="J121" s="837"/>
      <c r="K121" s="837"/>
      <c r="L121" s="837" t="s">
        <v>596</v>
      </c>
      <c r="M121" s="837" t="s">
        <v>596</v>
      </c>
      <c r="N121" s="837" t="s">
        <v>596</v>
      </c>
      <c r="O121" s="837" t="s">
        <v>596</v>
      </c>
      <c r="P121" s="837" t="s">
        <v>596</v>
      </c>
      <c r="Q121" s="837"/>
      <c r="R121" s="837"/>
      <c r="S121" s="837" t="s">
        <v>596</v>
      </c>
      <c r="T121" s="837" t="s">
        <v>596</v>
      </c>
      <c r="U121" s="837" t="s">
        <v>596</v>
      </c>
      <c r="V121" s="837" t="s">
        <v>596</v>
      </c>
      <c r="W121" s="837" t="s">
        <v>596</v>
      </c>
      <c r="X121" s="837"/>
      <c r="Y121" s="837"/>
      <c r="Z121" s="837" t="s">
        <v>596</v>
      </c>
      <c r="AA121" s="837" t="s">
        <v>596</v>
      </c>
      <c r="AB121" s="837" t="s">
        <v>596</v>
      </c>
      <c r="AC121" s="837" t="s">
        <v>596</v>
      </c>
      <c r="AD121" s="1256" t="s">
        <v>596</v>
      </c>
      <c r="AE121" s="837"/>
      <c r="AF121" s="837"/>
      <c r="AG121" s="837"/>
      <c r="AH121" s="924">
        <v>54</v>
      </c>
      <c r="AI121" s="925">
        <v>37</v>
      </c>
    </row>
    <row r="122" spans="1:37" ht="21.95" customHeight="1">
      <c r="A122" s="576"/>
      <c r="B122" s="804" t="s">
        <v>782</v>
      </c>
      <c r="C122" s="837"/>
      <c r="D122" s="837"/>
      <c r="E122" s="837" t="s">
        <v>598</v>
      </c>
      <c r="F122" s="837" t="s">
        <v>598</v>
      </c>
      <c r="G122" s="837" t="s">
        <v>598</v>
      </c>
      <c r="H122" s="1247" t="s">
        <v>598</v>
      </c>
      <c r="I122" s="1247" t="s">
        <v>598</v>
      </c>
      <c r="J122" s="837"/>
      <c r="K122" s="837"/>
      <c r="L122" s="837" t="s">
        <v>598</v>
      </c>
      <c r="M122" s="837" t="s">
        <v>598</v>
      </c>
      <c r="N122" s="837" t="s">
        <v>598</v>
      </c>
      <c r="O122" s="837" t="s">
        <v>598</v>
      </c>
      <c r="P122" s="837" t="s">
        <v>598</v>
      </c>
      <c r="Q122" s="837"/>
      <c r="R122" s="837"/>
      <c r="S122" s="837" t="s">
        <v>598</v>
      </c>
      <c r="T122" s="837" t="s">
        <v>598</v>
      </c>
      <c r="U122" s="837" t="s">
        <v>598</v>
      </c>
      <c r="V122" s="837" t="s">
        <v>598</v>
      </c>
      <c r="W122" s="1005" t="s">
        <v>598</v>
      </c>
      <c r="X122" s="837"/>
      <c r="Y122" s="837"/>
      <c r="Z122" s="837" t="s">
        <v>598</v>
      </c>
      <c r="AA122" s="837" t="s">
        <v>598</v>
      </c>
      <c r="AB122" s="837" t="s">
        <v>598</v>
      </c>
      <c r="AC122" s="837" t="s">
        <v>598</v>
      </c>
      <c r="AD122" s="837" t="s">
        <v>598</v>
      </c>
      <c r="AE122" s="837"/>
      <c r="AF122" s="837"/>
      <c r="AG122" s="837"/>
      <c r="AH122" s="924">
        <v>83</v>
      </c>
      <c r="AI122" s="925">
        <v>37</v>
      </c>
    </row>
    <row r="123" spans="1:37" ht="21.95" customHeight="1">
      <c r="A123" s="576"/>
      <c r="B123" s="804" t="s">
        <v>619</v>
      </c>
      <c r="C123" s="837"/>
      <c r="D123" s="837"/>
      <c r="E123" s="837" t="s">
        <v>600</v>
      </c>
      <c r="F123" s="837" t="s">
        <v>600</v>
      </c>
      <c r="G123" s="837" t="s">
        <v>600</v>
      </c>
      <c r="H123" s="837" t="s">
        <v>600</v>
      </c>
      <c r="I123" s="837" t="s">
        <v>600</v>
      </c>
      <c r="J123" s="837"/>
      <c r="K123" s="837"/>
      <c r="L123" s="837" t="s">
        <v>600</v>
      </c>
      <c r="M123" s="837" t="s">
        <v>600</v>
      </c>
      <c r="N123" s="837" t="s">
        <v>600</v>
      </c>
      <c r="O123" s="837" t="s">
        <v>600</v>
      </c>
      <c r="P123" s="837" t="s">
        <v>600</v>
      </c>
      <c r="Q123" s="837"/>
      <c r="R123" s="837"/>
      <c r="S123" s="1023" t="s">
        <v>620</v>
      </c>
      <c r="T123" s="815" t="s">
        <v>600</v>
      </c>
      <c r="U123" s="815" t="s">
        <v>600</v>
      </c>
      <c r="V123" s="815" t="s">
        <v>600</v>
      </c>
      <c r="W123" s="815" t="s">
        <v>600</v>
      </c>
      <c r="X123" s="837"/>
      <c r="Y123" s="837"/>
      <c r="Z123" s="837" t="s">
        <v>600</v>
      </c>
      <c r="AA123" s="837" t="s">
        <v>600</v>
      </c>
      <c r="AB123" s="837" t="s">
        <v>600</v>
      </c>
      <c r="AC123" s="837" t="s">
        <v>600</v>
      </c>
      <c r="AD123" s="837" t="s">
        <v>600</v>
      </c>
      <c r="AE123" s="837"/>
      <c r="AF123" s="837"/>
      <c r="AG123" s="837"/>
      <c r="AH123" s="924">
        <v>37</v>
      </c>
      <c r="AI123" s="925">
        <v>37</v>
      </c>
      <c r="AK123" s="1264"/>
    </row>
    <row r="124" spans="1:37" ht="21.95" customHeight="1">
      <c r="A124" s="576"/>
      <c r="B124" s="804" t="s">
        <v>621</v>
      </c>
      <c r="C124" s="837"/>
      <c r="D124" s="837"/>
      <c r="E124" s="837" t="s">
        <v>602</v>
      </c>
      <c r="F124" s="837" t="s">
        <v>602</v>
      </c>
      <c r="G124" s="837" t="s">
        <v>602</v>
      </c>
      <c r="H124" s="837" t="s">
        <v>602</v>
      </c>
      <c r="I124" s="837" t="s">
        <v>602</v>
      </c>
      <c r="J124" s="837"/>
      <c r="K124" s="837"/>
      <c r="L124" s="969" t="s">
        <v>602</v>
      </c>
      <c r="M124" s="969" t="s">
        <v>602</v>
      </c>
      <c r="N124" s="969" t="s">
        <v>602</v>
      </c>
      <c r="O124" s="969" t="s">
        <v>602</v>
      </c>
      <c r="P124" s="969" t="s">
        <v>602</v>
      </c>
      <c r="Q124" s="969"/>
      <c r="R124" s="969"/>
      <c r="S124" s="837" t="s">
        <v>602</v>
      </c>
      <c r="T124" s="837" t="s">
        <v>602</v>
      </c>
      <c r="U124" s="837" t="s">
        <v>602</v>
      </c>
      <c r="V124" s="837" t="s">
        <v>602</v>
      </c>
      <c r="W124" s="837" t="s">
        <v>602</v>
      </c>
      <c r="X124" s="837"/>
      <c r="Y124" s="837"/>
      <c r="Z124" s="837" t="s">
        <v>602</v>
      </c>
      <c r="AA124" s="837" t="s">
        <v>602</v>
      </c>
      <c r="AB124" s="837" t="s">
        <v>602</v>
      </c>
      <c r="AC124" s="837" t="s">
        <v>602</v>
      </c>
      <c r="AD124" s="837" t="s">
        <v>602</v>
      </c>
      <c r="AE124" s="837"/>
      <c r="AF124" s="837"/>
      <c r="AG124" s="837"/>
      <c r="AH124" s="924">
        <v>69</v>
      </c>
      <c r="AI124" s="925">
        <v>37</v>
      </c>
    </row>
    <row r="125" spans="1:37" ht="21.95" customHeight="1">
      <c r="A125" s="576"/>
      <c r="B125" s="804" t="s">
        <v>622</v>
      </c>
      <c r="C125" s="837"/>
      <c r="D125" s="837"/>
      <c r="E125" s="837" t="s">
        <v>604</v>
      </c>
      <c r="F125" s="837" t="s">
        <v>604</v>
      </c>
      <c r="G125" s="837" t="s">
        <v>604</v>
      </c>
      <c r="H125" s="837" t="s">
        <v>604</v>
      </c>
      <c r="I125" s="837" t="s">
        <v>604</v>
      </c>
      <c r="J125" s="837"/>
      <c r="K125" s="837"/>
      <c r="L125" s="837" t="s">
        <v>604</v>
      </c>
      <c r="M125" s="837" t="s">
        <v>604</v>
      </c>
      <c r="N125" s="837" t="s">
        <v>604</v>
      </c>
      <c r="O125" s="837" t="s">
        <v>604</v>
      </c>
      <c r="P125" s="837" t="s">
        <v>604</v>
      </c>
      <c r="Q125" s="837"/>
      <c r="R125" s="837"/>
      <c r="S125" s="837" t="s">
        <v>604</v>
      </c>
      <c r="T125" s="837" t="s">
        <v>604</v>
      </c>
      <c r="U125" s="837" t="s">
        <v>604</v>
      </c>
      <c r="V125" s="837" t="s">
        <v>604</v>
      </c>
      <c r="W125" s="837" t="s">
        <v>604</v>
      </c>
      <c r="X125" s="837"/>
      <c r="Y125" s="837"/>
      <c r="Z125" s="837" t="s">
        <v>604</v>
      </c>
      <c r="AA125" s="837" t="s">
        <v>604</v>
      </c>
      <c r="AB125" s="837" t="s">
        <v>604</v>
      </c>
      <c r="AC125" s="837" t="s">
        <v>604</v>
      </c>
      <c r="AD125" s="837" t="s">
        <v>604</v>
      </c>
      <c r="AE125" s="837"/>
      <c r="AF125" s="837"/>
      <c r="AG125" s="837"/>
      <c r="AH125" s="924">
        <v>81.5</v>
      </c>
      <c r="AI125" s="925">
        <v>37</v>
      </c>
    </row>
    <row r="126" spans="1:37" ht="21.95" customHeight="1">
      <c r="A126" s="576"/>
      <c r="B126" s="804" t="s">
        <v>623</v>
      </c>
      <c r="C126" s="837"/>
      <c r="D126" s="837"/>
      <c r="E126" s="837" t="s">
        <v>606</v>
      </c>
      <c r="F126" s="1250" t="s">
        <v>606</v>
      </c>
      <c r="G126" s="1250" t="s">
        <v>606</v>
      </c>
      <c r="H126" s="837" t="s">
        <v>606</v>
      </c>
      <c r="I126" s="837" t="s">
        <v>606</v>
      </c>
      <c r="J126" s="837"/>
      <c r="K126" s="837"/>
      <c r="L126" s="837" t="s">
        <v>606</v>
      </c>
      <c r="M126" s="837" t="s">
        <v>606</v>
      </c>
      <c r="N126" s="837" t="s">
        <v>606</v>
      </c>
      <c r="O126" s="837" t="s">
        <v>606</v>
      </c>
      <c r="P126" s="837" t="s">
        <v>606</v>
      </c>
      <c r="Q126" s="837"/>
      <c r="R126" s="837"/>
      <c r="S126" s="1023" t="s">
        <v>606</v>
      </c>
      <c r="T126" s="1023" t="s">
        <v>606</v>
      </c>
      <c r="U126" s="1023" t="s">
        <v>760</v>
      </c>
      <c r="V126" s="837" t="s">
        <v>606</v>
      </c>
      <c r="W126" s="837" t="s">
        <v>606</v>
      </c>
      <c r="X126" s="837"/>
      <c r="Y126" s="837"/>
      <c r="Z126" s="837" t="s">
        <v>606</v>
      </c>
      <c r="AA126" s="837" t="s">
        <v>606</v>
      </c>
      <c r="AB126" s="837" t="s">
        <v>606</v>
      </c>
      <c r="AC126" s="837" t="s">
        <v>606</v>
      </c>
      <c r="AD126" s="837" t="s">
        <v>606</v>
      </c>
      <c r="AE126" s="837"/>
      <c r="AF126" s="837"/>
      <c r="AG126" s="837"/>
      <c r="AH126" s="924">
        <v>74</v>
      </c>
      <c r="AI126" s="925">
        <v>37</v>
      </c>
    </row>
    <row r="127" spans="1:37" ht="21.95" customHeight="1">
      <c r="A127" s="576"/>
      <c r="B127" s="804" t="s">
        <v>624</v>
      </c>
      <c r="C127" s="837"/>
      <c r="D127" s="837"/>
      <c r="E127" s="837" t="s">
        <v>607</v>
      </c>
      <c r="F127" s="837" t="s">
        <v>607</v>
      </c>
      <c r="G127" s="837" t="s">
        <v>607</v>
      </c>
      <c r="H127" s="837" t="s">
        <v>607</v>
      </c>
      <c r="I127" s="837" t="s">
        <v>607</v>
      </c>
      <c r="J127" s="837"/>
      <c r="K127" s="837"/>
      <c r="L127" s="1005" t="s">
        <v>607</v>
      </c>
      <c r="M127" s="1005" t="s">
        <v>607</v>
      </c>
      <c r="N127" s="1005" t="s">
        <v>607</v>
      </c>
      <c r="O127" s="1005" t="s">
        <v>607</v>
      </c>
      <c r="P127" s="1005" t="s">
        <v>607</v>
      </c>
      <c r="Q127" s="837"/>
      <c r="R127" s="837"/>
      <c r="S127" s="837" t="s">
        <v>607</v>
      </c>
      <c r="T127" s="837" t="s">
        <v>607</v>
      </c>
      <c r="U127" s="837" t="s">
        <v>607</v>
      </c>
      <c r="V127" s="837" t="s">
        <v>607</v>
      </c>
      <c r="W127" s="837" t="s">
        <v>607</v>
      </c>
      <c r="X127" s="837"/>
      <c r="Y127" s="837"/>
      <c r="Z127" s="837" t="s">
        <v>607</v>
      </c>
      <c r="AA127" s="837" t="s">
        <v>607</v>
      </c>
      <c r="AB127" s="837" t="s">
        <v>607</v>
      </c>
      <c r="AC127" s="837" t="s">
        <v>607</v>
      </c>
      <c r="AD127" s="837" t="s">
        <v>607</v>
      </c>
      <c r="AE127" s="837"/>
      <c r="AF127" s="837"/>
      <c r="AG127" s="837"/>
      <c r="AH127" s="924">
        <v>44</v>
      </c>
      <c r="AI127" s="925">
        <v>37</v>
      </c>
    </row>
    <row r="128" spans="1:37" ht="21.95" customHeight="1">
      <c r="A128" s="576"/>
      <c r="B128" s="804" t="s">
        <v>626</v>
      </c>
      <c r="C128" s="837"/>
      <c r="D128" s="837"/>
      <c r="E128" s="837" t="s">
        <v>609</v>
      </c>
      <c r="F128" s="837" t="s">
        <v>609</v>
      </c>
      <c r="G128" s="837" t="s">
        <v>609</v>
      </c>
      <c r="H128" s="837" t="s">
        <v>609</v>
      </c>
      <c r="I128" s="837" t="s">
        <v>609</v>
      </c>
      <c r="J128" s="837"/>
      <c r="K128" s="837"/>
      <c r="L128" s="837" t="s">
        <v>609</v>
      </c>
      <c r="M128" s="837" t="s">
        <v>609</v>
      </c>
      <c r="N128" s="837" t="s">
        <v>609</v>
      </c>
      <c r="O128" s="837" t="s">
        <v>609</v>
      </c>
      <c r="P128" s="837" t="s">
        <v>609</v>
      </c>
      <c r="Q128" s="837"/>
      <c r="R128" s="837"/>
      <c r="S128" s="837" t="s">
        <v>609</v>
      </c>
      <c r="T128" s="837" t="s">
        <v>609</v>
      </c>
      <c r="U128" s="837" t="s">
        <v>609</v>
      </c>
      <c r="V128" s="837" t="s">
        <v>609</v>
      </c>
      <c r="W128" s="837" t="s">
        <v>609</v>
      </c>
      <c r="X128" s="837"/>
      <c r="Y128" s="837"/>
      <c r="Z128" s="837" t="s">
        <v>609</v>
      </c>
      <c r="AA128" s="837" t="s">
        <v>609</v>
      </c>
      <c r="AB128" s="837" t="s">
        <v>609</v>
      </c>
      <c r="AC128" s="837" t="s">
        <v>609</v>
      </c>
      <c r="AD128" s="837" t="s">
        <v>609</v>
      </c>
      <c r="AE128" s="837"/>
      <c r="AF128" s="837"/>
      <c r="AG128" s="837"/>
      <c r="AH128" s="924">
        <v>69</v>
      </c>
      <c r="AI128" s="925">
        <v>37</v>
      </c>
    </row>
    <row r="129" spans="1:35" ht="21.95" customHeight="1">
      <c r="A129" s="576"/>
      <c r="B129" s="804" t="s">
        <v>627</v>
      </c>
      <c r="C129" s="837"/>
      <c r="D129" s="837"/>
      <c r="E129" s="1023" t="s">
        <v>611</v>
      </c>
      <c r="F129" s="1023" t="s">
        <v>783</v>
      </c>
      <c r="G129" s="837" t="s">
        <v>611</v>
      </c>
      <c r="H129" s="837" t="s">
        <v>611</v>
      </c>
      <c r="I129" s="837" t="s">
        <v>611</v>
      </c>
      <c r="J129" s="837"/>
      <c r="K129" s="837"/>
      <c r="L129" s="837" t="s">
        <v>611</v>
      </c>
      <c r="M129" s="837" t="s">
        <v>611</v>
      </c>
      <c r="N129" s="837" t="s">
        <v>611</v>
      </c>
      <c r="O129" s="837" t="s">
        <v>611</v>
      </c>
      <c r="P129" s="837" t="s">
        <v>611</v>
      </c>
      <c r="Q129" s="837"/>
      <c r="R129" s="837"/>
      <c r="S129" s="837" t="s">
        <v>611</v>
      </c>
      <c r="T129" s="837" t="s">
        <v>611</v>
      </c>
      <c r="U129" s="837" t="s">
        <v>611</v>
      </c>
      <c r="V129" s="837" t="s">
        <v>611</v>
      </c>
      <c r="W129" s="837" t="s">
        <v>611</v>
      </c>
      <c r="X129" s="837"/>
      <c r="Y129" s="837"/>
      <c r="Z129" s="837" t="s">
        <v>611</v>
      </c>
      <c r="AA129" s="837" t="s">
        <v>611</v>
      </c>
      <c r="AB129" s="837" t="s">
        <v>611</v>
      </c>
      <c r="AC129" s="837" t="s">
        <v>611</v>
      </c>
      <c r="AD129" s="837" t="s">
        <v>611</v>
      </c>
      <c r="AE129" s="837"/>
      <c r="AF129" s="837"/>
      <c r="AG129" s="837"/>
      <c r="AH129" s="924">
        <v>164</v>
      </c>
      <c r="AI129" s="925">
        <v>32</v>
      </c>
    </row>
    <row r="130" spans="1:35" ht="21.95" customHeight="1" thickBot="1">
      <c r="A130" s="576"/>
      <c r="B130" s="886" t="s">
        <v>629</v>
      </c>
      <c r="C130" s="887"/>
      <c r="D130" s="887"/>
      <c r="E130" s="887" t="s">
        <v>613</v>
      </c>
      <c r="F130" s="887" t="s">
        <v>613</v>
      </c>
      <c r="G130" s="887" t="s">
        <v>613</v>
      </c>
      <c r="H130" s="887" t="s">
        <v>613</v>
      </c>
      <c r="I130" s="887" t="s">
        <v>613</v>
      </c>
      <c r="J130" s="887"/>
      <c r="K130" s="887"/>
      <c r="L130" s="887" t="s">
        <v>613</v>
      </c>
      <c r="M130" s="887" t="s">
        <v>613</v>
      </c>
      <c r="N130" s="887" t="s">
        <v>613</v>
      </c>
      <c r="O130" s="837" t="s">
        <v>613</v>
      </c>
      <c r="P130" s="887" t="s">
        <v>613</v>
      </c>
      <c r="Q130" s="887"/>
      <c r="R130" s="887"/>
      <c r="S130" s="887" t="s">
        <v>613</v>
      </c>
      <c r="T130" s="887" t="s">
        <v>613</v>
      </c>
      <c r="U130" s="887" t="s">
        <v>613</v>
      </c>
      <c r="V130" s="887" t="s">
        <v>613</v>
      </c>
      <c r="W130" s="887" t="s">
        <v>613</v>
      </c>
      <c r="X130" s="887"/>
      <c r="Y130" s="887"/>
      <c r="Z130" s="887" t="s">
        <v>613</v>
      </c>
      <c r="AA130" s="887" t="s">
        <v>613</v>
      </c>
      <c r="AB130" s="887" t="s">
        <v>613</v>
      </c>
      <c r="AC130" s="887" t="s">
        <v>613</v>
      </c>
      <c r="AD130" s="887" t="s">
        <v>613</v>
      </c>
      <c r="AE130" s="887"/>
      <c r="AF130" s="887"/>
      <c r="AG130" s="887"/>
      <c r="AH130" s="868">
        <v>74</v>
      </c>
      <c r="AI130" s="869">
        <v>37</v>
      </c>
    </row>
    <row r="131" spans="1:35" ht="21.95" customHeight="1">
      <c r="A131" s="576"/>
      <c r="B131" s="847"/>
      <c r="C131" s="555"/>
      <c r="D131" s="555"/>
      <c r="E131" s="555"/>
      <c r="F131" s="555"/>
      <c r="G131" s="555"/>
      <c r="H131" s="555"/>
      <c r="I131" s="555"/>
      <c r="J131" s="555"/>
      <c r="K131" s="555"/>
      <c r="L131" s="555"/>
      <c r="M131" s="555"/>
      <c r="N131" s="555"/>
      <c r="O131" s="555"/>
      <c r="P131" s="555"/>
      <c r="Q131" s="555"/>
      <c r="R131" s="555"/>
      <c r="S131" s="555"/>
      <c r="T131" s="555"/>
      <c r="U131" s="555"/>
      <c r="V131" s="555"/>
      <c r="W131" s="555"/>
      <c r="X131" s="555"/>
      <c r="Y131" s="555"/>
      <c r="Z131" s="555"/>
      <c r="AA131" s="555"/>
      <c r="AB131" s="555"/>
      <c r="AC131" s="555"/>
      <c r="AD131" s="555"/>
      <c r="AE131" s="555"/>
      <c r="AF131" s="555"/>
      <c r="AG131" s="555"/>
      <c r="AH131" s="556"/>
      <c r="AI131" s="556"/>
    </row>
    <row r="132" spans="1:35" ht="21.95" customHeight="1" thickBot="1">
      <c r="A132" s="805" t="s">
        <v>630</v>
      </c>
      <c r="B132" s="538" t="s">
        <v>631</v>
      </c>
      <c r="C132" s="555"/>
      <c r="D132" s="538"/>
      <c r="E132" s="538"/>
      <c r="F132" s="538"/>
      <c r="G132" s="538"/>
      <c r="H132" s="538"/>
      <c r="I132" s="555"/>
      <c r="J132" s="555"/>
      <c r="K132" s="538"/>
      <c r="L132" s="538"/>
      <c r="M132" s="538"/>
      <c r="N132" s="538"/>
      <c r="O132" s="538"/>
      <c r="P132" s="538"/>
      <c r="Q132" s="555"/>
      <c r="R132" s="538"/>
      <c r="S132" s="538"/>
      <c r="T132" s="538"/>
      <c r="U132" s="538"/>
      <c r="V132" s="538"/>
      <c r="W132" s="555"/>
      <c r="X132" s="555"/>
      <c r="Y132" s="538"/>
      <c r="Z132" s="538"/>
      <c r="AA132" s="538"/>
      <c r="AB132" s="538"/>
      <c r="AC132" s="538"/>
      <c r="AD132" s="538"/>
      <c r="AE132" s="555"/>
      <c r="AF132" s="538"/>
      <c r="AG132" s="538"/>
      <c r="AH132" s="556"/>
      <c r="AI132" s="556"/>
    </row>
    <row r="133" spans="1:35" ht="21.95" customHeight="1">
      <c r="A133" s="576"/>
      <c r="B133" s="806" t="s">
        <v>589</v>
      </c>
      <c r="C133" s="814"/>
      <c r="D133" s="807" t="s">
        <v>2</v>
      </c>
      <c r="E133" s="808"/>
      <c r="F133" s="809"/>
      <c r="G133" s="810"/>
      <c r="H133" s="807" t="s">
        <v>3</v>
      </c>
      <c r="I133" s="808"/>
      <c r="J133" s="809"/>
      <c r="K133" s="810"/>
      <c r="L133" s="807" t="s">
        <v>4</v>
      </c>
      <c r="M133" s="808"/>
      <c r="N133" s="809"/>
      <c r="O133" s="810"/>
      <c r="P133" s="807" t="s">
        <v>5</v>
      </c>
      <c r="Q133" s="808"/>
      <c r="R133" s="809"/>
      <c r="S133" s="810"/>
      <c r="T133" s="807" t="s">
        <v>6</v>
      </c>
      <c r="U133" s="808"/>
      <c r="V133" s="809"/>
      <c r="W133" s="810"/>
      <c r="X133" s="807" t="s">
        <v>7</v>
      </c>
      <c r="Y133" s="808"/>
      <c r="Z133" s="809"/>
      <c r="AA133" s="810"/>
      <c r="AB133" s="807" t="s">
        <v>8</v>
      </c>
      <c r="AC133" s="808"/>
      <c r="AD133" s="808"/>
      <c r="AE133" s="811" t="s">
        <v>10</v>
      </c>
      <c r="AF133" s="808"/>
      <c r="AG133" s="808"/>
      <c r="AH133" s="808"/>
      <c r="AI133" s="812"/>
    </row>
    <row r="134" spans="1:35" ht="21.95" customHeight="1">
      <c r="A134" s="576"/>
      <c r="B134" s="832"/>
      <c r="C134" s="815"/>
      <c r="D134" s="831"/>
      <c r="E134" s="816"/>
      <c r="F134" s="813"/>
      <c r="G134" s="815"/>
      <c r="H134" s="831"/>
      <c r="I134" s="816"/>
      <c r="J134" s="813"/>
      <c r="K134" s="815"/>
      <c r="L134" s="831"/>
      <c r="M134" s="816"/>
      <c r="N134" s="813"/>
      <c r="O134" s="815"/>
      <c r="P134" s="831"/>
      <c r="Q134" s="816"/>
      <c r="R134" s="813"/>
      <c r="S134" s="815"/>
      <c r="T134" s="831"/>
      <c r="U134" s="816"/>
      <c r="V134" s="813"/>
      <c r="W134" s="815"/>
      <c r="X134" s="816"/>
      <c r="Y134" s="816"/>
      <c r="Z134" s="813"/>
      <c r="AA134" s="815"/>
      <c r="AB134" s="816"/>
      <c r="AC134" s="816"/>
      <c r="AD134" s="816"/>
      <c r="AE134" s="815"/>
      <c r="AF134" s="816"/>
      <c r="AG134" s="816"/>
      <c r="AH134" s="818"/>
      <c r="AI134" s="819"/>
    </row>
    <row r="135" spans="1:35" ht="21.95" customHeight="1">
      <c r="A135" s="576"/>
      <c r="B135" s="833"/>
      <c r="C135" s="815"/>
      <c r="D135" s="831"/>
      <c r="E135" s="816"/>
      <c r="F135" s="813"/>
      <c r="G135" s="815"/>
      <c r="H135" s="831"/>
      <c r="I135" s="816"/>
      <c r="J135" s="813"/>
      <c r="K135" s="815"/>
      <c r="L135" s="831"/>
      <c r="M135" s="816"/>
      <c r="N135" s="813"/>
      <c r="O135" s="815"/>
      <c r="P135" s="831"/>
      <c r="Q135" s="816"/>
      <c r="R135" s="813"/>
      <c r="S135" s="815"/>
      <c r="T135" s="831"/>
      <c r="U135" s="816"/>
      <c r="V135" s="813"/>
      <c r="W135" s="815"/>
      <c r="X135" s="816"/>
      <c r="Y135" s="816"/>
      <c r="Z135" s="813"/>
      <c r="AA135" s="815"/>
      <c r="AB135" s="816"/>
      <c r="AC135" s="816"/>
      <c r="AD135" s="816"/>
      <c r="AE135" s="815"/>
      <c r="AF135" s="816"/>
      <c r="AG135" s="816"/>
      <c r="AH135" s="818"/>
      <c r="AI135" s="819"/>
    </row>
    <row r="136" spans="1:35" ht="21.95" customHeight="1">
      <c r="A136" s="576"/>
      <c r="B136" s="833"/>
      <c r="C136" s="815"/>
      <c r="D136" s="831"/>
      <c r="E136" s="816"/>
      <c r="F136" s="813"/>
      <c r="G136" s="815"/>
      <c r="H136" s="831"/>
      <c r="I136" s="816"/>
      <c r="J136" s="813"/>
      <c r="K136" s="815"/>
      <c r="L136" s="831"/>
      <c r="M136" s="816"/>
      <c r="N136" s="813"/>
      <c r="O136" s="815"/>
      <c r="P136" s="831"/>
      <c r="Q136" s="816"/>
      <c r="R136" s="813"/>
      <c r="S136" s="815"/>
      <c r="T136" s="831"/>
      <c r="U136" s="816"/>
      <c r="V136" s="813"/>
      <c r="W136" s="815"/>
      <c r="X136" s="816"/>
      <c r="Y136" s="816"/>
      <c r="Z136" s="813"/>
      <c r="AA136" s="815"/>
      <c r="AB136" s="816"/>
      <c r="AC136" s="816"/>
      <c r="AD136" s="816"/>
      <c r="AE136" s="815"/>
      <c r="AF136" s="816"/>
      <c r="AG136" s="816"/>
      <c r="AH136" s="818"/>
      <c r="AI136" s="819"/>
    </row>
    <row r="137" spans="1:35" ht="21.75" customHeight="1" thickBot="1">
      <c r="A137" s="576"/>
      <c r="B137" s="847"/>
      <c r="C137" s="555"/>
      <c r="D137" s="555"/>
      <c r="E137" s="555"/>
      <c r="F137" s="555"/>
      <c r="G137" s="555"/>
      <c r="H137" s="555"/>
      <c r="I137" s="555"/>
      <c r="J137" s="555"/>
      <c r="K137" s="555"/>
      <c r="L137" s="555"/>
      <c r="M137" s="555"/>
      <c r="N137" s="555"/>
      <c r="O137" s="555"/>
      <c r="P137" s="555"/>
      <c r="Q137" s="555"/>
      <c r="R137" s="555"/>
      <c r="S137" s="555"/>
      <c r="T137" s="555"/>
      <c r="U137" s="555"/>
      <c r="V137" s="555"/>
      <c r="W137" s="555"/>
      <c r="X137" s="555"/>
      <c r="Y137" s="555"/>
      <c r="Z137" s="555"/>
      <c r="AA137" s="555"/>
      <c r="AB137" s="555"/>
      <c r="AC137" s="555"/>
      <c r="AD137" s="555"/>
      <c r="AE137" s="555"/>
      <c r="AF137" s="555"/>
      <c r="AG137" s="555"/>
      <c r="AH137" s="556"/>
      <c r="AI137" s="556"/>
    </row>
    <row r="138" spans="1:35" ht="21.95" customHeight="1" thickBot="1">
      <c r="A138" s="785"/>
      <c r="B138" s="883" t="s">
        <v>476</v>
      </c>
      <c r="C138" s="944">
        <v>1</v>
      </c>
      <c r="D138" s="880">
        <v>2</v>
      </c>
      <c r="E138" s="863">
        <v>3</v>
      </c>
      <c r="F138" s="863">
        <v>4</v>
      </c>
      <c r="G138" s="863">
        <v>5</v>
      </c>
      <c r="H138" s="863">
        <v>6</v>
      </c>
      <c r="I138" s="863">
        <v>7</v>
      </c>
      <c r="J138" s="880">
        <v>8</v>
      </c>
      <c r="K138" s="880">
        <v>9</v>
      </c>
      <c r="L138" s="863">
        <v>10</v>
      </c>
      <c r="M138" s="863">
        <v>11</v>
      </c>
      <c r="N138" s="863">
        <v>12</v>
      </c>
      <c r="O138" s="863">
        <v>13</v>
      </c>
      <c r="P138" s="863">
        <v>14</v>
      </c>
      <c r="Q138" s="880">
        <v>15</v>
      </c>
      <c r="R138" s="880">
        <v>16</v>
      </c>
      <c r="S138" s="863">
        <v>17</v>
      </c>
      <c r="T138" s="863">
        <v>18</v>
      </c>
      <c r="U138" s="863">
        <v>19</v>
      </c>
      <c r="V138" s="863">
        <v>20</v>
      </c>
      <c r="W138" s="863">
        <v>21</v>
      </c>
      <c r="X138" s="880">
        <v>22</v>
      </c>
      <c r="Y138" s="880">
        <v>23</v>
      </c>
      <c r="Z138" s="863">
        <v>24</v>
      </c>
      <c r="AA138" s="863">
        <v>25</v>
      </c>
      <c r="AB138" s="863">
        <v>26</v>
      </c>
      <c r="AC138" s="863">
        <v>27</v>
      </c>
      <c r="AD138" s="863">
        <v>28</v>
      </c>
      <c r="AE138" s="880">
        <v>29</v>
      </c>
      <c r="AF138" s="880">
        <v>30</v>
      </c>
      <c r="AG138" s="945"/>
      <c r="AH138" s="884" t="s">
        <v>477</v>
      </c>
      <c r="AI138" s="885" t="s">
        <v>478</v>
      </c>
    </row>
    <row r="139" spans="1:35" ht="21.95" customHeight="1">
      <c r="A139" s="576"/>
      <c r="B139" s="888" t="s">
        <v>632</v>
      </c>
      <c r="C139" s="768"/>
      <c r="D139" s="768"/>
      <c r="E139" s="768" t="s">
        <v>491</v>
      </c>
      <c r="F139" s="768" t="s">
        <v>491</v>
      </c>
      <c r="G139" s="871" t="s">
        <v>491</v>
      </c>
      <c r="H139" s="768" t="s">
        <v>491</v>
      </c>
      <c r="I139" s="768" t="s">
        <v>491</v>
      </c>
      <c r="J139" s="768"/>
      <c r="K139" s="768"/>
      <c r="L139" s="768" t="s">
        <v>491</v>
      </c>
      <c r="M139" s="768" t="s">
        <v>491</v>
      </c>
      <c r="N139" s="768" t="s">
        <v>491</v>
      </c>
      <c r="O139" s="768" t="s">
        <v>491</v>
      </c>
      <c r="P139" s="768" t="s">
        <v>491</v>
      </c>
      <c r="Q139" s="768"/>
      <c r="R139" s="768"/>
      <c r="S139" s="768" t="s">
        <v>491</v>
      </c>
      <c r="T139" s="768" t="s">
        <v>491</v>
      </c>
      <c r="U139" s="768" t="s">
        <v>491</v>
      </c>
      <c r="V139" s="768" t="s">
        <v>491</v>
      </c>
      <c r="W139" s="768" t="s">
        <v>491</v>
      </c>
      <c r="X139" s="768"/>
      <c r="Y139" s="768"/>
      <c r="Z139" s="768" t="s">
        <v>491</v>
      </c>
      <c r="AA139" s="768" t="s">
        <v>491</v>
      </c>
      <c r="AB139" s="768" t="s">
        <v>491</v>
      </c>
      <c r="AC139" s="768" t="s">
        <v>491</v>
      </c>
      <c r="AD139" s="768" t="s">
        <v>491</v>
      </c>
      <c r="AE139" s="768"/>
      <c r="AF139" s="768"/>
      <c r="AG139" s="882"/>
      <c r="AH139" s="510">
        <v>83</v>
      </c>
      <c r="AI139" s="511">
        <v>37</v>
      </c>
    </row>
    <row r="140" spans="1:35" ht="21.95" customHeight="1">
      <c r="A140" s="576"/>
      <c r="B140" s="858" t="s">
        <v>633</v>
      </c>
      <c r="C140" s="1038"/>
      <c r="D140" s="1038"/>
      <c r="E140" s="1038" t="s">
        <v>493</v>
      </c>
      <c r="F140" s="987" t="s">
        <v>491</v>
      </c>
      <c r="G140" s="987" t="s">
        <v>485</v>
      </c>
      <c r="H140" s="768" t="s">
        <v>491</v>
      </c>
      <c r="I140" s="768" t="s">
        <v>491</v>
      </c>
      <c r="J140" s="768"/>
      <c r="K140" s="768"/>
      <c r="L140" s="768" t="s">
        <v>491</v>
      </c>
      <c r="M140" s="768" t="s">
        <v>491</v>
      </c>
      <c r="N140" s="768" t="s">
        <v>491</v>
      </c>
      <c r="O140" s="768" t="s">
        <v>491</v>
      </c>
      <c r="P140" s="768" t="s">
        <v>491</v>
      </c>
      <c r="Q140" s="768"/>
      <c r="R140" s="768"/>
      <c r="S140" s="768" t="s">
        <v>491</v>
      </c>
      <c r="T140" s="768" t="s">
        <v>491</v>
      </c>
      <c r="U140" s="768" t="s">
        <v>491</v>
      </c>
      <c r="V140" s="768" t="s">
        <v>491</v>
      </c>
      <c r="W140" s="768" t="s">
        <v>491</v>
      </c>
      <c r="X140" s="768"/>
      <c r="Y140" s="768"/>
      <c r="Z140" s="768" t="s">
        <v>491</v>
      </c>
      <c r="AA140" s="768" t="s">
        <v>491</v>
      </c>
      <c r="AB140" s="768" t="s">
        <v>491</v>
      </c>
      <c r="AC140" s="768" t="s">
        <v>491</v>
      </c>
      <c r="AD140" s="768" t="s">
        <v>491</v>
      </c>
      <c r="AE140" s="768"/>
      <c r="AF140" s="768"/>
      <c r="AG140" s="837"/>
      <c r="AH140" s="924">
        <v>37</v>
      </c>
      <c r="AI140" s="925">
        <v>37</v>
      </c>
    </row>
    <row r="141" spans="1:35" ht="21.95" customHeight="1">
      <c r="A141" s="576"/>
      <c r="B141" s="858" t="s">
        <v>634</v>
      </c>
      <c r="C141" s="768"/>
      <c r="D141" s="768"/>
      <c r="E141" s="768" t="s">
        <v>491</v>
      </c>
      <c r="F141" s="768" t="s">
        <v>491</v>
      </c>
      <c r="G141" s="768" t="s">
        <v>491</v>
      </c>
      <c r="H141" s="768" t="s">
        <v>491</v>
      </c>
      <c r="I141" s="768" t="s">
        <v>491</v>
      </c>
      <c r="J141" s="768"/>
      <c r="K141" s="768"/>
      <c r="L141" s="768" t="s">
        <v>491</v>
      </c>
      <c r="M141" s="768" t="s">
        <v>491</v>
      </c>
      <c r="N141" s="768" t="s">
        <v>491</v>
      </c>
      <c r="O141" s="970" t="s">
        <v>491</v>
      </c>
      <c r="P141" s="970" t="s">
        <v>491</v>
      </c>
      <c r="Q141" s="768"/>
      <c r="R141" s="768"/>
      <c r="S141" s="768" t="s">
        <v>491</v>
      </c>
      <c r="T141" s="768" t="s">
        <v>491</v>
      </c>
      <c r="U141" s="768" t="s">
        <v>491</v>
      </c>
      <c r="V141" s="768" t="s">
        <v>491</v>
      </c>
      <c r="W141" s="768" t="s">
        <v>491</v>
      </c>
      <c r="X141" s="768"/>
      <c r="Y141" s="768"/>
      <c r="Z141" s="768" t="s">
        <v>491</v>
      </c>
      <c r="AA141" s="768" t="s">
        <v>491</v>
      </c>
      <c r="AB141" s="768" t="s">
        <v>491</v>
      </c>
      <c r="AC141" s="768" t="s">
        <v>491</v>
      </c>
      <c r="AD141" s="768" t="s">
        <v>491</v>
      </c>
      <c r="AE141" s="768"/>
      <c r="AF141" s="768"/>
      <c r="AG141" s="837"/>
      <c r="AH141" s="924">
        <v>53</v>
      </c>
      <c r="AI141" s="925">
        <v>37</v>
      </c>
    </row>
    <row r="142" spans="1:35" ht="21.95" customHeight="1">
      <c r="A142" s="576"/>
      <c r="B142" s="859" t="s">
        <v>638</v>
      </c>
      <c r="C142" s="768"/>
      <c r="D142" s="768"/>
      <c r="E142" s="768" t="s">
        <v>491</v>
      </c>
      <c r="F142" s="768" t="s">
        <v>491</v>
      </c>
      <c r="G142" s="768" t="s">
        <v>491</v>
      </c>
      <c r="H142" s="768" t="s">
        <v>491</v>
      </c>
      <c r="I142" s="768" t="s">
        <v>491</v>
      </c>
      <c r="J142" s="768"/>
      <c r="K142" s="768"/>
      <c r="L142" s="768" t="s">
        <v>491</v>
      </c>
      <c r="M142" s="768" t="s">
        <v>491</v>
      </c>
      <c r="N142" s="768" t="s">
        <v>491</v>
      </c>
      <c r="O142" s="768" t="s">
        <v>491</v>
      </c>
      <c r="P142" s="768" t="s">
        <v>491</v>
      </c>
      <c r="Q142" s="768"/>
      <c r="R142" s="768"/>
      <c r="S142" s="768" t="s">
        <v>491</v>
      </c>
      <c r="T142" s="768" t="s">
        <v>491</v>
      </c>
      <c r="U142" s="768" t="s">
        <v>491</v>
      </c>
      <c r="V142" s="768" t="s">
        <v>491</v>
      </c>
      <c r="W142" s="768" t="s">
        <v>491</v>
      </c>
      <c r="X142" s="768"/>
      <c r="Y142" s="768"/>
      <c r="Z142" s="768" t="s">
        <v>491</v>
      </c>
      <c r="AA142" s="768" t="s">
        <v>491</v>
      </c>
      <c r="AB142" s="768" t="s">
        <v>491</v>
      </c>
      <c r="AC142" s="768" t="s">
        <v>491</v>
      </c>
      <c r="AD142" s="768" t="s">
        <v>491</v>
      </c>
      <c r="AE142" s="768"/>
      <c r="AF142" s="768"/>
      <c r="AG142" s="837"/>
      <c r="AH142" s="924">
        <v>74</v>
      </c>
      <c r="AI142" s="925">
        <v>37</v>
      </c>
    </row>
    <row r="143" spans="1:35" ht="21.95" customHeight="1">
      <c r="A143" s="576"/>
      <c r="B143" s="994" t="s">
        <v>635</v>
      </c>
      <c r="C143" s="768"/>
      <c r="D143" s="768"/>
      <c r="E143" s="768" t="s">
        <v>491</v>
      </c>
      <c r="F143" s="768" t="s">
        <v>491</v>
      </c>
      <c r="G143" s="768" t="s">
        <v>491</v>
      </c>
      <c r="H143" s="768" t="s">
        <v>491</v>
      </c>
      <c r="I143" s="768" t="s">
        <v>491</v>
      </c>
      <c r="J143" s="768"/>
      <c r="K143" s="768"/>
      <c r="L143" s="768" t="s">
        <v>491</v>
      </c>
      <c r="M143" s="768" t="s">
        <v>491</v>
      </c>
      <c r="N143" s="768" t="s">
        <v>491</v>
      </c>
      <c r="O143" s="768" t="s">
        <v>491</v>
      </c>
      <c r="P143" s="768" t="s">
        <v>491</v>
      </c>
      <c r="Q143" s="768"/>
      <c r="R143" s="768"/>
      <c r="S143" s="768" t="s">
        <v>491</v>
      </c>
      <c r="T143" s="768" t="s">
        <v>491</v>
      </c>
      <c r="U143" s="768" t="s">
        <v>491</v>
      </c>
      <c r="V143" s="768" t="s">
        <v>491</v>
      </c>
      <c r="W143" s="768" t="s">
        <v>491</v>
      </c>
      <c r="X143" s="768"/>
      <c r="Y143" s="768"/>
      <c r="Z143" s="768" t="s">
        <v>491</v>
      </c>
      <c r="AA143" s="768" t="s">
        <v>491</v>
      </c>
      <c r="AB143" s="768" t="s">
        <v>491</v>
      </c>
      <c r="AC143" s="768" t="s">
        <v>491</v>
      </c>
      <c r="AD143" s="768" t="s">
        <v>491</v>
      </c>
      <c r="AE143" s="768"/>
      <c r="AF143" s="768"/>
      <c r="AG143" s="837"/>
      <c r="AH143" s="924">
        <v>103.5</v>
      </c>
      <c r="AI143" s="925">
        <v>37</v>
      </c>
    </row>
    <row r="144" spans="1:35" ht="21.95" customHeight="1" thickBot="1">
      <c r="A144" s="576"/>
      <c r="B144" s="889" t="s">
        <v>637</v>
      </c>
      <c r="C144" s="867"/>
      <c r="D144" s="867"/>
      <c r="E144" s="867" t="s">
        <v>491</v>
      </c>
      <c r="F144" s="867" t="s">
        <v>491</v>
      </c>
      <c r="G144" s="867" t="s">
        <v>491</v>
      </c>
      <c r="H144" s="768" t="s">
        <v>491</v>
      </c>
      <c r="I144" s="867" t="s">
        <v>491</v>
      </c>
      <c r="J144" s="867"/>
      <c r="K144" s="867"/>
      <c r="L144" s="867" t="s">
        <v>491</v>
      </c>
      <c r="M144" s="1248" t="s">
        <v>491</v>
      </c>
      <c r="N144" s="867" t="s">
        <v>491</v>
      </c>
      <c r="O144" s="867" t="s">
        <v>491</v>
      </c>
      <c r="P144" s="867" t="s">
        <v>491</v>
      </c>
      <c r="Q144" s="867"/>
      <c r="R144" s="867"/>
      <c r="S144" s="867" t="s">
        <v>491</v>
      </c>
      <c r="T144" s="867" t="s">
        <v>491</v>
      </c>
      <c r="U144" s="867" t="s">
        <v>491</v>
      </c>
      <c r="V144" s="867" t="s">
        <v>491</v>
      </c>
      <c r="W144" s="867" t="s">
        <v>491</v>
      </c>
      <c r="X144" s="867"/>
      <c r="Y144" s="867"/>
      <c r="Z144" s="1259" t="s">
        <v>491</v>
      </c>
      <c r="AA144" s="867" t="s">
        <v>491</v>
      </c>
      <c r="AB144" s="867" t="s">
        <v>491</v>
      </c>
      <c r="AC144" s="867" t="s">
        <v>491</v>
      </c>
      <c r="AD144" s="867" t="s">
        <v>491</v>
      </c>
      <c r="AE144" s="867"/>
      <c r="AF144" s="867"/>
      <c r="AG144" s="887"/>
      <c r="AH144" s="597">
        <v>141</v>
      </c>
      <c r="AI144" s="598">
        <v>37</v>
      </c>
    </row>
    <row r="145" spans="1:36" ht="21.95" customHeight="1">
      <c r="A145" s="576"/>
      <c r="B145" s="847"/>
      <c r="C145" s="555"/>
      <c r="D145" s="555"/>
      <c r="E145" s="555"/>
      <c r="F145" s="555"/>
      <c r="G145" s="555"/>
      <c r="H145" s="555"/>
      <c r="I145" s="555"/>
      <c r="J145" s="555"/>
      <c r="K145" s="555"/>
      <c r="L145" s="555"/>
      <c r="M145" s="555"/>
      <c r="N145" s="555"/>
      <c r="O145" s="555"/>
      <c r="P145" s="555"/>
      <c r="Q145" s="555"/>
      <c r="R145" s="555"/>
      <c r="S145" s="555"/>
      <c r="T145" s="555"/>
      <c r="U145" s="555"/>
      <c r="V145" s="555"/>
      <c r="W145" s="555"/>
      <c r="X145" s="555"/>
      <c r="Y145" s="555"/>
      <c r="Z145" s="555"/>
      <c r="AA145" s="555"/>
      <c r="AB145" s="555"/>
      <c r="AC145" s="555"/>
      <c r="AD145" s="555"/>
      <c r="AE145" s="555"/>
      <c r="AF145" s="555"/>
      <c r="AG145" s="555"/>
      <c r="AH145" s="556"/>
      <c r="AI145" s="556"/>
    </row>
    <row r="146" spans="1:36" ht="21.95" customHeight="1" thickBot="1">
      <c r="A146" s="805" t="s">
        <v>639</v>
      </c>
      <c r="B146" s="538"/>
      <c r="C146" s="555"/>
      <c r="D146" s="538"/>
      <c r="E146" s="538"/>
      <c r="F146" s="538"/>
      <c r="G146" s="538"/>
      <c r="H146" s="538"/>
      <c r="I146" s="555"/>
      <c r="J146" s="555"/>
      <c r="K146" s="538"/>
      <c r="L146" s="538"/>
      <c r="M146" s="538"/>
      <c r="N146" s="538"/>
      <c r="O146" s="538"/>
      <c r="P146" s="538"/>
      <c r="Q146" s="555"/>
      <c r="R146" s="538"/>
      <c r="S146" s="538"/>
      <c r="T146" s="538"/>
      <c r="U146" s="538"/>
      <c r="V146" s="538"/>
      <c r="W146" s="555"/>
      <c r="X146" s="555"/>
      <c r="Y146" s="538"/>
      <c r="Z146" s="538"/>
      <c r="AA146" s="538"/>
      <c r="AB146" s="538"/>
      <c r="AC146" s="538"/>
      <c r="AD146" s="538"/>
      <c r="AE146" s="555"/>
      <c r="AF146" s="538"/>
      <c r="AG146" s="538"/>
      <c r="AH146" s="556"/>
      <c r="AI146" s="556"/>
    </row>
    <row r="147" spans="1:36" ht="21.95" customHeight="1">
      <c r="A147" s="576"/>
      <c r="B147" s="806" t="s">
        <v>589</v>
      </c>
      <c r="C147" s="814"/>
      <c r="D147" s="807" t="s">
        <v>2</v>
      </c>
      <c r="E147" s="808"/>
      <c r="F147" s="809"/>
      <c r="G147" s="810"/>
      <c r="H147" s="807" t="s">
        <v>3</v>
      </c>
      <c r="I147" s="808"/>
      <c r="J147" s="809"/>
      <c r="K147" s="810"/>
      <c r="L147" s="807" t="s">
        <v>4</v>
      </c>
      <c r="M147" s="808"/>
      <c r="N147" s="809"/>
      <c r="O147" s="810"/>
      <c r="P147" s="807" t="s">
        <v>5</v>
      </c>
      <c r="Q147" s="808"/>
      <c r="R147" s="809"/>
      <c r="S147" s="810"/>
      <c r="T147" s="807" t="s">
        <v>6</v>
      </c>
      <c r="U147" s="808"/>
      <c r="V147" s="809"/>
      <c r="W147" s="810"/>
      <c r="X147" s="807" t="s">
        <v>7</v>
      </c>
      <c r="Y147" s="808"/>
      <c r="Z147" s="809"/>
      <c r="AA147" s="810"/>
      <c r="AB147" s="807" t="s">
        <v>8</v>
      </c>
      <c r="AC147" s="808"/>
      <c r="AD147" s="808"/>
      <c r="AE147" s="811" t="s">
        <v>10</v>
      </c>
      <c r="AF147" s="808"/>
      <c r="AG147" s="808"/>
      <c r="AH147" s="808"/>
      <c r="AI147" s="812"/>
    </row>
    <row r="148" spans="1:36" ht="21.95" customHeight="1">
      <c r="A148" s="576"/>
      <c r="B148" s="832"/>
      <c r="C148" s="815"/>
      <c r="D148" s="831"/>
      <c r="E148" s="816"/>
      <c r="F148" s="813"/>
      <c r="G148" s="815"/>
      <c r="H148" s="831"/>
      <c r="I148" s="816"/>
      <c r="J148" s="813"/>
      <c r="K148" s="815"/>
      <c r="L148" s="831"/>
      <c r="M148" s="816"/>
      <c r="N148" s="813"/>
      <c r="O148" s="815"/>
      <c r="P148" s="831"/>
      <c r="Q148" s="816"/>
      <c r="R148" s="813"/>
      <c r="S148" s="815"/>
      <c r="T148" s="831"/>
      <c r="U148" s="816"/>
      <c r="V148" s="813"/>
      <c r="W148" s="815"/>
      <c r="X148" s="816"/>
      <c r="Y148" s="816"/>
      <c r="Z148" s="813"/>
      <c r="AA148" s="815"/>
      <c r="AB148" s="816"/>
      <c r="AC148" s="816"/>
      <c r="AD148" s="816"/>
      <c r="AE148" s="815"/>
      <c r="AF148" s="816"/>
      <c r="AG148" s="816"/>
      <c r="AH148" s="818"/>
      <c r="AI148" s="819"/>
    </row>
    <row r="149" spans="1:36" ht="21.95" customHeight="1">
      <c r="A149" s="576"/>
      <c r="B149" s="833"/>
      <c r="C149" s="815"/>
      <c r="D149" s="831"/>
      <c r="E149" s="816"/>
      <c r="F149" s="813"/>
      <c r="G149" s="815"/>
      <c r="H149" s="831"/>
      <c r="I149" s="816"/>
      <c r="J149" s="813"/>
      <c r="K149" s="815"/>
      <c r="L149" s="831"/>
      <c r="M149" s="816"/>
      <c r="N149" s="813"/>
      <c r="O149" s="815"/>
      <c r="P149" s="831"/>
      <c r="Q149" s="816"/>
      <c r="R149" s="813"/>
      <c r="S149" s="815"/>
      <c r="T149" s="831"/>
      <c r="U149" s="816"/>
      <c r="V149" s="813"/>
      <c r="W149" s="815"/>
      <c r="X149" s="816"/>
      <c r="Y149" s="816"/>
      <c r="Z149" s="813"/>
      <c r="AA149" s="815"/>
      <c r="AB149" s="816"/>
      <c r="AC149" s="816"/>
      <c r="AD149" s="816"/>
      <c r="AE149" s="815"/>
      <c r="AF149" s="816"/>
      <c r="AG149" s="816"/>
      <c r="AH149" s="818"/>
      <c r="AI149" s="819"/>
    </row>
    <row r="150" spans="1:36" ht="21.95" customHeight="1">
      <c r="A150" s="576"/>
      <c r="B150" s="833"/>
      <c r="C150" s="815"/>
      <c r="D150" s="831"/>
      <c r="E150" s="816"/>
      <c r="F150" s="813"/>
      <c r="G150" s="815"/>
      <c r="H150" s="831"/>
      <c r="I150" s="816"/>
      <c r="J150" s="813"/>
      <c r="K150" s="815"/>
      <c r="L150" s="831"/>
      <c r="M150" s="816"/>
      <c r="N150" s="813"/>
      <c r="O150" s="815"/>
      <c r="P150" s="831"/>
      <c r="Q150" s="816"/>
      <c r="R150" s="813"/>
      <c r="S150" s="815"/>
      <c r="T150" s="831"/>
      <c r="U150" s="816"/>
      <c r="V150" s="813"/>
      <c r="W150" s="815"/>
      <c r="X150" s="816"/>
      <c r="Y150" s="816"/>
      <c r="Z150" s="813"/>
      <c r="AA150" s="815"/>
      <c r="AB150" s="816"/>
      <c r="AC150" s="816"/>
      <c r="AD150" s="816"/>
      <c r="AE150" s="815"/>
      <c r="AF150" s="816"/>
      <c r="AG150" s="816"/>
      <c r="AH150" s="818"/>
      <c r="AI150" s="819"/>
    </row>
    <row r="151" spans="1:36" ht="21.95" customHeight="1" thickBot="1">
      <c r="A151" s="576"/>
      <c r="B151" s="847"/>
      <c r="C151" s="555"/>
      <c r="D151" s="555"/>
      <c r="E151" s="555"/>
      <c r="F151" s="555"/>
      <c r="G151" s="555"/>
      <c r="H151" s="555"/>
      <c r="I151" s="555"/>
      <c r="J151" s="555"/>
      <c r="K151" s="555"/>
      <c r="L151" s="555"/>
      <c r="M151" s="555"/>
      <c r="N151" s="555"/>
      <c r="O151" s="555"/>
      <c r="P151" s="555"/>
      <c r="Q151" s="555"/>
      <c r="R151" s="555"/>
      <c r="S151" s="555"/>
      <c r="T151" s="555"/>
      <c r="U151" s="555"/>
      <c r="V151" s="555"/>
      <c r="W151" s="555"/>
      <c r="X151" s="555"/>
      <c r="Y151" s="555"/>
      <c r="Z151" s="555"/>
      <c r="AA151" s="555"/>
      <c r="AB151" s="555"/>
      <c r="AC151" s="555"/>
      <c r="AD151" s="555"/>
      <c r="AE151" s="555"/>
      <c r="AF151" s="555"/>
      <c r="AG151" s="555"/>
      <c r="AH151" s="556"/>
      <c r="AI151" s="556"/>
    </row>
    <row r="152" spans="1:36" ht="21.95" customHeight="1" thickBot="1">
      <c r="A152" s="785"/>
      <c r="B152" s="883" t="s">
        <v>476</v>
      </c>
      <c r="C152" s="944">
        <v>1</v>
      </c>
      <c r="D152" s="880">
        <v>2</v>
      </c>
      <c r="E152" s="863">
        <v>3</v>
      </c>
      <c r="F152" s="863">
        <v>4</v>
      </c>
      <c r="G152" s="863">
        <v>5</v>
      </c>
      <c r="H152" s="863">
        <v>6</v>
      </c>
      <c r="I152" s="863">
        <v>7</v>
      </c>
      <c r="J152" s="880">
        <v>8</v>
      </c>
      <c r="K152" s="880">
        <v>9</v>
      </c>
      <c r="L152" s="863">
        <v>10</v>
      </c>
      <c r="M152" s="863">
        <v>11</v>
      </c>
      <c r="N152" s="863">
        <v>12</v>
      </c>
      <c r="O152" s="863">
        <v>13</v>
      </c>
      <c r="P152" s="863">
        <v>14</v>
      </c>
      <c r="Q152" s="880">
        <v>15</v>
      </c>
      <c r="R152" s="880">
        <v>16</v>
      </c>
      <c r="S152" s="863">
        <v>17</v>
      </c>
      <c r="T152" s="863">
        <v>18</v>
      </c>
      <c r="U152" s="863">
        <v>19</v>
      </c>
      <c r="V152" s="863">
        <v>20</v>
      </c>
      <c r="W152" s="863">
        <v>21</v>
      </c>
      <c r="X152" s="880">
        <v>22</v>
      </c>
      <c r="Y152" s="880">
        <v>23</v>
      </c>
      <c r="Z152" s="863">
        <v>24</v>
      </c>
      <c r="AA152" s="863">
        <v>25</v>
      </c>
      <c r="AB152" s="863">
        <v>26</v>
      </c>
      <c r="AC152" s="863">
        <v>27</v>
      </c>
      <c r="AD152" s="863">
        <v>28</v>
      </c>
      <c r="AE152" s="880">
        <v>29</v>
      </c>
      <c r="AF152" s="880">
        <v>30</v>
      </c>
      <c r="AG152" s="945"/>
      <c r="AH152" s="884" t="s">
        <v>477</v>
      </c>
      <c r="AI152" s="885" t="s">
        <v>478</v>
      </c>
    </row>
    <row r="153" spans="1:36" ht="21.95" customHeight="1">
      <c r="A153" s="576"/>
      <c r="B153" s="890" t="s">
        <v>640</v>
      </c>
      <c r="C153" s="768"/>
      <c r="D153" s="768"/>
      <c r="E153" s="768" t="s">
        <v>491</v>
      </c>
      <c r="F153" s="768" t="s">
        <v>491</v>
      </c>
      <c r="G153" s="768" t="s">
        <v>491</v>
      </c>
      <c r="H153" s="768" t="s">
        <v>491</v>
      </c>
      <c r="I153" s="768" t="s">
        <v>491</v>
      </c>
      <c r="J153" s="768"/>
      <c r="K153" s="768"/>
      <c r="L153" s="768" t="s">
        <v>491</v>
      </c>
      <c r="M153" s="768" t="s">
        <v>491</v>
      </c>
      <c r="N153" s="768" t="s">
        <v>491</v>
      </c>
      <c r="O153" s="768" t="s">
        <v>493</v>
      </c>
      <c r="P153" s="768" t="s">
        <v>491</v>
      </c>
      <c r="Q153" s="768"/>
      <c r="R153" s="768"/>
      <c r="S153" s="768" t="s">
        <v>491</v>
      </c>
      <c r="T153" s="768" t="s">
        <v>491</v>
      </c>
      <c r="U153" s="768" t="s">
        <v>491</v>
      </c>
      <c r="V153" s="768" t="s">
        <v>491</v>
      </c>
      <c r="W153" s="768" t="s">
        <v>491</v>
      </c>
      <c r="X153" s="768"/>
      <c r="Y153" s="768"/>
      <c r="Z153" s="768" t="s">
        <v>491</v>
      </c>
      <c r="AA153" s="768" t="s">
        <v>491</v>
      </c>
      <c r="AB153" s="768" t="s">
        <v>491</v>
      </c>
      <c r="AC153" s="768" t="s">
        <v>491</v>
      </c>
      <c r="AD153" s="768" t="s">
        <v>491</v>
      </c>
      <c r="AE153" s="768"/>
      <c r="AF153" s="768"/>
      <c r="AG153" s="882"/>
      <c r="AH153" s="510">
        <v>37</v>
      </c>
      <c r="AI153" s="511">
        <v>37</v>
      </c>
    </row>
    <row r="154" spans="1:36" ht="21.95" customHeight="1">
      <c r="A154" s="576"/>
      <c r="B154" s="859" t="s">
        <v>742</v>
      </c>
      <c r="C154" s="768"/>
      <c r="D154" s="768"/>
      <c r="E154" s="1131" t="s">
        <v>491</v>
      </c>
      <c r="F154" s="1131" t="s">
        <v>491</v>
      </c>
      <c r="G154" s="1131" t="s">
        <v>491</v>
      </c>
      <c r="H154" s="1131" t="s">
        <v>491</v>
      </c>
      <c r="I154" s="1131" t="s">
        <v>491</v>
      </c>
      <c r="J154" s="768"/>
      <c r="K154" s="768"/>
      <c r="L154" s="1131" t="s">
        <v>491</v>
      </c>
      <c r="M154" s="1131" t="s">
        <v>491</v>
      </c>
      <c r="N154" s="1131" t="s">
        <v>491</v>
      </c>
      <c r="O154" s="1131" t="s">
        <v>491</v>
      </c>
      <c r="P154" s="1131" t="s">
        <v>491</v>
      </c>
      <c r="Q154" s="768"/>
      <c r="R154" s="768"/>
      <c r="S154" s="1131" t="s">
        <v>491</v>
      </c>
      <c r="T154" s="1131" t="s">
        <v>491</v>
      </c>
      <c r="U154" s="1131" t="s">
        <v>491</v>
      </c>
      <c r="V154" s="1131" t="s">
        <v>491</v>
      </c>
      <c r="W154" s="1131" t="s">
        <v>491</v>
      </c>
      <c r="X154" s="768"/>
      <c r="Y154" s="768"/>
      <c r="Z154" s="768" t="s">
        <v>491</v>
      </c>
      <c r="AA154" s="768" t="s">
        <v>491</v>
      </c>
      <c r="AB154" s="768" t="s">
        <v>491</v>
      </c>
      <c r="AC154" s="768" t="s">
        <v>491</v>
      </c>
      <c r="AD154" s="768" t="s">
        <v>491</v>
      </c>
      <c r="AE154" s="768"/>
      <c r="AF154" s="768"/>
      <c r="AG154" s="837"/>
      <c r="AH154" s="924">
        <v>185</v>
      </c>
      <c r="AI154" s="925">
        <v>37</v>
      </c>
    </row>
    <row r="155" spans="1:36" ht="21.95" customHeight="1">
      <c r="A155" s="576"/>
      <c r="B155" s="821" t="s">
        <v>641</v>
      </c>
      <c r="C155" s="768"/>
      <c r="D155" s="768"/>
      <c r="E155" s="768" t="s">
        <v>491</v>
      </c>
      <c r="F155" s="768" t="s">
        <v>491</v>
      </c>
      <c r="G155" s="871" t="s">
        <v>491</v>
      </c>
      <c r="H155" s="768" t="s">
        <v>491</v>
      </c>
      <c r="I155" s="768" t="s">
        <v>491</v>
      </c>
      <c r="J155" s="768"/>
      <c r="K155" s="768"/>
      <c r="L155" s="768" t="s">
        <v>491</v>
      </c>
      <c r="M155" s="768" t="s">
        <v>491</v>
      </c>
      <c r="N155" s="768" t="s">
        <v>491</v>
      </c>
      <c r="O155" s="768" t="s">
        <v>491</v>
      </c>
      <c r="P155" s="768" t="s">
        <v>491</v>
      </c>
      <c r="Q155" s="768"/>
      <c r="R155" s="768"/>
      <c r="S155" s="768" t="s">
        <v>491</v>
      </c>
      <c r="T155" s="768" t="s">
        <v>491</v>
      </c>
      <c r="U155" s="768" t="s">
        <v>491</v>
      </c>
      <c r="V155" s="768" t="s">
        <v>491</v>
      </c>
      <c r="W155" s="768" t="s">
        <v>491</v>
      </c>
      <c r="X155" s="768"/>
      <c r="Y155" s="768"/>
      <c r="Z155" s="768" t="s">
        <v>491</v>
      </c>
      <c r="AA155" s="768" t="s">
        <v>491</v>
      </c>
      <c r="AB155" s="768" t="s">
        <v>491</v>
      </c>
      <c r="AC155" s="768" t="s">
        <v>491</v>
      </c>
      <c r="AD155" s="768" t="s">
        <v>491</v>
      </c>
      <c r="AE155" s="768"/>
      <c r="AF155" s="768"/>
      <c r="AG155" s="837"/>
      <c r="AH155" s="924">
        <v>75</v>
      </c>
      <c r="AI155" s="925">
        <v>37</v>
      </c>
    </row>
    <row r="156" spans="1:36" ht="21.95" customHeight="1">
      <c r="A156" s="576"/>
      <c r="B156" s="821" t="s">
        <v>642</v>
      </c>
      <c r="C156" s="768"/>
      <c r="D156" s="768"/>
      <c r="E156" s="768" t="s">
        <v>491</v>
      </c>
      <c r="F156" s="768" t="s">
        <v>491</v>
      </c>
      <c r="G156" s="768" t="s">
        <v>491</v>
      </c>
      <c r="H156" s="768" t="s">
        <v>491</v>
      </c>
      <c r="I156" s="768" t="s">
        <v>491</v>
      </c>
      <c r="J156" s="768"/>
      <c r="K156" s="768"/>
      <c r="L156" s="768" t="s">
        <v>491</v>
      </c>
      <c r="M156" s="768" t="s">
        <v>491</v>
      </c>
      <c r="N156" s="768" t="s">
        <v>491</v>
      </c>
      <c r="O156" s="768" t="s">
        <v>491</v>
      </c>
      <c r="P156" s="768" t="s">
        <v>491</v>
      </c>
      <c r="Q156" s="768"/>
      <c r="R156" s="768"/>
      <c r="S156" s="768" t="s">
        <v>491</v>
      </c>
      <c r="T156" s="768" t="s">
        <v>491</v>
      </c>
      <c r="U156" s="768" t="s">
        <v>491</v>
      </c>
      <c r="V156" s="768" t="s">
        <v>491</v>
      </c>
      <c r="W156" s="768" t="s">
        <v>491</v>
      </c>
      <c r="X156" s="768"/>
      <c r="Y156" s="768"/>
      <c r="Z156" s="1038" t="s">
        <v>491</v>
      </c>
      <c r="AA156" s="1038" t="s">
        <v>491</v>
      </c>
      <c r="AB156" s="1038" t="s">
        <v>491</v>
      </c>
      <c r="AC156" s="1038" t="s">
        <v>491</v>
      </c>
      <c r="AD156" s="1038" t="s">
        <v>491</v>
      </c>
      <c r="AE156" s="768"/>
      <c r="AF156" s="768"/>
      <c r="AG156" s="837"/>
      <c r="AH156" s="924">
        <v>89</v>
      </c>
      <c r="AI156" s="925">
        <v>37</v>
      </c>
    </row>
    <row r="157" spans="1:36" ht="21.95" customHeight="1">
      <c r="A157" s="576"/>
      <c r="B157" s="821" t="s">
        <v>643</v>
      </c>
      <c r="C157" s="768"/>
      <c r="D157" s="768"/>
      <c r="E157" s="768" t="s">
        <v>491</v>
      </c>
      <c r="F157" s="768" t="s">
        <v>491</v>
      </c>
      <c r="G157" s="768" t="s">
        <v>491</v>
      </c>
      <c r="H157" s="768" t="s">
        <v>491</v>
      </c>
      <c r="I157" s="768" t="s">
        <v>491</v>
      </c>
      <c r="J157" s="768"/>
      <c r="K157" s="768"/>
      <c r="L157" s="768" t="s">
        <v>491</v>
      </c>
      <c r="M157" s="768" t="s">
        <v>491</v>
      </c>
      <c r="N157" s="768" t="s">
        <v>491</v>
      </c>
      <c r="O157" s="768" t="s">
        <v>491</v>
      </c>
      <c r="P157" s="768" t="s">
        <v>491</v>
      </c>
      <c r="Q157" s="768"/>
      <c r="R157" s="768"/>
      <c r="S157" s="768" t="s">
        <v>491</v>
      </c>
      <c r="T157" s="768" t="s">
        <v>491</v>
      </c>
      <c r="U157" s="768" t="s">
        <v>491</v>
      </c>
      <c r="V157" s="768" t="s">
        <v>491</v>
      </c>
      <c r="W157" s="768" t="s">
        <v>491</v>
      </c>
      <c r="X157" s="768"/>
      <c r="Y157" s="768"/>
      <c r="Z157" s="768" t="s">
        <v>491</v>
      </c>
      <c r="AA157" s="768" t="s">
        <v>491</v>
      </c>
      <c r="AB157" s="768" t="s">
        <v>491</v>
      </c>
      <c r="AC157" s="768" t="s">
        <v>491</v>
      </c>
      <c r="AD157" s="768" t="s">
        <v>491</v>
      </c>
      <c r="AE157" s="768"/>
      <c r="AF157" s="768"/>
      <c r="AG157" s="837"/>
      <c r="AH157" s="924">
        <v>74.5</v>
      </c>
      <c r="AI157" s="925">
        <v>37</v>
      </c>
    </row>
    <row r="158" spans="1:36" ht="21.95" customHeight="1" thickBot="1">
      <c r="A158" s="576"/>
      <c r="B158" s="891"/>
      <c r="C158" s="867"/>
      <c r="D158" s="867"/>
      <c r="E158" s="867" t="s">
        <v>491</v>
      </c>
      <c r="F158" s="867" t="s">
        <v>491</v>
      </c>
      <c r="G158" s="867" t="s">
        <v>491</v>
      </c>
      <c r="H158" s="867" t="s">
        <v>491</v>
      </c>
      <c r="I158" s="867" t="s">
        <v>491</v>
      </c>
      <c r="J158" s="867"/>
      <c r="K158" s="867"/>
      <c r="L158" s="867" t="s">
        <v>491</v>
      </c>
      <c r="M158" s="867" t="s">
        <v>491</v>
      </c>
      <c r="N158" s="867" t="s">
        <v>491</v>
      </c>
      <c r="O158" s="867" t="s">
        <v>491</v>
      </c>
      <c r="P158" s="867" t="s">
        <v>491</v>
      </c>
      <c r="Q158" s="867"/>
      <c r="R158" s="867"/>
      <c r="S158" s="867" t="s">
        <v>491</v>
      </c>
      <c r="T158" s="867" t="s">
        <v>491</v>
      </c>
      <c r="U158" s="867" t="s">
        <v>491</v>
      </c>
      <c r="V158" s="867" t="s">
        <v>491</v>
      </c>
      <c r="W158" s="867" t="s">
        <v>491</v>
      </c>
      <c r="X158" s="867"/>
      <c r="Y158" s="867"/>
      <c r="Z158" s="867" t="s">
        <v>491</v>
      </c>
      <c r="AA158" s="867" t="s">
        <v>491</v>
      </c>
      <c r="AB158" s="867" t="s">
        <v>491</v>
      </c>
      <c r="AC158" s="867" t="s">
        <v>491</v>
      </c>
      <c r="AD158" s="867" t="s">
        <v>491</v>
      </c>
      <c r="AE158" s="867"/>
      <c r="AF158" s="867"/>
      <c r="AG158" s="887"/>
      <c r="AH158" s="868">
        <v>185</v>
      </c>
      <c r="AI158" s="869">
        <v>37</v>
      </c>
    </row>
    <row r="159" spans="1:36" ht="21.95" customHeight="1">
      <c r="A159" s="576"/>
      <c r="B159" s="847"/>
      <c r="C159" s="555"/>
      <c r="D159" s="555"/>
      <c r="E159" s="555"/>
      <c r="F159" s="555"/>
      <c r="G159" s="555"/>
      <c r="H159" s="555"/>
      <c r="I159" s="555"/>
      <c r="J159" s="555"/>
      <c r="K159" s="555"/>
      <c r="L159" s="555"/>
      <c r="M159" s="555"/>
      <c r="N159" s="555"/>
      <c r="O159" s="555"/>
      <c r="P159" s="555"/>
      <c r="Q159" s="555"/>
      <c r="R159" s="555"/>
      <c r="S159" s="555"/>
      <c r="T159" s="555"/>
      <c r="U159" s="555"/>
      <c r="V159" s="555"/>
      <c r="W159" s="555"/>
      <c r="X159" s="555"/>
      <c r="Y159" s="555"/>
      <c r="Z159" s="555"/>
      <c r="AA159" s="555"/>
      <c r="AB159" s="555"/>
      <c r="AC159" s="555"/>
      <c r="AD159" s="555"/>
      <c r="AE159" s="555"/>
      <c r="AF159" s="555"/>
      <c r="AG159" s="555"/>
      <c r="AH159" s="556"/>
      <c r="AI159" s="556"/>
    </row>
    <row r="160" spans="1:36" ht="21.95" customHeight="1">
      <c r="A160" s="312" t="s">
        <v>644</v>
      </c>
      <c r="C160" s="555"/>
      <c r="D160" s="555"/>
      <c r="E160" s="555"/>
      <c r="F160" s="555"/>
      <c r="G160" s="555"/>
      <c r="H160" s="555"/>
      <c r="I160" s="555"/>
      <c r="J160" s="555"/>
      <c r="K160" s="555"/>
      <c r="L160" s="555"/>
      <c r="M160" s="555"/>
      <c r="N160" s="555"/>
      <c r="O160" s="555"/>
      <c r="P160" s="555"/>
      <c r="Q160" s="555"/>
      <c r="R160" s="555"/>
      <c r="S160" s="555"/>
      <c r="T160" s="555"/>
      <c r="U160" s="555"/>
      <c r="V160" s="555"/>
      <c r="W160" s="555"/>
      <c r="X160" s="555"/>
      <c r="Y160" s="555"/>
      <c r="Z160" s="555"/>
      <c r="AA160" s="555"/>
      <c r="AB160" s="555"/>
      <c r="AC160" s="555"/>
      <c r="AD160" s="555"/>
      <c r="AE160" s="555"/>
      <c r="AF160" s="555"/>
      <c r="AG160" s="555"/>
      <c r="AH160" s="556"/>
      <c r="AI160" s="556"/>
      <c r="AJ160" s="361"/>
    </row>
    <row r="161" spans="1:36" ht="21.95" customHeight="1">
      <c r="A161" s="299" t="s">
        <v>475</v>
      </c>
      <c r="B161" s="299"/>
      <c r="C161" s="153"/>
      <c r="D161" s="299" t="s">
        <v>2</v>
      </c>
      <c r="E161" s="186"/>
      <c r="F161" s="153"/>
      <c r="G161" s="299" t="s">
        <v>3</v>
      </c>
      <c r="H161" s="186"/>
      <c r="I161" s="153"/>
      <c r="J161" s="299" t="s">
        <v>4</v>
      </c>
      <c r="K161" s="186"/>
      <c r="L161" s="153"/>
      <c r="M161" s="299" t="s">
        <v>5</v>
      </c>
      <c r="N161" s="186"/>
      <c r="O161" s="153"/>
      <c r="P161" s="299" t="s">
        <v>6</v>
      </c>
      <c r="Q161" s="186"/>
      <c r="R161" s="134"/>
      <c r="S161" s="199" t="s">
        <v>7</v>
      </c>
      <c r="T161" s="186"/>
      <c r="U161" s="153"/>
      <c r="V161" s="299" t="s">
        <v>8</v>
      </c>
      <c r="W161" s="186"/>
      <c r="X161" s="585" t="s">
        <v>10</v>
      </c>
      <c r="Y161" s="186"/>
      <c r="Z161" s="186"/>
      <c r="AA161" s="561"/>
      <c r="AB161" s="483"/>
      <c r="AC161" s="483"/>
      <c r="AD161" s="483"/>
      <c r="AE161" s="483"/>
      <c r="AF161" s="483"/>
      <c r="AG161" s="484"/>
      <c r="AH161" s="361"/>
      <c r="AI161" s="361"/>
      <c r="AJ161" s="361"/>
    </row>
    <row r="162" spans="1:36" ht="21.95" customHeight="1">
      <c r="A162" s="130">
        <v>8517</v>
      </c>
      <c r="B162" s="500" t="s">
        <v>645</v>
      </c>
      <c r="C162" s="584" t="s">
        <v>124</v>
      </c>
      <c r="D162" s="581"/>
      <c r="E162" s="586"/>
      <c r="F162" s="584" t="s">
        <v>124</v>
      </c>
      <c r="G162" s="587"/>
      <c r="H162" s="586"/>
      <c r="I162" s="121" t="s">
        <v>124</v>
      </c>
      <c r="J162" s="565"/>
      <c r="K162" s="588"/>
      <c r="L162" s="121" t="s">
        <v>124</v>
      </c>
      <c r="M162" s="565"/>
      <c r="N162" s="588"/>
      <c r="O162" s="121" t="s">
        <v>125</v>
      </c>
      <c r="P162" s="565"/>
      <c r="Q162" s="477"/>
      <c r="R162" s="589" t="s">
        <v>28</v>
      </c>
      <c r="S162" s="565"/>
      <c r="T162" s="588"/>
      <c r="U162" s="565" t="s">
        <v>28</v>
      </c>
      <c r="V162" s="565"/>
      <c r="W162" s="477"/>
      <c r="X162" s="145" t="s">
        <v>28</v>
      </c>
      <c r="Y162" s="361"/>
      <c r="Z162" s="361"/>
      <c r="AA162" s="361"/>
      <c r="AB162" s="361"/>
      <c r="AC162" s="361"/>
      <c r="AD162" s="361"/>
      <c r="AE162" s="361"/>
      <c r="AF162" s="361"/>
      <c r="AG162" s="590"/>
      <c r="AH162" s="361"/>
      <c r="AI162" s="361"/>
      <c r="AJ162" s="361"/>
    </row>
    <row r="163" spans="1:36" ht="21.95" customHeight="1">
      <c r="A163" s="591">
        <v>8502</v>
      </c>
      <c r="B163" s="592" t="s">
        <v>646</v>
      </c>
      <c r="C163" s="121" t="s">
        <v>11</v>
      </c>
      <c r="D163" s="565"/>
      <c r="E163" s="477"/>
      <c r="F163" s="121" t="s">
        <v>11</v>
      </c>
      <c r="G163" s="565"/>
      <c r="H163" s="588"/>
      <c r="I163" s="121" t="s">
        <v>11</v>
      </c>
      <c r="J163" s="565"/>
      <c r="K163" s="588"/>
      <c r="L163" s="121" t="s">
        <v>11</v>
      </c>
      <c r="M163" s="565"/>
      <c r="N163" s="588"/>
      <c r="O163" s="121" t="s">
        <v>12</v>
      </c>
      <c r="P163" s="565"/>
      <c r="Q163" s="477"/>
      <c r="R163" s="593"/>
      <c r="S163" s="594"/>
      <c r="T163" s="588"/>
      <c r="U163" s="565"/>
      <c r="V163" s="565"/>
      <c r="W163" s="477"/>
      <c r="X163" s="476"/>
      <c r="Y163" s="483"/>
      <c r="Z163" s="483"/>
      <c r="AA163" s="483"/>
      <c r="AB163" s="483"/>
      <c r="AC163" s="483"/>
      <c r="AD163" s="483"/>
      <c r="AE163" s="483"/>
      <c r="AF163" s="483"/>
      <c r="AG163" s="484"/>
      <c r="AH163" s="361"/>
      <c r="AI163" s="361"/>
      <c r="AJ163" s="361"/>
    </row>
    <row r="164" spans="1:36" ht="21.95" customHeight="1" thickBot="1">
      <c r="A164" s="274"/>
      <c r="B164" s="516"/>
      <c r="C164" s="354"/>
      <c r="D164" s="354"/>
      <c r="E164" s="73"/>
      <c r="F164" s="354"/>
      <c r="G164" s="354"/>
      <c r="H164" s="73"/>
      <c r="I164" s="354"/>
      <c r="J164" s="354"/>
      <c r="K164" s="73"/>
      <c r="L164" s="354"/>
      <c r="M164" s="354"/>
      <c r="N164" s="73"/>
      <c r="O164" s="354"/>
      <c r="P164" s="354"/>
      <c r="Q164" s="73"/>
      <c r="R164" s="168"/>
      <c r="S164" s="354"/>
      <c r="T164" s="73"/>
      <c r="U164" s="354"/>
      <c r="V164" s="354"/>
      <c r="W164" s="73"/>
      <c r="X164" s="73"/>
      <c r="Y164" s="361"/>
      <c r="Z164" s="361"/>
      <c r="AA164" s="361"/>
      <c r="AB164" s="361"/>
      <c r="AC164" s="361"/>
      <c r="AD164" s="361"/>
      <c r="AE164" s="361"/>
      <c r="AF164" s="361"/>
      <c r="AG164" s="361"/>
      <c r="AH164" s="361"/>
      <c r="AI164" s="361"/>
    </row>
    <row r="165" spans="1:36" ht="21.95" customHeight="1" thickBot="1">
      <c r="A165" s="595"/>
      <c r="B165" s="862" t="s">
        <v>476</v>
      </c>
      <c r="C165" s="880">
        <v>1</v>
      </c>
      <c r="D165" s="880">
        <v>2</v>
      </c>
      <c r="E165" s="863">
        <v>3</v>
      </c>
      <c r="F165" s="863">
        <v>4</v>
      </c>
      <c r="G165" s="863">
        <v>5</v>
      </c>
      <c r="H165" s="863">
        <v>6</v>
      </c>
      <c r="I165" s="863">
        <v>7</v>
      </c>
      <c r="J165" s="880">
        <v>8</v>
      </c>
      <c r="K165" s="880">
        <v>9</v>
      </c>
      <c r="L165" s="863">
        <v>10</v>
      </c>
      <c r="M165" s="863">
        <v>11</v>
      </c>
      <c r="N165" s="863">
        <v>12</v>
      </c>
      <c r="O165" s="863">
        <v>13</v>
      </c>
      <c r="P165" s="863">
        <v>14</v>
      </c>
      <c r="Q165" s="880">
        <v>15</v>
      </c>
      <c r="R165" s="880">
        <v>16</v>
      </c>
      <c r="S165" s="863">
        <v>17</v>
      </c>
      <c r="T165" s="863">
        <v>18</v>
      </c>
      <c r="U165" s="863">
        <v>19</v>
      </c>
      <c r="V165" s="863">
        <v>20</v>
      </c>
      <c r="W165" s="863">
        <v>21</v>
      </c>
      <c r="X165" s="880">
        <v>22</v>
      </c>
      <c r="Y165" s="880">
        <v>23</v>
      </c>
      <c r="Z165" s="863">
        <v>24</v>
      </c>
      <c r="AA165" s="863">
        <v>25</v>
      </c>
      <c r="AB165" s="863">
        <v>26</v>
      </c>
      <c r="AC165" s="863">
        <v>27</v>
      </c>
      <c r="AD165" s="863">
        <v>28</v>
      </c>
      <c r="AE165" s="880">
        <v>29</v>
      </c>
      <c r="AF165" s="880">
        <v>30</v>
      </c>
      <c r="AG165" s="943"/>
      <c r="AH165" s="864" t="s">
        <v>477</v>
      </c>
      <c r="AI165" s="865" t="s">
        <v>478</v>
      </c>
    </row>
    <row r="166" spans="1:36" ht="21.95" customHeight="1">
      <c r="A166" s="596">
        <v>1</v>
      </c>
      <c r="B166" s="542" t="s">
        <v>516</v>
      </c>
      <c r="C166" s="768"/>
      <c r="D166" s="768"/>
      <c r="E166" s="1038" t="s">
        <v>553</v>
      </c>
      <c r="F166" s="1038" t="s">
        <v>553</v>
      </c>
      <c r="G166" s="1038" t="s">
        <v>553</v>
      </c>
      <c r="H166" s="1038" t="s">
        <v>553</v>
      </c>
      <c r="I166" s="1038" t="s">
        <v>553</v>
      </c>
      <c r="J166" s="1038" t="s">
        <v>555</v>
      </c>
      <c r="K166" s="1038" t="s">
        <v>555</v>
      </c>
      <c r="L166" s="1038" t="s">
        <v>481</v>
      </c>
      <c r="M166" s="1038" t="s">
        <v>481</v>
      </c>
      <c r="N166" s="1038" t="s">
        <v>481</v>
      </c>
      <c r="O166" s="1038" t="s">
        <v>481</v>
      </c>
      <c r="P166" s="1038" t="s">
        <v>481</v>
      </c>
      <c r="Q166" s="1038"/>
      <c r="R166" s="1038"/>
      <c r="S166" s="1038" t="s">
        <v>554</v>
      </c>
      <c r="T166" s="1038" t="s">
        <v>554</v>
      </c>
      <c r="U166" s="1038" t="s">
        <v>554</v>
      </c>
      <c r="V166" s="1038" t="s">
        <v>554</v>
      </c>
      <c r="W166" s="1038" t="s">
        <v>554</v>
      </c>
      <c r="X166" s="1038"/>
      <c r="Y166" s="1038"/>
      <c r="Z166" s="1038">
        <v>11</v>
      </c>
      <c r="AA166" s="1038">
        <v>11</v>
      </c>
      <c r="AB166" s="1038">
        <v>11</v>
      </c>
      <c r="AC166" s="1038">
        <v>11</v>
      </c>
      <c r="AD166" s="1038">
        <v>11</v>
      </c>
      <c r="AE166" s="1038" t="s">
        <v>517</v>
      </c>
      <c r="AF166" s="1038" t="s">
        <v>517</v>
      </c>
      <c r="AG166" s="771"/>
      <c r="AH166" s="892">
        <v>161.75</v>
      </c>
      <c r="AI166" s="893">
        <v>37</v>
      </c>
    </row>
    <row r="167" spans="1:36" ht="21.95" customHeight="1">
      <c r="A167" s="596">
        <v>2</v>
      </c>
      <c r="B167" s="153" t="s">
        <v>648</v>
      </c>
      <c r="C167" s="768"/>
      <c r="D167" s="768"/>
      <c r="E167" s="768" t="s">
        <v>583</v>
      </c>
      <c r="F167" s="768" t="s">
        <v>583</v>
      </c>
      <c r="G167" s="768" t="s">
        <v>583</v>
      </c>
      <c r="H167" s="768" t="s">
        <v>583</v>
      </c>
      <c r="I167" s="768" t="s">
        <v>583</v>
      </c>
      <c r="J167" s="768" t="s">
        <v>583</v>
      </c>
      <c r="K167" s="768"/>
      <c r="L167" s="768" t="s">
        <v>584</v>
      </c>
      <c r="M167" s="768" t="s">
        <v>584</v>
      </c>
      <c r="N167" s="768">
        <v>3</v>
      </c>
      <c r="O167" s="768" t="s">
        <v>584</v>
      </c>
      <c r="P167" s="768" t="s">
        <v>481</v>
      </c>
      <c r="Q167" s="768"/>
      <c r="R167" s="768"/>
      <c r="S167" s="768" t="s">
        <v>583</v>
      </c>
      <c r="T167" s="768" t="s">
        <v>583</v>
      </c>
      <c r="U167" s="768" t="s">
        <v>583</v>
      </c>
      <c r="V167" s="768" t="s">
        <v>583</v>
      </c>
      <c r="W167" s="768" t="s">
        <v>583</v>
      </c>
      <c r="X167" s="768"/>
      <c r="Y167" s="768"/>
      <c r="Z167" s="768" t="s">
        <v>583</v>
      </c>
      <c r="AA167" s="768" t="s">
        <v>583</v>
      </c>
      <c r="AB167" s="768" t="s">
        <v>583</v>
      </c>
      <c r="AC167" s="768" t="s">
        <v>583</v>
      </c>
      <c r="AD167" s="764" t="s">
        <v>583</v>
      </c>
      <c r="AE167" s="764" t="s">
        <v>583</v>
      </c>
      <c r="AF167" s="768"/>
      <c r="AG167" s="769"/>
      <c r="AH167" s="822">
        <v>74</v>
      </c>
      <c r="AI167" s="823">
        <v>37</v>
      </c>
    </row>
    <row r="168" spans="1:36" ht="21.95" customHeight="1">
      <c r="A168" s="596">
        <v>3</v>
      </c>
      <c r="B168" s="601" t="s">
        <v>651</v>
      </c>
      <c r="C168" s="768"/>
      <c r="D168" s="768"/>
      <c r="E168" s="768" t="s">
        <v>540</v>
      </c>
      <c r="F168" s="768" t="s">
        <v>540</v>
      </c>
      <c r="G168" s="768" t="s">
        <v>540</v>
      </c>
      <c r="H168" s="768" t="s">
        <v>540</v>
      </c>
      <c r="I168" s="768" t="s">
        <v>540</v>
      </c>
      <c r="J168" s="768"/>
      <c r="K168" s="768"/>
      <c r="L168" s="768" t="s">
        <v>540</v>
      </c>
      <c r="M168" s="768" t="s">
        <v>540</v>
      </c>
      <c r="N168" s="768" t="s">
        <v>540</v>
      </c>
      <c r="O168" s="768" t="s">
        <v>540</v>
      </c>
      <c r="P168" s="768" t="s">
        <v>540</v>
      </c>
      <c r="Q168" s="768"/>
      <c r="R168" s="768"/>
      <c r="S168" s="768" t="s">
        <v>540</v>
      </c>
      <c r="T168" s="768" t="s">
        <v>540</v>
      </c>
      <c r="U168" s="768" t="s">
        <v>540</v>
      </c>
      <c r="V168" s="768" t="s">
        <v>540</v>
      </c>
      <c r="W168" s="768" t="s">
        <v>540</v>
      </c>
      <c r="X168" s="768"/>
      <c r="Y168" s="768"/>
      <c r="Z168" s="768" t="s">
        <v>540</v>
      </c>
      <c r="AA168" s="768" t="s">
        <v>540</v>
      </c>
      <c r="AB168" s="768" t="s">
        <v>540</v>
      </c>
      <c r="AC168" s="768" t="s">
        <v>540</v>
      </c>
      <c r="AD168" s="768" t="s">
        <v>540</v>
      </c>
      <c r="AE168" s="768"/>
      <c r="AF168" s="768"/>
      <c r="AG168" s="769"/>
      <c r="AH168" s="822">
        <v>74.5</v>
      </c>
      <c r="AI168" s="823">
        <v>37</v>
      </c>
    </row>
    <row r="169" spans="1:36" ht="21.95" customHeight="1">
      <c r="A169" s="596">
        <v>4</v>
      </c>
      <c r="B169" s="319" t="s">
        <v>654</v>
      </c>
      <c r="C169" s="768"/>
      <c r="D169" s="768"/>
      <c r="E169" s="987">
        <v>1</v>
      </c>
      <c r="F169" s="987">
        <v>1</v>
      </c>
      <c r="G169" s="987">
        <v>1</v>
      </c>
      <c r="H169" s="987">
        <v>5</v>
      </c>
      <c r="I169" s="768">
        <v>1</v>
      </c>
      <c r="J169" s="768"/>
      <c r="K169" s="768"/>
      <c r="L169" s="768" t="s">
        <v>553</v>
      </c>
      <c r="M169" s="768" t="s">
        <v>553</v>
      </c>
      <c r="N169" s="768" t="s">
        <v>553</v>
      </c>
      <c r="O169" s="768" t="s">
        <v>554</v>
      </c>
      <c r="P169" s="1044" t="s">
        <v>554</v>
      </c>
      <c r="Q169" s="768" t="s">
        <v>555</v>
      </c>
      <c r="R169" s="768" t="s">
        <v>555</v>
      </c>
      <c r="S169" s="768" t="s">
        <v>481</v>
      </c>
      <c r="T169" s="768" t="s">
        <v>481</v>
      </c>
      <c r="U169" s="768" t="s">
        <v>481</v>
      </c>
      <c r="V169" s="768" t="s">
        <v>481</v>
      </c>
      <c r="W169" s="1131" t="s">
        <v>491</v>
      </c>
      <c r="X169" s="1131" t="s">
        <v>490</v>
      </c>
      <c r="Y169" s="768" t="s">
        <v>515</v>
      </c>
      <c r="Z169" s="768">
        <v>7</v>
      </c>
      <c r="AA169" s="768">
        <v>7</v>
      </c>
      <c r="AB169" s="768">
        <v>7</v>
      </c>
      <c r="AC169" s="768">
        <v>7</v>
      </c>
      <c r="AD169" s="768">
        <v>7</v>
      </c>
      <c r="AE169" s="768" t="s">
        <v>555</v>
      </c>
      <c r="AF169" s="768"/>
      <c r="AG169" s="769"/>
      <c r="AH169" s="822">
        <v>74</v>
      </c>
      <c r="AI169" s="823">
        <v>37</v>
      </c>
    </row>
    <row r="170" spans="1:36" ht="21.95" customHeight="1">
      <c r="A170" s="596">
        <v>5</v>
      </c>
      <c r="B170" s="153" t="s">
        <v>655</v>
      </c>
      <c r="C170" s="1044" t="s">
        <v>514</v>
      </c>
      <c r="D170" s="768"/>
      <c r="E170" s="768" t="s">
        <v>553</v>
      </c>
      <c r="F170" s="768" t="s">
        <v>553</v>
      </c>
      <c r="G170" s="768" t="s">
        <v>481</v>
      </c>
      <c r="H170" s="768" t="s">
        <v>553</v>
      </c>
      <c r="I170" s="1044" t="s">
        <v>481</v>
      </c>
      <c r="J170" s="768"/>
      <c r="K170" s="768" t="s">
        <v>513</v>
      </c>
      <c r="L170" s="1044" t="s">
        <v>607</v>
      </c>
      <c r="M170" s="1044" t="s">
        <v>607</v>
      </c>
      <c r="N170" s="768" t="s">
        <v>607</v>
      </c>
      <c r="O170" s="768" t="s">
        <v>607</v>
      </c>
      <c r="P170" s="768" t="s">
        <v>607</v>
      </c>
      <c r="Q170" s="768"/>
      <c r="R170" s="768"/>
      <c r="S170" s="1044">
        <v>3</v>
      </c>
      <c r="T170" s="768">
        <v>3</v>
      </c>
      <c r="U170" s="768">
        <v>3</v>
      </c>
      <c r="V170" s="768">
        <v>3</v>
      </c>
      <c r="W170" s="768">
        <v>1</v>
      </c>
      <c r="X170" s="768" t="s">
        <v>515</v>
      </c>
      <c r="Y170" s="768"/>
      <c r="Z170" s="768" t="s">
        <v>553</v>
      </c>
      <c r="AA170" s="768" t="s">
        <v>553</v>
      </c>
      <c r="AB170" s="768" t="s">
        <v>481</v>
      </c>
      <c r="AC170" s="768" t="s">
        <v>481</v>
      </c>
      <c r="AD170" s="1044" t="s">
        <v>554</v>
      </c>
      <c r="AE170" s="768"/>
      <c r="AF170" s="768"/>
      <c r="AG170" s="769"/>
      <c r="AH170" s="824">
        <v>74</v>
      </c>
      <c r="AI170" s="825">
        <v>37</v>
      </c>
    </row>
    <row r="171" spans="1:36" ht="21.95" customHeight="1">
      <c r="A171" s="596">
        <v>6</v>
      </c>
      <c r="B171" s="793" t="s">
        <v>656</v>
      </c>
      <c r="C171" s="768"/>
      <c r="D171" s="768"/>
      <c r="E171" s="1131" t="s">
        <v>491</v>
      </c>
      <c r="F171" s="1131" t="s">
        <v>491</v>
      </c>
      <c r="G171" s="1131" t="s">
        <v>491</v>
      </c>
      <c r="H171" s="1131" t="s">
        <v>491</v>
      </c>
      <c r="I171" s="1131" t="s">
        <v>491</v>
      </c>
      <c r="J171" s="768"/>
      <c r="K171" s="768"/>
      <c r="L171" s="1131" t="s">
        <v>491</v>
      </c>
      <c r="M171" s="1131" t="s">
        <v>491</v>
      </c>
      <c r="N171" s="1131" t="s">
        <v>491</v>
      </c>
      <c r="O171" s="1131" t="s">
        <v>491</v>
      </c>
      <c r="P171" s="1131" t="s">
        <v>491</v>
      </c>
      <c r="Q171" s="768"/>
      <c r="R171" s="768"/>
      <c r="S171" s="1131" t="s">
        <v>491</v>
      </c>
      <c r="T171" s="1131" t="s">
        <v>491</v>
      </c>
      <c r="U171" s="1131" t="s">
        <v>491</v>
      </c>
      <c r="V171" s="1131" t="s">
        <v>491</v>
      </c>
      <c r="W171" s="1131" t="s">
        <v>491</v>
      </c>
      <c r="X171" s="768"/>
      <c r="Y171" s="768"/>
      <c r="Z171" s="768">
        <v>10</v>
      </c>
      <c r="AA171" s="768">
        <v>10</v>
      </c>
      <c r="AB171" s="768">
        <v>10</v>
      </c>
      <c r="AC171" s="768">
        <v>10</v>
      </c>
      <c r="AD171" s="768">
        <v>10</v>
      </c>
      <c r="AE171" s="768" t="s">
        <v>514</v>
      </c>
      <c r="AF171" s="768" t="s">
        <v>514</v>
      </c>
      <c r="AG171" s="769"/>
      <c r="AH171" s="826">
        <v>30.25</v>
      </c>
      <c r="AI171" s="827">
        <v>37</v>
      </c>
    </row>
    <row r="172" spans="1:36" ht="21.95" customHeight="1" thickBot="1">
      <c r="A172" s="596">
        <v>7</v>
      </c>
      <c r="B172" s="878" t="s">
        <v>575</v>
      </c>
      <c r="C172" s="768" t="s">
        <v>519</v>
      </c>
      <c r="D172" s="768" t="s">
        <v>514</v>
      </c>
      <c r="E172" s="764" t="s">
        <v>481</v>
      </c>
      <c r="F172" s="764" t="s">
        <v>481</v>
      </c>
      <c r="G172" s="764" t="s">
        <v>481</v>
      </c>
      <c r="H172" s="764" t="s">
        <v>481</v>
      </c>
      <c r="I172" s="764" t="s">
        <v>481</v>
      </c>
      <c r="J172" s="764"/>
      <c r="K172" s="764"/>
      <c r="L172" s="1000">
        <v>6</v>
      </c>
      <c r="M172" s="1000" t="s">
        <v>761</v>
      </c>
      <c r="N172" s="985">
        <v>6</v>
      </c>
      <c r="O172" s="764">
        <v>6</v>
      </c>
      <c r="P172" s="764">
        <v>6</v>
      </c>
      <c r="Q172" s="764" t="s">
        <v>512</v>
      </c>
      <c r="R172" s="767" t="s">
        <v>513</v>
      </c>
      <c r="S172" s="764" t="s">
        <v>481</v>
      </c>
      <c r="T172" s="764" t="s">
        <v>481</v>
      </c>
      <c r="U172" s="764" t="s">
        <v>481</v>
      </c>
      <c r="V172" s="764" t="s">
        <v>481</v>
      </c>
      <c r="W172" s="764" t="s">
        <v>481</v>
      </c>
      <c r="X172" s="764"/>
      <c r="Y172" s="764"/>
      <c r="Z172" s="764">
        <v>5</v>
      </c>
      <c r="AA172" s="764">
        <v>5</v>
      </c>
      <c r="AB172" s="764">
        <v>5</v>
      </c>
      <c r="AC172" s="764">
        <v>5</v>
      </c>
      <c r="AD172" s="764">
        <v>5</v>
      </c>
      <c r="AE172" s="764"/>
      <c r="AF172" s="764"/>
      <c r="AG172" s="769"/>
      <c r="AH172" s="826">
        <v>148</v>
      </c>
      <c r="AI172" s="827">
        <v>37</v>
      </c>
    </row>
    <row r="173" spans="1:36" ht="21.95" customHeight="1">
      <c r="A173" s="596">
        <v>8</v>
      </c>
      <c r="B173" s="153"/>
      <c r="C173" s="768"/>
      <c r="D173" s="768"/>
      <c r="E173" s="768"/>
      <c r="F173" s="768"/>
      <c r="G173" s="768"/>
      <c r="H173" s="768"/>
      <c r="I173" s="768"/>
      <c r="J173" s="768"/>
      <c r="K173" s="768"/>
      <c r="L173" s="768"/>
      <c r="M173" s="768"/>
      <c r="N173" s="768"/>
      <c r="O173" s="768"/>
      <c r="P173" s="768"/>
      <c r="Q173" s="768"/>
      <c r="R173" s="768"/>
      <c r="S173" s="768"/>
      <c r="T173" s="768"/>
      <c r="U173" s="768"/>
      <c r="V173" s="768"/>
      <c r="W173" s="768"/>
      <c r="X173" s="768"/>
      <c r="Y173" s="768"/>
      <c r="Z173" s="768"/>
      <c r="AA173" s="768"/>
      <c r="AB173" s="768"/>
      <c r="AC173" s="768"/>
      <c r="AD173" s="768"/>
      <c r="AE173" s="768"/>
      <c r="AF173" s="768"/>
      <c r="AG173" s="769"/>
      <c r="AH173" s="826">
        <v>185</v>
      </c>
      <c r="AI173" s="827">
        <v>37</v>
      </c>
    </row>
    <row r="174" spans="1:36" ht="21.95" customHeight="1">
      <c r="A174" s="596">
        <v>9</v>
      </c>
      <c r="C174" s="766"/>
      <c r="D174" s="766"/>
      <c r="E174" s="766"/>
      <c r="F174" s="766"/>
      <c r="G174" s="766"/>
      <c r="H174" s="766"/>
      <c r="I174" s="766"/>
      <c r="J174" s="766"/>
      <c r="K174" s="766"/>
      <c r="L174" s="766"/>
      <c r="M174" s="766"/>
      <c r="N174" s="766"/>
      <c r="O174" s="766"/>
      <c r="P174" s="766"/>
      <c r="Q174" s="766"/>
      <c r="R174" s="766"/>
      <c r="S174" s="766"/>
      <c r="T174" s="766"/>
      <c r="U174" s="766"/>
      <c r="V174" s="766"/>
      <c r="W174" s="768"/>
      <c r="X174" s="766"/>
      <c r="Y174" s="766"/>
      <c r="Z174" s="766"/>
      <c r="AA174" s="766"/>
      <c r="AB174" s="766"/>
      <c r="AC174" s="766"/>
      <c r="AD174" s="766"/>
      <c r="AE174" s="768"/>
      <c r="AF174" s="768"/>
      <c r="AG174" s="769"/>
      <c r="AH174" s="826">
        <v>185</v>
      </c>
      <c r="AI174" s="827">
        <v>37</v>
      </c>
    </row>
    <row r="175" spans="1:36" ht="21.95" customHeight="1">
      <c r="A175" s="596">
        <v>10</v>
      </c>
      <c r="B175" s="153"/>
      <c r="C175" s="766"/>
      <c r="D175" s="766"/>
      <c r="E175" s="766"/>
      <c r="F175" s="766"/>
      <c r="G175" s="766"/>
      <c r="H175" s="766"/>
      <c r="I175" s="766"/>
      <c r="J175" s="766"/>
      <c r="K175" s="766"/>
      <c r="L175" s="766"/>
      <c r="M175" s="766"/>
      <c r="N175" s="766"/>
      <c r="O175" s="766"/>
      <c r="P175" s="766"/>
      <c r="Q175" s="766"/>
      <c r="R175" s="766"/>
      <c r="S175" s="766"/>
      <c r="T175" s="766"/>
      <c r="U175" s="766"/>
      <c r="V175" s="766"/>
      <c r="W175" s="768"/>
      <c r="X175" s="766"/>
      <c r="Y175" s="766"/>
      <c r="Z175" s="766"/>
      <c r="AA175" s="766"/>
      <c r="AB175" s="766"/>
      <c r="AC175" s="766"/>
      <c r="AD175" s="766"/>
      <c r="AE175" s="766"/>
      <c r="AF175" s="766"/>
      <c r="AG175" s="783"/>
      <c r="AH175" s="826">
        <v>185</v>
      </c>
      <c r="AI175" s="827">
        <v>37</v>
      </c>
    </row>
    <row r="176" spans="1:36" ht="21.95" customHeight="1" thickBot="1">
      <c r="A176" s="596">
        <v>11</v>
      </c>
      <c r="C176" s="863"/>
      <c r="D176" s="863"/>
      <c r="E176" s="863"/>
      <c r="F176" s="863"/>
      <c r="G176" s="863"/>
      <c r="H176" s="863"/>
      <c r="I176" s="863"/>
      <c r="J176" s="863"/>
      <c r="K176" s="863"/>
      <c r="L176" s="863"/>
      <c r="M176" s="863"/>
      <c r="N176" s="863"/>
      <c r="O176" s="863"/>
      <c r="P176" s="863"/>
      <c r="Q176" s="863"/>
      <c r="R176" s="863"/>
      <c r="S176" s="863"/>
      <c r="T176" s="863"/>
      <c r="U176" s="863"/>
      <c r="V176" s="863"/>
      <c r="W176" s="867"/>
      <c r="X176" s="863"/>
      <c r="Y176" s="863"/>
      <c r="Z176" s="863"/>
      <c r="AA176" s="863"/>
      <c r="AB176" s="863"/>
      <c r="AC176" s="863"/>
      <c r="AD176" s="863"/>
      <c r="AE176" s="766"/>
      <c r="AF176" s="766"/>
      <c r="AG176" s="783"/>
      <c r="AH176" s="826">
        <v>185</v>
      </c>
      <c r="AI176" s="827">
        <v>37</v>
      </c>
    </row>
    <row r="177" spans="1:35" ht="21" customHeight="1">
      <c r="A177" s="312" t="s">
        <v>659</v>
      </c>
    </row>
    <row r="178" spans="1:35" ht="21" customHeight="1" thickBot="1">
      <c r="A178" s="861"/>
      <c r="B178" s="862" t="s">
        <v>476</v>
      </c>
      <c r="C178" s="880">
        <v>1</v>
      </c>
      <c r="D178" s="880">
        <v>2</v>
      </c>
      <c r="E178" s="863">
        <v>3</v>
      </c>
      <c r="F178" s="863">
        <v>4</v>
      </c>
      <c r="G178" s="863">
        <v>5</v>
      </c>
      <c r="H178" s="863">
        <v>6</v>
      </c>
      <c r="I178" s="863">
        <v>7</v>
      </c>
      <c r="J178" s="880">
        <v>8</v>
      </c>
      <c r="K178" s="880">
        <v>9</v>
      </c>
      <c r="L178" s="863">
        <v>10</v>
      </c>
      <c r="M178" s="863">
        <v>11</v>
      </c>
      <c r="N178" s="863">
        <v>12</v>
      </c>
      <c r="O178" s="863">
        <v>13</v>
      </c>
      <c r="P178" s="863">
        <v>14</v>
      </c>
      <c r="Q178" s="880">
        <v>15</v>
      </c>
      <c r="R178" s="880">
        <v>16</v>
      </c>
      <c r="S178" s="863">
        <v>17</v>
      </c>
      <c r="T178" s="863">
        <v>18</v>
      </c>
      <c r="U178" s="863">
        <v>19</v>
      </c>
      <c r="V178" s="863">
        <v>20</v>
      </c>
      <c r="W178" s="863">
        <v>21</v>
      </c>
      <c r="X178" s="880">
        <v>22</v>
      </c>
      <c r="Y178" s="880">
        <v>23</v>
      </c>
      <c r="Z178" s="863">
        <v>24</v>
      </c>
      <c r="AA178" s="863">
        <v>25</v>
      </c>
      <c r="AB178" s="863">
        <v>26</v>
      </c>
      <c r="AC178" s="863">
        <v>27</v>
      </c>
      <c r="AD178" s="863">
        <v>28</v>
      </c>
      <c r="AE178" s="880">
        <v>29</v>
      </c>
      <c r="AF178" s="880">
        <v>30</v>
      </c>
      <c r="AG178" s="863"/>
      <c r="AH178" s="600"/>
    </row>
    <row r="179" spans="1:35" ht="21" customHeight="1">
      <c r="A179" s="897">
        <v>1</v>
      </c>
      <c r="B179" s="601" t="s">
        <v>660</v>
      </c>
      <c r="C179" s="764" t="s">
        <v>517</v>
      </c>
      <c r="D179" s="764" t="s">
        <v>517</v>
      </c>
      <c r="E179" s="764" t="s">
        <v>481</v>
      </c>
      <c r="F179" s="764" t="s">
        <v>481</v>
      </c>
      <c r="G179" s="764" t="s">
        <v>481</v>
      </c>
      <c r="H179" s="764" t="s">
        <v>598</v>
      </c>
      <c r="I179" s="764" t="s">
        <v>481</v>
      </c>
      <c r="J179" s="764"/>
      <c r="K179" s="764"/>
      <c r="L179" s="764">
        <v>8</v>
      </c>
      <c r="M179" s="764">
        <v>8</v>
      </c>
      <c r="N179" s="764">
        <v>8</v>
      </c>
      <c r="O179" s="768">
        <v>8</v>
      </c>
      <c r="P179" s="764">
        <v>8</v>
      </c>
      <c r="Q179" s="764" t="s">
        <v>515</v>
      </c>
      <c r="R179" s="764" t="s">
        <v>515</v>
      </c>
      <c r="S179" s="764" t="s">
        <v>481</v>
      </c>
      <c r="T179" s="764" t="s">
        <v>481</v>
      </c>
      <c r="U179" s="764" t="s">
        <v>481</v>
      </c>
      <c r="V179" s="764" t="s">
        <v>481</v>
      </c>
      <c r="W179" s="764" t="s">
        <v>481</v>
      </c>
      <c r="X179" s="898"/>
      <c r="Y179" s="898"/>
      <c r="Z179" s="898">
        <v>3</v>
      </c>
      <c r="AA179" s="898">
        <v>3</v>
      </c>
      <c r="AB179" s="898">
        <v>3</v>
      </c>
      <c r="AC179" s="898">
        <v>3</v>
      </c>
      <c r="AD179" s="898">
        <v>3</v>
      </c>
      <c r="AE179" s="898"/>
      <c r="AF179" s="898"/>
      <c r="AG179" s="898"/>
      <c r="AH179" s="600"/>
    </row>
    <row r="180" spans="1:35" ht="21" customHeight="1">
      <c r="A180" s="552">
        <v>2</v>
      </c>
      <c r="B180" s="1153" t="s">
        <v>661</v>
      </c>
      <c r="C180" s="766"/>
      <c r="D180" s="766" t="s">
        <v>514</v>
      </c>
      <c r="E180" s="766" t="s">
        <v>481</v>
      </c>
      <c r="F180" s="766" t="s">
        <v>481</v>
      </c>
      <c r="G180" s="1224">
        <v>6</v>
      </c>
      <c r="H180" s="766">
        <v>1</v>
      </c>
      <c r="I180" s="766" t="s">
        <v>481</v>
      </c>
      <c r="J180" s="766" t="s">
        <v>515</v>
      </c>
      <c r="K180" s="766"/>
      <c r="L180" s="1218">
        <v>7</v>
      </c>
      <c r="M180" s="766">
        <v>7</v>
      </c>
      <c r="N180" s="1218">
        <v>7</v>
      </c>
      <c r="O180" s="766">
        <v>7</v>
      </c>
      <c r="P180" s="766">
        <v>7</v>
      </c>
      <c r="Q180" s="766" t="s">
        <v>513</v>
      </c>
      <c r="R180" s="766"/>
      <c r="S180" s="766" t="s">
        <v>553</v>
      </c>
      <c r="T180" s="766" t="s">
        <v>553</v>
      </c>
      <c r="U180" s="766" t="s">
        <v>553</v>
      </c>
      <c r="V180" s="766" t="s">
        <v>554</v>
      </c>
      <c r="W180" s="766" t="s">
        <v>554</v>
      </c>
      <c r="X180" s="766" t="s">
        <v>513</v>
      </c>
      <c r="Y180" s="766" t="s">
        <v>513</v>
      </c>
      <c r="Z180" s="766" t="s">
        <v>481</v>
      </c>
      <c r="AA180" s="766" t="s">
        <v>481</v>
      </c>
      <c r="AB180" s="766" t="s">
        <v>481</v>
      </c>
      <c r="AC180" s="766" t="s">
        <v>481</v>
      </c>
      <c r="AD180" s="766" t="s">
        <v>481</v>
      </c>
      <c r="AE180" s="766" t="s">
        <v>517</v>
      </c>
      <c r="AF180" s="766" t="s">
        <v>517</v>
      </c>
      <c r="AG180" s="172"/>
      <c r="AH180" s="600"/>
    </row>
    <row r="181" spans="1:35" ht="21" customHeight="1" thickBot="1">
      <c r="A181" s="552">
        <v>3</v>
      </c>
      <c r="B181" s="542" t="s">
        <v>774</v>
      </c>
      <c r="C181" s="766"/>
      <c r="D181" s="766"/>
      <c r="E181" s="1223">
        <v>8</v>
      </c>
      <c r="F181" s="1223">
        <v>8</v>
      </c>
      <c r="G181" s="1224">
        <v>8</v>
      </c>
      <c r="H181" s="1223">
        <v>8</v>
      </c>
      <c r="I181" s="1223">
        <v>8</v>
      </c>
      <c r="J181" s="1223" t="s">
        <v>513</v>
      </c>
      <c r="K181" s="1000" t="s">
        <v>513</v>
      </c>
      <c r="L181" s="1068" t="s">
        <v>481</v>
      </c>
      <c r="M181" s="1068" t="s">
        <v>481</v>
      </c>
      <c r="N181" s="1068" t="s">
        <v>481</v>
      </c>
      <c r="O181" s="1068" t="s">
        <v>481</v>
      </c>
      <c r="P181" s="1068" t="s">
        <v>481</v>
      </c>
      <c r="Q181" s="1225"/>
      <c r="R181" s="1225"/>
      <c r="S181" s="1225">
        <v>1</v>
      </c>
      <c r="T181" s="1225">
        <v>1</v>
      </c>
      <c r="U181" s="1225">
        <v>1</v>
      </c>
      <c r="V181" s="1225">
        <v>1</v>
      </c>
      <c r="W181" s="1225">
        <v>1</v>
      </c>
      <c r="X181" s="1225"/>
      <c r="Y181" s="1225"/>
      <c r="Z181" s="1225">
        <v>9</v>
      </c>
      <c r="AA181" s="1225">
        <v>9</v>
      </c>
      <c r="AB181" s="1225">
        <v>9</v>
      </c>
      <c r="AC181" s="1068">
        <v>9</v>
      </c>
      <c r="AD181" s="1068">
        <v>9</v>
      </c>
      <c r="AE181" s="1068" t="s">
        <v>784</v>
      </c>
      <c r="AF181" s="761" t="s">
        <v>514</v>
      </c>
      <c r="AG181" s="172"/>
      <c r="AH181" s="600"/>
    </row>
    <row r="182" spans="1:35" ht="21" customHeight="1">
      <c r="A182" s="552">
        <v>4</v>
      </c>
      <c r="B182" s="859" t="s">
        <v>768</v>
      </c>
      <c r="C182" s="766"/>
      <c r="D182" s="766"/>
      <c r="E182" s="1159" t="s">
        <v>746</v>
      </c>
      <c r="F182" s="1226">
        <v>10</v>
      </c>
      <c r="G182" s="1226">
        <v>10</v>
      </c>
      <c r="H182" s="1159">
        <v>10</v>
      </c>
      <c r="I182" s="1159">
        <v>10</v>
      </c>
      <c r="J182" s="1159" t="s">
        <v>514</v>
      </c>
      <c r="K182" s="1159" t="s">
        <v>514</v>
      </c>
      <c r="L182" s="1159" t="s">
        <v>481</v>
      </c>
      <c r="M182" s="1159" t="s">
        <v>481</v>
      </c>
      <c r="N182" s="1159" t="s">
        <v>481</v>
      </c>
      <c r="O182" s="1159" t="s">
        <v>481</v>
      </c>
      <c r="P182" s="1159" t="s">
        <v>481</v>
      </c>
      <c r="Q182" s="766"/>
      <c r="R182" s="766"/>
      <c r="S182" s="1226">
        <v>7</v>
      </c>
      <c r="T182" s="172">
        <v>10</v>
      </c>
      <c r="U182" s="172">
        <v>10</v>
      </c>
      <c r="V182" s="172">
        <v>10</v>
      </c>
      <c r="W182" s="172">
        <v>10</v>
      </c>
      <c r="X182" s="766" t="s">
        <v>514</v>
      </c>
      <c r="Y182" s="766" t="s">
        <v>514</v>
      </c>
      <c r="Z182" s="172" t="s">
        <v>481</v>
      </c>
      <c r="AA182" s="172" t="s">
        <v>481</v>
      </c>
      <c r="AB182" s="172" t="s">
        <v>481</v>
      </c>
      <c r="AC182" s="172" t="s">
        <v>481</v>
      </c>
      <c r="AD182" s="172" t="s">
        <v>481</v>
      </c>
      <c r="AE182" s="766"/>
      <c r="AF182" s="766"/>
      <c r="AG182" s="172"/>
      <c r="AH182" s="600"/>
    </row>
    <row r="183" spans="1:35" ht="21" customHeight="1" thickBot="1">
      <c r="A183" s="861">
        <v>5</v>
      </c>
      <c r="B183" s="874"/>
      <c r="C183" s="863"/>
      <c r="D183" s="863"/>
      <c r="E183" s="863"/>
      <c r="F183" s="863"/>
      <c r="G183" s="863"/>
      <c r="H183" s="863"/>
      <c r="I183" s="863"/>
      <c r="J183" s="863"/>
      <c r="K183" s="863"/>
      <c r="L183" s="863"/>
      <c r="M183" s="863"/>
      <c r="N183" s="863"/>
      <c r="O183" s="863"/>
      <c r="P183" s="863"/>
      <c r="Q183" s="863"/>
      <c r="R183" s="863"/>
      <c r="S183" s="863"/>
      <c r="T183" s="863"/>
      <c r="U183" s="863"/>
      <c r="V183" s="863"/>
      <c r="W183" s="863"/>
      <c r="X183" s="863"/>
      <c r="Y183" s="863"/>
      <c r="Z183" s="863"/>
      <c r="AA183" s="863"/>
      <c r="AB183" s="863"/>
      <c r="AC183" s="863"/>
      <c r="AD183" s="863"/>
      <c r="AE183" s="863"/>
      <c r="AF183" s="863"/>
      <c r="AG183" s="899"/>
      <c r="AH183" s="600"/>
    </row>
    <row r="184" spans="1:35" ht="21" customHeight="1">
      <c r="A184" s="785"/>
      <c r="B184" s="354"/>
      <c r="C184" s="139"/>
      <c r="D184" s="139"/>
      <c r="E184" s="139"/>
      <c r="F184" s="139"/>
      <c r="G184" s="139"/>
      <c r="H184" s="139"/>
      <c r="I184" s="139"/>
      <c r="J184" s="139"/>
      <c r="K184" s="139"/>
      <c r="L184" s="139"/>
      <c r="M184" s="139"/>
      <c r="N184" s="786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39"/>
      <c r="AA184" s="139"/>
      <c r="AB184" s="139"/>
      <c r="AC184" s="139"/>
      <c r="AD184" s="139"/>
      <c r="AE184" s="139"/>
      <c r="AF184" s="139"/>
      <c r="AG184" s="139"/>
      <c r="AH184" s="600"/>
    </row>
    <row r="185" spans="1:35" ht="21.95" customHeight="1" thickBot="1">
      <c r="A185" s="1" t="s">
        <v>663</v>
      </c>
      <c r="B185" s="274"/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</row>
    <row r="186" spans="1:35" ht="21.95" customHeight="1">
      <c r="A186" s="1"/>
      <c r="B186" s="796" t="s">
        <v>664</v>
      </c>
      <c r="C186" s="51" t="s">
        <v>2</v>
      </c>
      <c r="D186" s="51"/>
      <c r="E186" s="51"/>
      <c r="F186" s="51"/>
      <c r="G186" s="798" t="s">
        <v>3</v>
      </c>
      <c r="H186" s="51"/>
      <c r="I186" s="51"/>
      <c r="J186" s="51"/>
      <c r="K186" s="798" t="s">
        <v>4</v>
      </c>
      <c r="L186" s="51"/>
      <c r="M186" s="51"/>
      <c r="N186" s="51"/>
      <c r="O186" s="798" t="s">
        <v>5</v>
      </c>
      <c r="P186" s="51"/>
      <c r="Q186" s="51"/>
      <c r="R186" s="51"/>
      <c r="S186" s="798" t="s">
        <v>6</v>
      </c>
      <c r="T186" s="51"/>
      <c r="U186" s="51"/>
      <c r="V186" s="51"/>
      <c r="W186" s="51"/>
      <c r="X186" s="802" t="s">
        <v>7</v>
      </c>
      <c r="Y186" s="51"/>
      <c r="Z186" s="548"/>
      <c r="AA186" s="7"/>
      <c r="AB186" s="522" t="s">
        <v>8</v>
      </c>
      <c r="AC186" s="51"/>
      <c r="AD186" s="51"/>
      <c r="AE186" s="425" t="s">
        <v>10</v>
      </c>
      <c r="AF186" s="51"/>
      <c r="AG186" s="51"/>
      <c r="AH186" s="51"/>
      <c r="AI186" s="523"/>
    </row>
    <row r="187" spans="1:35" ht="21.95" customHeight="1">
      <c r="A187" s="1"/>
      <c r="B187" s="796">
        <v>3701</v>
      </c>
      <c r="C187" s="55" t="s">
        <v>665</v>
      </c>
      <c r="D187" s="55"/>
      <c r="E187" s="55"/>
      <c r="F187" s="55"/>
      <c r="G187" s="799" t="s">
        <v>124</v>
      </c>
      <c r="H187" s="55"/>
      <c r="I187" s="55"/>
      <c r="J187" s="55"/>
      <c r="K187" s="799" t="s">
        <v>124</v>
      </c>
      <c r="L187" s="55"/>
      <c r="M187" s="55"/>
      <c r="N187" s="55"/>
      <c r="O187" s="799" t="s">
        <v>124</v>
      </c>
      <c r="P187" s="55"/>
      <c r="Q187" s="55"/>
      <c r="R187" s="55"/>
      <c r="S187" s="799" t="s">
        <v>125</v>
      </c>
      <c r="T187" s="55"/>
      <c r="U187" s="55"/>
      <c r="V187" s="55"/>
      <c r="W187" s="55"/>
      <c r="X187" s="803"/>
      <c r="Y187" s="55"/>
      <c r="Z187" s="602"/>
      <c r="AA187" s="14"/>
      <c r="AB187" s="603"/>
      <c r="AC187" s="55"/>
      <c r="AD187" s="55"/>
      <c r="AE187" s="604"/>
      <c r="AF187" s="55"/>
      <c r="AG187" s="55"/>
      <c r="AH187" s="55"/>
      <c r="AI187" s="605"/>
    </row>
    <row r="188" spans="1:35" ht="21.95" customHeight="1">
      <c r="B188" s="796">
        <v>3700</v>
      </c>
      <c r="C188" s="157" t="s">
        <v>535</v>
      </c>
      <c r="D188" s="157"/>
      <c r="E188" s="157"/>
      <c r="F188" s="157"/>
      <c r="G188" s="712" t="s">
        <v>535</v>
      </c>
      <c r="H188" s="157"/>
      <c r="I188" s="157"/>
      <c r="J188" s="157"/>
      <c r="K188" s="712" t="s">
        <v>535</v>
      </c>
      <c r="L188" s="157"/>
      <c r="M188" s="157"/>
      <c r="N188" s="157"/>
      <c r="O188" s="712" t="s">
        <v>535</v>
      </c>
      <c r="P188" s="157"/>
      <c r="Q188" s="157"/>
      <c r="R188" s="157"/>
      <c r="S188" s="712" t="s">
        <v>116</v>
      </c>
      <c r="T188" s="157"/>
      <c r="U188" s="157"/>
      <c r="V188" s="157"/>
      <c r="W188" s="157"/>
      <c r="X188" s="712"/>
      <c r="Y188" s="157"/>
      <c r="Z188" s="564"/>
      <c r="AA188" s="563"/>
      <c r="AB188" s="157"/>
      <c r="AC188" s="157"/>
      <c r="AD188" s="565"/>
      <c r="AE188" s="607"/>
      <c r="AF188" s="157"/>
      <c r="AG188" s="157" t="s">
        <v>28</v>
      </c>
      <c r="AH188" s="565"/>
      <c r="AI188" s="490"/>
    </row>
    <row r="189" spans="1:35" ht="21.95" customHeight="1">
      <c r="A189" s="1"/>
      <c r="B189" s="796">
        <v>8514</v>
      </c>
      <c r="C189" s="157" t="s">
        <v>124</v>
      </c>
      <c r="D189" s="157"/>
      <c r="E189" s="157"/>
      <c r="F189" s="157"/>
      <c r="G189" s="712" t="s">
        <v>124</v>
      </c>
      <c r="H189" s="157"/>
      <c r="I189" s="157"/>
      <c r="J189" s="157"/>
      <c r="K189" s="712" t="s">
        <v>124</v>
      </c>
      <c r="L189" s="157"/>
      <c r="M189" s="157"/>
      <c r="N189" s="157"/>
      <c r="O189" s="712" t="s">
        <v>124</v>
      </c>
      <c r="P189" s="157"/>
      <c r="Q189" s="157"/>
      <c r="R189" s="157"/>
      <c r="S189" s="712" t="s">
        <v>666</v>
      </c>
      <c r="T189" s="157"/>
      <c r="U189" s="157"/>
      <c r="V189" s="157"/>
      <c r="W189" s="157"/>
      <c r="X189" s="712"/>
      <c r="Y189" s="157"/>
      <c r="Z189" s="564"/>
      <c r="AA189" s="121"/>
      <c r="AB189" s="157"/>
      <c r="AC189" s="157"/>
      <c r="AD189" s="565"/>
      <c r="AE189" s="121"/>
      <c r="AF189" s="157"/>
      <c r="AG189" s="157"/>
      <c r="AH189" s="565"/>
      <c r="AI189" s="490"/>
    </row>
    <row r="190" spans="1:35" ht="21.95" customHeight="1">
      <c r="A190" s="1"/>
      <c r="B190" s="796">
        <v>8500</v>
      </c>
      <c r="C190" s="55" t="s">
        <v>11</v>
      </c>
      <c r="D190" s="55"/>
      <c r="E190" s="55"/>
      <c r="F190" s="55"/>
      <c r="G190" s="799" t="s">
        <v>11</v>
      </c>
      <c r="H190" s="55"/>
      <c r="I190" s="55"/>
      <c r="J190" s="55"/>
      <c r="K190" s="799" t="s">
        <v>11</v>
      </c>
      <c r="L190" s="55"/>
      <c r="M190" s="55"/>
      <c r="N190" s="55"/>
      <c r="O190" s="799" t="s">
        <v>11</v>
      </c>
      <c r="P190" s="55"/>
      <c r="Q190" s="55"/>
      <c r="R190" s="55"/>
      <c r="S190" s="799" t="s">
        <v>12</v>
      </c>
      <c r="T190" s="55"/>
      <c r="U190" s="55"/>
      <c r="V190" s="55"/>
      <c r="W190" s="55"/>
      <c r="X190" s="799"/>
      <c r="Y190" s="55"/>
      <c r="Z190" s="609"/>
      <c r="AA190" s="608"/>
      <c r="AB190" s="55"/>
      <c r="AC190" s="55"/>
      <c r="AD190" s="609"/>
      <c r="AE190" s="608"/>
      <c r="AF190" s="55"/>
      <c r="AG190" s="55"/>
      <c r="AH190" s="594"/>
      <c r="AI190" s="605"/>
    </row>
    <row r="191" spans="1:35" ht="21.95" customHeight="1">
      <c r="A191" s="1"/>
      <c r="B191" s="796">
        <v>8514</v>
      </c>
      <c r="C191" s="610" t="s">
        <v>124</v>
      </c>
      <c r="D191" s="610"/>
      <c r="E191" s="610"/>
      <c r="F191" s="610"/>
      <c r="G191" s="800" t="s">
        <v>124</v>
      </c>
      <c r="H191" s="610"/>
      <c r="I191" s="610"/>
      <c r="J191" s="610"/>
      <c r="K191" s="800" t="s">
        <v>124</v>
      </c>
      <c r="L191" s="610"/>
      <c r="M191" s="610"/>
      <c r="N191" s="610"/>
      <c r="O191" s="800" t="s">
        <v>124</v>
      </c>
      <c r="P191" s="610"/>
      <c r="Q191" s="610"/>
      <c r="R191" s="610"/>
      <c r="S191" s="800" t="s">
        <v>666</v>
      </c>
      <c r="T191" s="610"/>
      <c r="U191" s="610"/>
      <c r="V191" s="610"/>
      <c r="W191" s="610"/>
      <c r="X191" s="803"/>
      <c r="Y191" s="55"/>
      <c r="Z191" s="602"/>
      <c r="AA191" s="14"/>
      <c r="AB191" s="603"/>
      <c r="AC191" s="55"/>
      <c r="AD191" s="55"/>
      <c r="AE191" s="604"/>
      <c r="AF191" s="55"/>
      <c r="AG191" s="55"/>
      <c r="AH191" s="55"/>
      <c r="AI191" s="605"/>
    </row>
    <row r="192" spans="1:35" ht="21.95" customHeight="1" thickBot="1">
      <c r="A192" s="1"/>
      <c r="B192" s="797" t="s">
        <v>667</v>
      </c>
      <c r="C192" s="53" t="s">
        <v>668</v>
      </c>
      <c r="D192" s="53"/>
      <c r="E192" s="53"/>
      <c r="F192" s="53"/>
      <c r="G192" s="801" t="s">
        <v>668</v>
      </c>
      <c r="H192" s="53"/>
      <c r="I192" s="53"/>
      <c r="J192" s="53"/>
      <c r="K192" s="53" t="s">
        <v>668</v>
      </c>
      <c r="L192" s="53"/>
      <c r="M192" s="53"/>
      <c r="N192" s="53"/>
      <c r="O192" s="801" t="s">
        <v>668</v>
      </c>
      <c r="P192" s="53"/>
      <c r="Q192" s="53"/>
      <c r="R192" s="53"/>
      <c r="S192" s="801" t="s">
        <v>669</v>
      </c>
      <c r="T192" s="53"/>
      <c r="U192" s="53"/>
      <c r="V192" s="53"/>
      <c r="W192" s="53"/>
      <c r="X192" s="801"/>
      <c r="Y192" s="53"/>
      <c r="Z192" s="571"/>
      <c r="AA192" s="570"/>
      <c r="AB192" s="53"/>
      <c r="AC192" s="53"/>
      <c r="AD192" s="573"/>
      <c r="AE192" s="612"/>
      <c r="AF192" s="53"/>
      <c r="AG192" s="53" t="s">
        <v>28</v>
      </c>
      <c r="AH192" s="573"/>
      <c r="AI192" s="536"/>
    </row>
    <row r="193" spans="1:35" ht="21.95" customHeight="1">
      <c r="A193" s="1"/>
      <c r="B193" s="72"/>
      <c r="C193" s="312"/>
      <c r="F193" s="354"/>
      <c r="G193" s="312"/>
      <c r="J193" s="354"/>
      <c r="K193" s="312"/>
      <c r="N193" s="354"/>
      <c r="O193" s="312"/>
      <c r="R193" s="354"/>
      <c r="S193" s="312"/>
      <c r="V193" s="354"/>
      <c r="W193" s="354"/>
      <c r="Z193" s="354"/>
      <c r="AA193" s="354"/>
      <c r="AD193" s="354"/>
      <c r="AE193" s="354"/>
      <c r="AH193" s="354"/>
    </row>
    <row r="194" spans="1:35" ht="21.95" customHeight="1" thickBot="1">
      <c r="A194" s="1" t="s">
        <v>785</v>
      </c>
      <c r="B194" s="72"/>
      <c r="C194" s="312"/>
      <c r="F194" s="354"/>
      <c r="G194" s="312"/>
      <c r="J194" s="354"/>
      <c r="K194" s="312"/>
      <c r="N194" s="354"/>
      <c r="O194" s="312"/>
      <c r="R194" s="354"/>
      <c r="S194" s="312"/>
      <c r="V194" s="354"/>
      <c r="W194" s="354"/>
      <c r="Z194" s="354"/>
      <c r="AA194" s="354"/>
      <c r="AD194" s="354"/>
      <c r="AE194" s="354"/>
      <c r="AH194" s="354"/>
    </row>
    <row r="195" spans="1:35" ht="21.95" customHeight="1" thickBot="1">
      <c r="A195" s="861"/>
      <c r="B195" s="862" t="s">
        <v>476</v>
      </c>
      <c r="C195" s="880">
        <v>1</v>
      </c>
      <c r="D195" s="880">
        <v>2</v>
      </c>
      <c r="E195" s="863">
        <v>3</v>
      </c>
      <c r="F195" s="863">
        <v>4</v>
      </c>
      <c r="G195" s="863">
        <v>5</v>
      </c>
      <c r="H195" s="863">
        <v>6</v>
      </c>
      <c r="I195" s="863">
        <v>7</v>
      </c>
      <c r="J195" s="880">
        <v>8</v>
      </c>
      <c r="K195" s="880">
        <v>9</v>
      </c>
      <c r="L195" s="863">
        <v>10</v>
      </c>
      <c r="M195" s="863">
        <v>11</v>
      </c>
      <c r="N195" s="863">
        <v>12</v>
      </c>
      <c r="O195" s="863">
        <v>13</v>
      </c>
      <c r="P195" s="863">
        <v>14</v>
      </c>
      <c r="Q195" s="880">
        <v>15</v>
      </c>
      <c r="R195" s="880">
        <v>16</v>
      </c>
      <c r="S195" s="863">
        <v>17</v>
      </c>
      <c r="T195" s="863">
        <v>18</v>
      </c>
      <c r="U195" s="863">
        <v>19</v>
      </c>
      <c r="V195" s="863">
        <v>20</v>
      </c>
      <c r="W195" s="863">
        <v>21</v>
      </c>
      <c r="X195" s="880">
        <v>22</v>
      </c>
      <c r="Y195" s="880">
        <v>23</v>
      </c>
      <c r="Z195" s="863">
        <v>24</v>
      </c>
      <c r="AA195" s="863">
        <v>25</v>
      </c>
      <c r="AB195" s="863">
        <v>26</v>
      </c>
      <c r="AC195" s="863">
        <v>27</v>
      </c>
      <c r="AD195" s="863">
        <v>28</v>
      </c>
      <c r="AE195" s="880">
        <v>29</v>
      </c>
      <c r="AF195" s="880">
        <v>30</v>
      </c>
      <c r="AG195" s="943"/>
      <c r="AH195" s="864" t="s">
        <v>477</v>
      </c>
      <c r="AI195" s="865" t="s">
        <v>478</v>
      </c>
    </row>
    <row r="196" spans="1:35" ht="21.95" customHeight="1">
      <c r="A196" s="897"/>
      <c r="B196" s="900" t="s">
        <v>671</v>
      </c>
      <c r="C196" s="768"/>
      <c r="D196" s="768"/>
      <c r="E196" s="768" t="s">
        <v>491</v>
      </c>
      <c r="F196" s="768" t="s">
        <v>491</v>
      </c>
      <c r="G196" s="768" t="s">
        <v>491</v>
      </c>
      <c r="H196" s="768" t="s">
        <v>491</v>
      </c>
      <c r="I196" s="768" t="s">
        <v>491</v>
      </c>
      <c r="J196" s="768"/>
      <c r="K196" s="768"/>
      <c r="L196" s="768" t="s">
        <v>491</v>
      </c>
      <c r="M196" s="768" t="s">
        <v>491</v>
      </c>
      <c r="N196" s="768" t="s">
        <v>491</v>
      </c>
      <c r="O196" s="768" t="s">
        <v>491</v>
      </c>
      <c r="P196" s="768" t="s">
        <v>491</v>
      </c>
      <c r="Q196" s="768"/>
      <c r="R196" s="768"/>
      <c r="S196" s="768" t="s">
        <v>491</v>
      </c>
      <c r="T196" s="768" t="s">
        <v>491</v>
      </c>
      <c r="U196" s="768" t="s">
        <v>491</v>
      </c>
      <c r="V196" s="768" t="s">
        <v>491</v>
      </c>
      <c r="W196" s="768" t="s">
        <v>491</v>
      </c>
      <c r="X196" s="768"/>
      <c r="Y196" s="768"/>
      <c r="Z196" s="768" t="s">
        <v>491</v>
      </c>
      <c r="AA196" s="768" t="s">
        <v>491</v>
      </c>
      <c r="AB196" s="768" t="s">
        <v>491</v>
      </c>
      <c r="AC196" s="768" t="s">
        <v>491</v>
      </c>
      <c r="AD196" s="768" t="s">
        <v>491</v>
      </c>
      <c r="AE196" s="768"/>
      <c r="AF196" s="768"/>
      <c r="AG196" s="771"/>
      <c r="AH196" s="901">
        <v>74</v>
      </c>
      <c r="AI196" s="902">
        <v>37</v>
      </c>
    </row>
    <row r="197" spans="1:35" ht="21.95" customHeight="1">
      <c r="A197" s="614">
        <v>8500</v>
      </c>
      <c r="B197" s="790" t="s">
        <v>156</v>
      </c>
      <c r="C197" s="768"/>
      <c r="D197" s="768"/>
      <c r="E197" s="768" t="s">
        <v>491</v>
      </c>
      <c r="F197" s="768" t="s">
        <v>491</v>
      </c>
      <c r="G197" s="768" t="s">
        <v>491</v>
      </c>
      <c r="H197" s="768" t="s">
        <v>491</v>
      </c>
      <c r="I197" s="768" t="s">
        <v>491</v>
      </c>
      <c r="J197" s="768"/>
      <c r="K197" s="768"/>
      <c r="L197" s="768" t="s">
        <v>491</v>
      </c>
      <c r="M197" s="768" t="s">
        <v>491</v>
      </c>
      <c r="N197" s="768" t="s">
        <v>491</v>
      </c>
      <c r="O197" s="768" t="s">
        <v>491</v>
      </c>
      <c r="P197" s="768" t="s">
        <v>491</v>
      </c>
      <c r="Q197" s="768"/>
      <c r="R197" s="768"/>
      <c r="S197" s="768" t="s">
        <v>491</v>
      </c>
      <c r="T197" s="768" t="s">
        <v>491</v>
      </c>
      <c r="U197" s="768" t="s">
        <v>491</v>
      </c>
      <c r="V197" s="768" t="s">
        <v>491</v>
      </c>
      <c r="W197" s="768" t="s">
        <v>491</v>
      </c>
      <c r="X197" s="768"/>
      <c r="Y197" s="768"/>
      <c r="Z197" s="768" t="s">
        <v>491</v>
      </c>
      <c r="AA197" s="768" t="s">
        <v>491</v>
      </c>
      <c r="AB197" s="768" t="s">
        <v>491</v>
      </c>
      <c r="AC197" s="768" t="s">
        <v>491</v>
      </c>
      <c r="AD197" s="768" t="s">
        <v>491</v>
      </c>
      <c r="AE197" s="768"/>
      <c r="AF197" s="768"/>
      <c r="AG197" s="769"/>
      <c r="AH197" s="597">
        <v>37</v>
      </c>
      <c r="AI197" s="598">
        <v>37</v>
      </c>
    </row>
    <row r="198" spans="1:35" ht="21" customHeight="1">
      <c r="A198" s="442"/>
      <c r="B198" s="789" t="s">
        <v>672</v>
      </c>
      <c r="C198" s="768"/>
      <c r="D198" s="768"/>
      <c r="E198" s="768" t="s">
        <v>491</v>
      </c>
      <c r="F198" s="768" t="s">
        <v>491</v>
      </c>
      <c r="G198" s="768" t="s">
        <v>491</v>
      </c>
      <c r="H198" s="768" t="s">
        <v>491</v>
      </c>
      <c r="I198" s="768" t="s">
        <v>491</v>
      </c>
      <c r="J198" s="768"/>
      <c r="K198" s="768"/>
      <c r="L198" s="768" t="s">
        <v>491</v>
      </c>
      <c r="M198" s="768" t="s">
        <v>491</v>
      </c>
      <c r="N198" s="768" t="s">
        <v>491</v>
      </c>
      <c r="O198" s="768" t="s">
        <v>491</v>
      </c>
      <c r="P198" s="768" t="s">
        <v>491</v>
      </c>
      <c r="Q198" s="768"/>
      <c r="R198" s="768"/>
      <c r="S198" s="768" t="s">
        <v>491</v>
      </c>
      <c r="T198" s="768" t="s">
        <v>491</v>
      </c>
      <c r="U198" s="768" t="s">
        <v>491</v>
      </c>
      <c r="V198" s="768" t="s">
        <v>491</v>
      </c>
      <c r="W198" s="768" t="s">
        <v>491</v>
      </c>
      <c r="X198" s="768"/>
      <c r="Y198" s="768"/>
      <c r="Z198" s="768" t="s">
        <v>491</v>
      </c>
      <c r="AA198" s="768" t="s">
        <v>491</v>
      </c>
      <c r="AB198" s="768" t="s">
        <v>491</v>
      </c>
      <c r="AC198" s="768" t="s">
        <v>491</v>
      </c>
      <c r="AD198" s="768" t="s">
        <v>491</v>
      </c>
      <c r="AE198" s="768"/>
      <c r="AF198" s="768"/>
      <c r="AG198" s="769"/>
      <c r="AH198" s="597">
        <v>67</v>
      </c>
      <c r="AI198" s="598">
        <v>37</v>
      </c>
    </row>
    <row r="199" spans="1:35" ht="21" customHeight="1">
      <c r="A199" s="442">
        <v>8521</v>
      </c>
      <c r="B199" s="789" t="s">
        <v>673</v>
      </c>
      <c r="C199" s="768"/>
      <c r="D199" s="768"/>
      <c r="E199" s="1038" t="s">
        <v>491</v>
      </c>
      <c r="F199" s="1038" t="s">
        <v>491</v>
      </c>
      <c r="G199" s="1041" t="s">
        <v>491</v>
      </c>
      <c r="H199" s="1038" t="s">
        <v>491</v>
      </c>
      <c r="I199" s="1038" t="s">
        <v>491</v>
      </c>
      <c r="J199" s="1038"/>
      <c r="K199" s="1038"/>
      <c r="L199" s="1038" t="s">
        <v>491</v>
      </c>
      <c r="M199" s="1038" t="s">
        <v>491</v>
      </c>
      <c r="N199" s="1038" t="s">
        <v>491</v>
      </c>
      <c r="O199" s="1038" t="s">
        <v>491</v>
      </c>
      <c r="P199" s="1038" t="s">
        <v>491</v>
      </c>
      <c r="Q199" s="1038"/>
      <c r="R199" s="1038"/>
      <c r="S199" s="1038" t="s">
        <v>491</v>
      </c>
      <c r="T199" s="1038" t="s">
        <v>491</v>
      </c>
      <c r="U199" s="1038" t="s">
        <v>491</v>
      </c>
      <c r="V199" s="1038" t="s">
        <v>491</v>
      </c>
      <c r="W199" s="1038" t="s">
        <v>491</v>
      </c>
      <c r="X199" s="1038"/>
      <c r="Y199" s="1038"/>
      <c r="Z199" s="1038" t="s">
        <v>491</v>
      </c>
      <c r="AA199" s="1038" t="s">
        <v>491</v>
      </c>
      <c r="AB199" s="1038" t="s">
        <v>491</v>
      </c>
      <c r="AC199" s="1038" t="s">
        <v>491</v>
      </c>
      <c r="AD199" s="1038" t="s">
        <v>491</v>
      </c>
      <c r="AE199" s="768"/>
      <c r="AF199" s="768"/>
      <c r="AG199" s="769"/>
      <c r="AH199" s="597">
        <v>111</v>
      </c>
      <c r="AI199" s="598">
        <v>37</v>
      </c>
    </row>
    <row r="200" spans="1:35" ht="21" customHeight="1">
      <c r="A200" s="442"/>
      <c r="B200" s="791" t="s">
        <v>674</v>
      </c>
      <c r="C200" s="768"/>
      <c r="D200" s="768"/>
      <c r="E200" s="768" t="s">
        <v>491</v>
      </c>
      <c r="F200" s="768" t="s">
        <v>491</v>
      </c>
      <c r="G200" s="762" t="s">
        <v>491</v>
      </c>
      <c r="H200" s="768" t="s">
        <v>491</v>
      </c>
      <c r="I200" s="768" t="s">
        <v>491</v>
      </c>
      <c r="J200" s="768"/>
      <c r="K200" s="768"/>
      <c r="L200" s="768" t="s">
        <v>491</v>
      </c>
      <c r="M200" s="768" t="s">
        <v>491</v>
      </c>
      <c r="N200" s="768" t="s">
        <v>491</v>
      </c>
      <c r="O200" s="768" t="s">
        <v>491</v>
      </c>
      <c r="P200" s="768" t="s">
        <v>491</v>
      </c>
      <c r="Q200" s="768"/>
      <c r="R200" s="768"/>
      <c r="S200" s="768" t="s">
        <v>491</v>
      </c>
      <c r="T200" s="768" t="s">
        <v>491</v>
      </c>
      <c r="U200" s="768" t="s">
        <v>491</v>
      </c>
      <c r="V200" s="768" t="s">
        <v>491</v>
      </c>
      <c r="W200" s="768" t="s">
        <v>491</v>
      </c>
      <c r="X200" s="768"/>
      <c r="Y200" s="768"/>
      <c r="Z200" s="768" t="s">
        <v>491</v>
      </c>
      <c r="AA200" s="768" t="s">
        <v>491</v>
      </c>
      <c r="AB200" s="768" t="s">
        <v>491</v>
      </c>
      <c r="AC200" s="768" t="s">
        <v>491</v>
      </c>
      <c r="AD200" s="768" t="s">
        <v>491</v>
      </c>
      <c r="AE200" s="768"/>
      <c r="AF200" s="768"/>
      <c r="AG200" s="769"/>
      <c r="AH200" s="597">
        <v>74</v>
      </c>
      <c r="AI200" s="598">
        <v>37</v>
      </c>
    </row>
    <row r="201" spans="1:35" ht="21" customHeight="1" thickBot="1">
      <c r="A201" s="442">
        <v>8514</v>
      </c>
      <c r="B201" s="542" t="s">
        <v>675</v>
      </c>
      <c r="C201" s="768"/>
      <c r="D201" s="768"/>
      <c r="E201" s="768" t="s">
        <v>491</v>
      </c>
      <c r="F201" s="768" t="s">
        <v>491</v>
      </c>
      <c r="G201" s="768" t="s">
        <v>491</v>
      </c>
      <c r="H201" s="768" t="s">
        <v>491</v>
      </c>
      <c r="I201" s="768" t="s">
        <v>491</v>
      </c>
      <c r="J201" s="768"/>
      <c r="K201" s="768"/>
      <c r="L201" s="768" t="s">
        <v>491</v>
      </c>
      <c r="M201" s="768" t="s">
        <v>491</v>
      </c>
      <c r="N201" s="768" t="s">
        <v>491</v>
      </c>
      <c r="O201" s="761" t="s">
        <v>491</v>
      </c>
      <c r="P201" s="768" t="s">
        <v>491</v>
      </c>
      <c r="Q201" s="768"/>
      <c r="R201" s="768"/>
      <c r="S201" s="768" t="s">
        <v>491</v>
      </c>
      <c r="T201" s="768" t="s">
        <v>491</v>
      </c>
      <c r="U201" s="768" t="s">
        <v>491</v>
      </c>
      <c r="V201" s="768" t="s">
        <v>491</v>
      </c>
      <c r="W201" s="768" t="s">
        <v>491</v>
      </c>
      <c r="X201" s="768"/>
      <c r="Y201" s="768"/>
      <c r="Z201" s="768" t="s">
        <v>491</v>
      </c>
      <c r="AA201" s="768" t="s">
        <v>491</v>
      </c>
      <c r="AB201" s="768" t="s">
        <v>491</v>
      </c>
      <c r="AC201" s="768" t="s">
        <v>491</v>
      </c>
      <c r="AD201" s="768" t="s">
        <v>491</v>
      </c>
      <c r="AE201" s="768"/>
      <c r="AF201" s="768"/>
      <c r="AG201" s="769"/>
      <c r="AH201" s="597">
        <v>38</v>
      </c>
      <c r="AI201" s="598">
        <v>37</v>
      </c>
    </row>
    <row r="202" spans="1:35" ht="21.95" customHeight="1" thickBot="1">
      <c r="A202" s="442">
        <v>3701</v>
      </c>
      <c r="B202" s="789" t="s">
        <v>433</v>
      </c>
      <c r="C202" s="768"/>
      <c r="D202" s="768"/>
      <c r="E202" s="768" t="s">
        <v>491</v>
      </c>
      <c r="F202" s="768" t="s">
        <v>491</v>
      </c>
      <c r="G202" s="768" t="s">
        <v>491</v>
      </c>
      <c r="H202" s="768" t="s">
        <v>491</v>
      </c>
      <c r="I202" s="768" t="s">
        <v>491</v>
      </c>
      <c r="J202" s="768"/>
      <c r="K202" s="768"/>
      <c r="L202" s="768" t="s">
        <v>491</v>
      </c>
      <c r="M202" s="768" t="s">
        <v>491</v>
      </c>
      <c r="N202" s="768" t="s">
        <v>491</v>
      </c>
      <c r="O202" s="761" t="s">
        <v>491</v>
      </c>
      <c r="P202" s="768" t="s">
        <v>491</v>
      </c>
      <c r="Q202" s="768"/>
      <c r="R202" s="768"/>
      <c r="S202" s="768" t="s">
        <v>491</v>
      </c>
      <c r="T202" s="768" t="s">
        <v>491</v>
      </c>
      <c r="U202" s="768" t="s">
        <v>491</v>
      </c>
      <c r="V202" s="768" t="s">
        <v>491</v>
      </c>
      <c r="W202" s="768" t="s">
        <v>491</v>
      </c>
      <c r="X202" s="768"/>
      <c r="Y202" s="768"/>
      <c r="Z202" s="768" t="s">
        <v>491</v>
      </c>
      <c r="AA202" s="768" t="s">
        <v>491</v>
      </c>
      <c r="AB202" s="768" t="s">
        <v>491</v>
      </c>
      <c r="AC202" s="768" t="s">
        <v>491</v>
      </c>
      <c r="AD202" s="768" t="s">
        <v>491</v>
      </c>
      <c r="AE202" s="768"/>
      <c r="AF202" s="768"/>
      <c r="AG202" s="769"/>
      <c r="AH202" s="597">
        <v>74</v>
      </c>
      <c r="AI202" s="598">
        <v>37</v>
      </c>
    </row>
    <row r="203" spans="1:35" ht="21.95" customHeight="1">
      <c r="A203" s="442">
        <v>3701</v>
      </c>
      <c r="B203" s="789" t="s">
        <v>786</v>
      </c>
      <c r="C203" s="768"/>
      <c r="D203" s="768"/>
      <c r="E203" s="768" t="s">
        <v>491</v>
      </c>
      <c r="F203" s="768" t="s">
        <v>491</v>
      </c>
      <c r="G203" s="768" t="s">
        <v>491</v>
      </c>
      <c r="H203" s="768" t="s">
        <v>491</v>
      </c>
      <c r="I203" s="768" t="s">
        <v>491</v>
      </c>
      <c r="J203" s="768"/>
      <c r="K203" s="768"/>
      <c r="L203" s="764">
        <v>19</v>
      </c>
      <c r="M203" s="764">
        <v>19</v>
      </c>
      <c r="N203" s="764">
        <v>19</v>
      </c>
      <c r="O203" s="764">
        <v>19</v>
      </c>
      <c r="P203" s="764">
        <v>19</v>
      </c>
      <c r="Q203" s="768"/>
      <c r="R203" s="768"/>
      <c r="S203" s="768" t="s">
        <v>491</v>
      </c>
      <c r="T203" s="768" t="s">
        <v>491</v>
      </c>
      <c r="U203" s="768" t="s">
        <v>491</v>
      </c>
      <c r="V203" s="768" t="s">
        <v>491</v>
      </c>
      <c r="W203" s="768" t="s">
        <v>491</v>
      </c>
      <c r="X203" s="768"/>
      <c r="Y203" s="768"/>
      <c r="Z203" s="768" t="s">
        <v>491</v>
      </c>
      <c r="AA203" s="768" t="s">
        <v>491</v>
      </c>
      <c r="AB203" s="768" t="s">
        <v>491</v>
      </c>
      <c r="AC203" s="768" t="s">
        <v>491</v>
      </c>
      <c r="AD203" s="768" t="s">
        <v>491</v>
      </c>
      <c r="AE203" s="768"/>
      <c r="AF203" s="768"/>
      <c r="AG203" s="769"/>
      <c r="AH203" s="597">
        <v>185</v>
      </c>
      <c r="AI203" s="598">
        <v>37</v>
      </c>
    </row>
    <row r="204" spans="1:35" ht="21.95" customHeight="1">
      <c r="A204" s="442">
        <v>3701</v>
      </c>
      <c r="B204" s="789" t="s">
        <v>438</v>
      </c>
      <c r="C204" s="768"/>
      <c r="D204" s="768"/>
      <c r="E204" s="768" t="s">
        <v>491</v>
      </c>
      <c r="F204" s="768" t="s">
        <v>491</v>
      </c>
      <c r="G204" s="871" t="s">
        <v>491</v>
      </c>
      <c r="H204" s="768" t="s">
        <v>491</v>
      </c>
      <c r="I204" s="768" t="s">
        <v>491</v>
      </c>
      <c r="J204" s="768"/>
      <c r="K204" s="768"/>
      <c r="L204" s="764" t="s">
        <v>485</v>
      </c>
      <c r="M204" s="964" t="s">
        <v>485</v>
      </c>
      <c r="N204" s="764" t="s">
        <v>485</v>
      </c>
      <c r="O204" s="764" t="s">
        <v>485</v>
      </c>
      <c r="P204" s="764" t="s">
        <v>485</v>
      </c>
      <c r="Q204" s="768"/>
      <c r="R204" s="768"/>
      <c r="S204" s="768" t="s">
        <v>491</v>
      </c>
      <c r="T204" s="768" t="s">
        <v>491</v>
      </c>
      <c r="U204" s="768" t="s">
        <v>491</v>
      </c>
      <c r="V204" s="768" t="s">
        <v>491</v>
      </c>
      <c r="W204" s="768" t="s">
        <v>491</v>
      </c>
      <c r="X204" s="768"/>
      <c r="Y204" s="768"/>
      <c r="Z204" s="768" t="s">
        <v>491</v>
      </c>
      <c r="AA204" s="768" t="s">
        <v>491</v>
      </c>
      <c r="AB204" s="768" t="s">
        <v>491</v>
      </c>
      <c r="AC204" s="768" t="s">
        <v>491</v>
      </c>
      <c r="AD204" s="768" t="s">
        <v>491</v>
      </c>
      <c r="AE204" s="768"/>
      <c r="AF204" s="768"/>
      <c r="AG204" s="769"/>
      <c r="AH204" s="597">
        <v>75.75</v>
      </c>
      <c r="AI204" s="598">
        <v>37</v>
      </c>
    </row>
    <row r="205" spans="1:35" ht="21.95" customHeight="1">
      <c r="A205" s="442">
        <v>3701</v>
      </c>
      <c r="B205" s="789" t="s">
        <v>439</v>
      </c>
      <c r="C205" s="768"/>
      <c r="D205" s="768"/>
      <c r="E205" s="764">
        <v>19</v>
      </c>
      <c r="F205" s="764">
        <v>19</v>
      </c>
      <c r="G205" s="764">
        <v>19</v>
      </c>
      <c r="H205" s="768">
        <v>19</v>
      </c>
      <c r="I205" s="764">
        <v>19</v>
      </c>
      <c r="J205" s="768"/>
      <c r="K205" s="768"/>
      <c r="L205" s="768" t="s">
        <v>491</v>
      </c>
      <c r="M205" s="768" t="s">
        <v>491</v>
      </c>
      <c r="N205" s="768" t="s">
        <v>491</v>
      </c>
      <c r="O205" s="768" t="s">
        <v>491</v>
      </c>
      <c r="P205" s="768" t="s">
        <v>491</v>
      </c>
      <c r="Q205" s="768"/>
      <c r="R205" s="768"/>
      <c r="S205" s="768" t="s">
        <v>491</v>
      </c>
      <c r="T205" s="768" t="s">
        <v>491</v>
      </c>
      <c r="U205" s="768" t="s">
        <v>491</v>
      </c>
      <c r="V205" s="768" t="s">
        <v>491</v>
      </c>
      <c r="W205" s="768" t="s">
        <v>491</v>
      </c>
      <c r="X205" s="768"/>
      <c r="Y205" s="768"/>
      <c r="Z205" s="768" t="s">
        <v>491</v>
      </c>
      <c r="AA205" s="768" t="s">
        <v>491</v>
      </c>
      <c r="AB205" s="768" t="s">
        <v>491</v>
      </c>
      <c r="AC205" s="768" t="s">
        <v>491</v>
      </c>
      <c r="AD205" s="768" t="s">
        <v>491</v>
      </c>
      <c r="AE205" s="768"/>
      <c r="AF205" s="768"/>
      <c r="AG205" s="769"/>
      <c r="AH205" s="597">
        <v>24</v>
      </c>
      <c r="AI205" s="598">
        <v>37</v>
      </c>
    </row>
    <row r="206" spans="1:35" ht="21.95" customHeight="1" thickBot="1">
      <c r="A206" s="442">
        <v>3701</v>
      </c>
      <c r="B206" s="789" t="s">
        <v>677</v>
      </c>
      <c r="C206" s="768"/>
      <c r="D206" s="768"/>
      <c r="E206" s="764" t="s">
        <v>485</v>
      </c>
      <c r="F206" s="764" t="s">
        <v>485</v>
      </c>
      <c r="G206" s="764" t="s">
        <v>485</v>
      </c>
      <c r="H206" s="764" t="s">
        <v>485</v>
      </c>
      <c r="I206" s="764" t="s">
        <v>485</v>
      </c>
      <c r="J206" s="768"/>
      <c r="K206" s="768"/>
      <c r="L206" s="768" t="s">
        <v>491</v>
      </c>
      <c r="M206" s="768" t="s">
        <v>491</v>
      </c>
      <c r="N206" s="768" t="s">
        <v>491</v>
      </c>
      <c r="O206" s="761" t="s">
        <v>491</v>
      </c>
      <c r="P206" s="768" t="s">
        <v>491</v>
      </c>
      <c r="Q206" s="768"/>
      <c r="R206" s="768"/>
      <c r="S206" s="768" t="s">
        <v>491</v>
      </c>
      <c r="T206" s="768" t="s">
        <v>491</v>
      </c>
      <c r="U206" s="768" t="s">
        <v>491</v>
      </c>
      <c r="V206" s="768" t="s">
        <v>491</v>
      </c>
      <c r="W206" s="768" t="s">
        <v>491</v>
      </c>
      <c r="X206" s="768"/>
      <c r="Y206" s="768"/>
      <c r="Z206" s="768" t="s">
        <v>491</v>
      </c>
      <c r="AA206" s="768" t="s">
        <v>491</v>
      </c>
      <c r="AB206" s="768" t="s">
        <v>491</v>
      </c>
      <c r="AC206" s="768" t="s">
        <v>491</v>
      </c>
      <c r="AD206" s="768" t="s">
        <v>491</v>
      </c>
      <c r="AE206" s="768"/>
      <c r="AF206" s="768"/>
      <c r="AG206" s="769"/>
      <c r="AH206" s="597">
        <v>84.25</v>
      </c>
      <c r="AI206" s="598">
        <v>37</v>
      </c>
    </row>
    <row r="207" spans="1:35" ht="21.95" customHeight="1">
      <c r="A207" s="442">
        <v>3701</v>
      </c>
      <c r="B207" s="542" t="s">
        <v>678</v>
      </c>
      <c r="C207" s="768"/>
      <c r="D207" s="768"/>
      <c r="E207" s="768" t="s">
        <v>491</v>
      </c>
      <c r="F207" s="768" t="s">
        <v>491</v>
      </c>
      <c r="G207" s="768" t="s">
        <v>491</v>
      </c>
      <c r="H207" s="768" t="s">
        <v>491</v>
      </c>
      <c r="I207" s="768" t="s">
        <v>491</v>
      </c>
      <c r="J207" s="768"/>
      <c r="K207" s="768"/>
      <c r="L207" s="768" t="s">
        <v>491</v>
      </c>
      <c r="M207" s="768" t="s">
        <v>491</v>
      </c>
      <c r="N207" s="768" t="s">
        <v>491</v>
      </c>
      <c r="O207" s="768" t="s">
        <v>491</v>
      </c>
      <c r="P207" s="768" t="s">
        <v>491</v>
      </c>
      <c r="Q207" s="768"/>
      <c r="R207" s="768"/>
      <c r="S207" s="764">
        <v>19</v>
      </c>
      <c r="T207" s="764">
        <v>19</v>
      </c>
      <c r="U207" s="764">
        <v>19</v>
      </c>
      <c r="V207" s="764">
        <v>19</v>
      </c>
      <c r="W207" s="764">
        <v>19</v>
      </c>
      <c r="X207" s="768"/>
      <c r="Y207" s="768"/>
      <c r="Z207" s="768" t="s">
        <v>491</v>
      </c>
      <c r="AA207" s="768" t="s">
        <v>491</v>
      </c>
      <c r="AB207" s="768" t="s">
        <v>491</v>
      </c>
      <c r="AC207" s="768" t="s">
        <v>491</v>
      </c>
      <c r="AD207" s="768" t="s">
        <v>491</v>
      </c>
      <c r="AE207" s="768"/>
      <c r="AF207" s="768"/>
      <c r="AG207" s="769"/>
      <c r="AH207" s="597">
        <v>23</v>
      </c>
      <c r="AI207" s="598">
        <v>37</v>
      </c>
    </row>
    <row r="208" spans="1:35" ht="21.95" customHeight="1">
      <c r="A208" s="442">
        <v>3701</v>
      </c>
      <c r="B208" s="821" t="s">
        <v>679</v>
      </c>
      <c r="C208" s="768"/>
      <c r="D208" s="768"/>
      <c r="E208" s="768" t="s">
        <v>491</v>
      </c>
      <c r="F208" s="768" t="s">
        <v>491</v>
      </c>
      <c r="G208" s="871" t="s">
        <v>491</v>
      </c>
      <c r="H208" s="768" t="s">
        <v>491</v>
      </c>
      <c r="I208" s="768" t="s">
        <v>491</v>
      </c>
      <c r="J208" s="768"/>
      <c r="K208" s="768"/>
      <c r="L208" s="768" t="s">
        <v>491</v>
      </c>
      <c r="M208" s="768" t="s">
        <v>491</v>
      </c>
      <c r="N208" s="768" t="s">
        <v>491</v>
      </c>
      <c r="O208" s="768" t="s">
        <v>491</v>
      </c>
      <c r="P208" s="768" t="s">
        <v>491</v>
      </c>
      <c r="Q208" s="768"/>
      <c r="R208" s="768"/>
      <c r="S208" s="768" t="s">
        <v>491</v>
      </c>
      <c r="T208" s="768" t="s">
        <v>491</v>
      </c>
      <c r="U208" s="768" t="s">
        <v>491</v>
      </c>
      <c r="V208" s="768" t="s">
        <v>491</v>
      </c>
      <c r="W208" s="768" t="s">
        <v>491</v>
      </c>
      <c r="X208" s="768"/>
      <c r="Y208" s="768"/>
      <c r="Z208" s="764">
        <v>19</v>
      </c>
      <c r="AA208" s="764">
        <v>19</v>
      </c>
      <c r="AB208" s="764">
        <v>19</v>
      </c>
      <c r="AC208" s="764">
        <v>19</v>
      </c>
      <c r="AD208" s="764">
        <v>19</v>
      </c>
      <c r="AE208" s="768"/>
      <c r="AF208" s="768"/>
      <c r="AG208" s="769"/>
      <c r="AH208" s="597">
        <v>78.25</v>
      </c>
      <c r="AI208" s="598">
        <v>37</v>
      </c>
    </row>
    <row r="209" spans="1:35" ht="21.95" customHeight="1">
      <c r="A209" s="820">
        <v>3701</v>
      </c>
      <c r="B209" s="792" t="s">
        <v>680</v>
      </c>
      <c r="C209" s="768"/>
      <c r="D209" s="768"/>
      <c r="E209" s="768" t="s">
        <v>491</v>
      </c>
      <c r="F209" s="768" t="s">
        <v>491</v>
      </c>
      <c r="G209" s="871" t="s">
        <v>491</v>
      </c>
      <c r="H209" s="768" t="s">
        <v>491</v>
      </c>
      <c r="I209" s="768" t="s">
        <v>491</v>
      </c>
      <c r="J209" s="768"/>
      <c r="K209" s="768"/>
      <c r="L209" s="768" t="s">
        <v>491</v>
      </c>
      <c r="M209" s="768" t="s">
        <v>491</v>
      </c>
      <c r="N209" s="768" t="s">
        <v>491</v>
      </c>
      <c r="O209" s="768" t="s">
        <v>491</v>
      </c>
      <c r="P209" s="768" t="s">
        <v>491</v>
      </c>
      <c r="Q209" s="768"/>
      <c r="R209" s="768"/>
      <c r="S209" s="768" t="s">
        <v>491</v>
      </c>
      <c r="T209" s="768" t="s">
        <v>491</v>
      </c>
      <c r="U209" s="768" t="s">
        <v>491</v>
      </c>
      <c r="V209" s="768" t="s">
        <v>491</v>
      </c>
      <c r="W209" s="768" t="s">
        <v>491</v>
      </c>
      <c r="X209" s="768"/>
      <c r="Y209" s="768"/>
      <c r="Z209" s="768" t="s">
        <v>491</v>
      </c>
      <c r="AA209" s="768" t="s">
        <v>491</v>
      </c>
      <c r="AB209" s="768" t="s">
        <v>491</v>
      </c>
      <c r="AC209" s="768" t="s">
        <v>491</v>
      </c>
      <c r="AD209" s="768" t="s">
        <v>491</v>
      </c>
      <c r="AE209" s="768"/>
      <c r="AF209" s="768"/>
      <c r="AG209" s="768"/>
      <c r="AH209" s="597">
        <v>74</v>
      </c>
      <c r="AI209" s="598">
        <v>37</v>
      </c>
    </row>
    <row r="210" spans="1:35" ht="21.95" customHeight="1" thickBot="1">
      <c r="A210" s="442">
        <v>3701</v>
      </c>
      <c r="B210" s="904" t="s">
        <v>681</v>
      </c>
      <c r="C210" s="768"/>
      <c r="D210" s="768"/>
      <c r="E210" s="768" t="s">
        <v>491</v>
      </c>
      <c r="F210" s="768" t="s">
        <v>491</v>
      </c>
      <c r="G210" s="768" t="s">
        <v>491</v>
      </c>
      <c r="H210" s="768" t="s">
        <v>491</v>
      </c>
      <c r="I210" s="768" t="s">
        <v>491</v>
      </c>
      <c r="J210" s="768"/>
      <c r="K210" s="768"/>
      <c r="L210" s="1038" t="s">
        <v>491</v>
      </c>
      <c r="M210" s="1038" t="s">
        <v>491</v>
      </c>
      <c r="N210" s="1038" t="s">
        <v>491</v>
      </c>
      <c r="O210" s="1068" t="s">
        <v>491</v>
      </c>
      <c r="P210" s="1038" t="s">
        <v>491</v>
      </c>
      <c r="Q210" s="768"/>
      <c r="R210" s="768"/>
      <c r="S210" s="768" t="s">
        <v>491</v>
      </c>
      <c r="T210" s="768" t="s">
        <v>491</v>
      </c>
      <c r="U210" s="768" t="s">
        <v>491</v>
      </c>
      <c r="V210" s="768" t="s">
        <v>491</v>
      </c>
      <c r="W210" s="768" t="s">
        <v>491</v>
      </c>
      <c r="X210" s="768"/>
      <c r="Y210" s="768"/>
      <c r="Z210" s="768" t="s">
        <v>491</v>
      </c>
      <c r="AA210" s="768" t="s">
        <v>491</v>
      </c>
      <c r="AB210" s="768" t="s">
        <v>491</v>
      </c>
      <c r="AC210" s="768" t="s">
        <v>491</v>
      </c>
      <c r="AD210" s="768" t="s">
        <v>491</v>
      </c>
      <c r="AE210" s="768"/>
      <c r="AF210" s="768"/>
      <c r="AG210" s="769"/>
      <c r="AH210" s="597">
        <v>185</v>
      </c>
      <c r="AI210" s="598">
        <v>37</v>
      </c>
    </row>
    <row r="211" spans="1:35" ht="21.95" customHeight="1">
      <c r="A211" s="442">
        <v>3701</v>
      </c>
      <c r="B211" s="789" t="s">
        <v>436</v>
      </c>
      <c r="C211" s="768"/>
      <c r="D211" s="768"/>
      <c r="E211" s="768" t="s">
        <v>491</v>
      </c>
      <c r="F211" s="768" t="s">
        <v>491</v>
      </c>
      <c r="G211" s="768" t="s">
        <v>491</v>
      </c>
      <c r="H211" s="768" t="s">
        <v>491</v>
      </c>
      <c r="I211" s="768" t="s">
        <v>491</v>
      </c>
      <c r="J211" s="768"/>
      <c r="K211" s="768"/>
      <c r="L211" s="768" t="s">
        <v>491</v>
      </c>
      <c r="M211" s="768" t="s">
        <v>491</v>
      </c>
      <c r="N211" s="768" t="s">
        <v>491</v>
      </c>
      <c r="O211" s="768" t="s">
        <v>491</v>
      </c>
      <c r="P211" s="768" t="s">
        <v>491</v>
      </c>
      <c r="Q211" s="768"/>
      <c r="R211" s="768"/>
      <c r="S211" s="768" t="s">
        <v>491</v>
      </c>
      <c r="T211" s="768" t="s">
        <v>491</v>
      </c>
      <c r="U211" s="768" t="s">
        <v>491</v>
      </c>
      <c r="V211" s="768" t="s">
        <v>491</v>
      </c>
      <c r="W211" s="768" t="s">
        <v>491</v>
      </c>
      <c r="X211" s="768"/>
      <c r="Y211" s="768"/>
      <c r="Z211" s="768" t="s">
        <v>491</v>
      </c>
      <c r="AA211" s="768" t="s">
        <v>491</v>
      </c>
      <c r="AB211" s="768" t="s">
        <v>491</v>
      </c>
      <c r="AC211" s="768" t="s">
        <v>491</v>
      </c>
      <c r="AD211" s="768" t="s">
        <v>491</v>
      </c>
      <c r="AE211" s="768"/>
      <c r="AF211" s="768"/>
      <c r="AG211" s="769"/>
      <c r="AH211" s="597">
        <v>185</v>
      </c>
      <c r="AI211" s="598">
        <v>37</v>
      </c>
    </row>
    <row r="212" spans="1:35" ht="21.95" customHeight="1" thickBot="1">
      <c r="A212" s="442">
        <v>3701</v>
      </c>
      <c r="B212" s="904" t="s">
        <v>787</v>
      </c>
      <c r="C212" s="768"/>
      <c r="D212" s="768"/>
      <c r="E212" s="768" t="s">
        <v>491</v>
      </c>
      <c r="F212" s="768" t="s">
        <v>491</v>
      </c>
      <c r="G212" s="768" t="s">
        <v>491</v>
      </c>
      <c r="H212" s="768" t="s">
        <v>491</v>
      </c>
      <c r="I212" s="768" t="s">
        <v>491</v>
      </c>
      <c r="J212" s="768"/>
      <c r="K212" s="768"/>
      <c r="L212" s="768" t="s">
        <v>491</v>
      </c>
      <c r="M212" s="768" t="s">
        <v>491</v>
      </c>
      <c r="N212" s="768" t="s">
        <v>491</v>
      </c>
      <c r="O212" s="768" t="s">
        <v>491</v>
      </c>
      <c r="P212" s="768" t="s">
        <v>491</v>
      </c>
      <c r="Q212" s="768"/>
      <c r="R212" s="768"/>
      <c r="S212" s="768" t="s">
        <v>491</v>
      </c>
      <c r="T212" s="768" t="s">
        <v>491</v>
      </c>
      <c r="U212" s="768" t="s">
        <v>491</v>
      </c>
      <c r="V212" s="768" t="s">
        <v>491</v>
      </c>
      <c r="W212" s="768" t="s">
        <v>491</v>
      </c>
      <c r="X212" s="768"/>
      <c r="Y212" s="768"/>
      <c r="Z212" s="768" t="s">
        <v>491</v>
      </c>
      <c r="AA212" s="768" t="s">
        <v>491</v>
      </c>
      <c r="AB212" s="768" t="s">
        <v>491</v>
      </c>
      <c r="AC212" s="768" t="s">
        <v>491</v>
      </c>
      <c r="AD212" s="768" t="s">
        <v>491</v>
      </c>
      <c r="AE212" s="768"/>
      <c r="AF212" s="768"/>
      <c r="AG212" s="769"/>
      <c r="AH212" s="597"/>
      <c r="AI212" s="598"/>
    </row>
    <row r="213" spans="1:35" ht="21.95" customHeight="1" thickBot="1">
      <c r="A213" s="903">
        <v>3701</v>
      </c>
      <c r="B213" s="904" t="s">
        <v>788</v>
      </c>
      <c r="C213" s="905"/>
      <c r="D213" s="905"/>
      <c r="E213" s="905"/>
      <c r="F213" s="905"/>
      <c r="G213" s="905"/>
      <c r="H213" s="905"/>
      <c r="I213" s="905"/>
      <c r="J213" s="905"/>
      <c r="K213" s="905"/>
      <c r="L213" s="905"/>
      <c r="M213" s="905"/>
      <c r="N213" s="905"/>
      <c r="O213" s="905"/>
      <c r="P213" s="905"/>
      <c r="Q213" s="905"/>
      <c r="R213" s="905"/>
      <c r="S213" s="905"/>
      <c r="T213" s="905"/>
      <c r="U213" s="905"/>
      <c r="V213" s="905"/>
      <c r="W213" s="905"/>
      <c r="X213" s="905"/>
      <c r="Y213" s="905"/>
      <c r="Z213" s="905"/>
      <c r="AA213" s="905"/>
      <c r="AB213" s="905"/>
      <c r="AC213" s="905"/>
      <c r="AD213" s="905"/>
      <c r="AE213" s="905"/>
      <c r="AF213" s="905"/>
      <c r="AG213" s="905"/>
      <c r="AH213" s="868"/>
      <c r="AI213" s="869"/>
    </row>
    <row r="214" spans="1:35" ht="21.95" customHeight="1">
      <c r="A214" s="574"/>
      <c r="B214" s="615"/>
      <c r="C214" s="555"/>
      <c r="D214" s="555"/>
      <c r="E214" s="555"/>
      <c r="F214" s="555"/>
      <c r="G214" s="555"/>
      <c r="H214" s="555"/>
      <c r="I214" s="555"/>
      <c r="J214" s="555"/>
      <c r="K214" s="517"/>
      <c r="L214" s="555"/>
      <c r="M214" s="555"/>
      <c r="N214" s="555"/>
      <c r="O214" s="555"/>
      <c r="P214" s="538"/>
      <c r="Q214" s="538"/>
      <c r="R214" s="538"/>
      <c r="S214" s="555"/>
      <c r="T214" s="555"/>
      <c r="U214" s="555"/>
      <c r="V214" s="555"/>
      <c r="W214" s="555"/>
      <c r="X214" s="555"/>
      <c r="Y214" s="555"/>
      <c r="Z214" s="555"/>
      <c r="AA214" s="555"/>
      <c r="AB214" s="555"/>
      <c r="AC214" s="555"/>
      <c r="AD214" s="555"/>
      <c r="AE214" s="555"/>
      <c r="AF214" s="555"/>
      <c r="AG214" s="555"/>
      <c r="AH214" s="556"/>
      <c r="AI214" s="556"/>
    </row>
    <row r="215" spans="1:35" ht="21" customHeight="1" thickBot="1">
      <c r="A215" s="1" t="s">
        <v>682</v>
      </c>
    </row>
    <row r="216" spans="1:35" ht="21" customHeight="1">
      <c r="B216" s="201" t="s">
        <v>664</v>
      </c>
      <c r="C216" s="7"/>
      <c r="D216" s="522" t="s">
        <v>2</v>
      </c>
      <c r="E216" s="51"/>
      <c r="F216" s="548"/>
      <c r="G216" s="7"/>
      <c r="H216" s="522" t="s">
        <v>3</v>
      </c>
      <c r="I216" s="51"/>
      <c r="J216" s="548"/>
      <c r="K216" s="7"/>
      <c r="L216" s="522" t="s">
        <v>4</v>
      </c>
      <c r="M216" s="51"/>
      <c r="N216" s="548"/>
      <c r="O216" s="7"/>
      <c r="P216" s="522" t="s">
        <v>5</v>
      </c>
      <c r="Q216" s="51"/>
      <c r="R216" s="548"/>
      <c r="S216" s="7"/>
      <c r="T216" s="522" t="s">
        <v>6</v>
      </c>
      <c r="U216" s="51"/>
      <c r="V216" s="548"/>
      <c r="W216" s="7"/>
      <c r="X216" s="522" t="s">
        <v>7</v>
      </c>
      <c r="Y216" s="51"/>
      <c r="Z216" s="548"/>
      <c r="AA216" s="7"/>
      <c r="AB216" s="522" t="s">
        <v>8</v>
      </c>
      <c r="AC216" s="51"/>
      <c r="AD216" s="51"/>
      <c r="AE216" s="425" t="s">
        <v>10</v>
      </c>
      <c r="AF216" s="51"/>
      <c r="AG216" s="51"/>
      <c r="AH216" s="51"/>
      <c r="AI216" s="523"/>
    </row>
    <row r="217" spans="1:35" ht="21" customHeight="1">
      <c r="B217" s="9">
        <v>8502</v>
      </c>
      <c r="C217" s="14" t="s">
        <v>11</v>
      </c>
      <c r="D217" s="603"/>
      <c r="E217" s="55"/>
      <c r="F217" s="602"/>
      <c r="G217" s="14" t="s">
        <v>11</v>
      </c>
      <c r="H217" s="603"/>
      <c r="I217" s="55"/>
      <c r="J217" s="602"/>
      <c r="K217" s="14" t="s">
        <v>11</v>
      </c>
      <c r="L217" s="603"/>
      <c r="M217" s="55"/>
      <c r="N217" s="602"/>
      <c r="O217" s="14" t="s">
        <v>11</v>
      </c>
      <c r="P217" s="603"/>
      <c r="Q217" s="55"/>
      <c r="R217" s="602"/>
      <c r="S217" s="14" t="s">
        <v>12</v>
      </c>
      <c r="T217" s="603"/>
      <c r="U217" s="55"/>
      <c r="V217" s="602"/>
      <c r="W217" s="14"/>
      <c r="X217" s="603"/>
      <c r="Y217" s="55"/>
      <c r="Z217" s="602"/>
      <c r="AA217" s="14"/>
      <c r="AB217" s="603"/>
      <c r="AC217" s="55"/>
      <c r="AD217" s="55"/>
      <c r="AE217" s="604"/>
      <c r="AF217" s="55"/>
      <c r="AG217" s="55"/>
      <c r="AH217" s="55"/>
      <c r="AI217" s="605"/>
    </row>
    <row r="218" spans="1:35" ht="21" customHeight="1">
      <c r="B218" s="606">
        <v>3701</v>
      </c>
      <c r="C218" s="121" t="s">
        <v>11</v>
      </c>
      <c r="D218" s="131"/>
      <c r="E218" s="55"/>
      <c r="F218" s="602"/>
      <c r="G218" s="121" t="s">
        <v>11</v>
      </c>
      <c r="H218" s="603"/>
      <c r="I218" s="55"/>
      <c r="J218" s="602"/>
      <c r="K218" s="121" t="s">
        <v>11</v>
      </c>
      <c r="L218" s="603"/>
      <c r="M218" s="55"/>
      <c r="N218" s="602"/>
      <c r="O218" s="121" t="s">
        <v>11</v>
      </c>
      <c r="P218" s="603"/>
      <c r="Q218" s="55"/>
      <c r="R218" s="602"/>
      <c r="S218" s="14" t="s">
        <v>12</v>
      </c>
      <c r="T218" s="603"/>
      <c r="U218" s="55"/>
      <c r="V218" s="602"/>
      <c r="W218" s="14"/>
      <c r="X218" s="603"/>
      <c r="Y218" s="55"/>
      <c r="Z218" s="602"/>
      <c r="AA218" s="14"/>
      <c r="AB218" s="603"/>
      <c r="AC218" s="55"/>
      <c r="AD218" s="55"/>
      <c r="AE218" s="604"/>
      <c r="AF218" s="55"/>
      <c r="AG218" s="55"/>
      <c r="AH218" s="55"/>
      <c r="AI218" s="605"/>
    </row>
    <row r="219" spans="1:35" ht="21" customHeight="1">
      <c r="B219" s="606">
        <v>3705</v>
      </c>
      <c r="C219" s="121" t="s">
        <v>147</v>
      </c>
      <c r="D219" s="131"/>
      <c r="E219" s="55"/>
      <c r="F219" s="602"/>
      <c r="G219" s="121" t="s">
        <v>147</v>
      </c>
      <c r="H219" s="603"/>
      <c r="I219" s="55"/>
      <c r="J219" s="602"/>
      <c r="K219" s="121" t="s">
        <v>147</v>
      </c>
      <c r="L219" s="603"/>
      <c r="M219" s="55"/>
      <c r="N219" s="602"/>
      <c r="O219" s="121" t="s">
        <v>147</v>
      </c>
      <c r="P219" s="603"/>
      <c r="Q219" s="55"/>
      <c r="R219" s="602"/>
      <c r="S219" s="121" t="s">
        <v>537</v>
      </c>
      <c r="T219" s="603"/>
      <c r="U219" s="55"/>
      <c r="V219" s="602"/>
      <c r="W219" s="14"/>
      <c r="X219" s="603"/>
      <c r="Y219" s="55"/>
      <c r="Z219" s="602"/>
      <c r="AA219" s="14"/>
      <c r="AB219" s="603"/>
      <c r="AC219" s="55"/>
      <c r="AD219" s="55"/>
      <c r="AE219" s="604"/>
      <c r="AF219" s="55"/>
      <c r="AG219" s="55"/>
      <c r="AH219" s="55"/>
      <c r="AI219" s="605"/>
    </row>
    <row r="220" spans="1:35" ht="21" customHeight="1">
      <c r="B220" s="606">
        <v>3702</v>
      </c>
      <c r="C220" s="563" t="s">
        <v>683</v>
      </c>
      <c r="D220" s="131"/>
      <c r="E220" s="55"/>
      <c r="F220" s="602"/>
      <c r="G220" s="563" t="s">
        <v>683</v>
      </c>
      <c r="H220" s="131"/>
      <c r="I220" s="55"/>
      <c r="J220" s="602"/>
      <c r="K220" s="563" t="s">
        <v>683</v>
      </c>
      <c r="L220" s="131"/>
      <c r="M220" s="55"/>
      <c r="N220" s="602"/>
      <c r="O220" s="563" t="s">
        <v>683</v>
      </c>
      <c r="P220" s="131"/>
      <c r="Q220" s="55"/>
      <c r="R220" s="602"/>
      <c r="S220" s="563" t="s">
        <v>270</v>
      </c>
      <c r="T220" s="131"/>
      <c r="U220" s="55"/>
      <c r="V220" s="602"/>
      <c r="W220" s="14"/>
      <c r="X220" s="603"/>
      <c r="Y220" s="55"/>
      <c r="Z220" s="602"/>
      <c r="AA220" s="14"/>
      <c r="AB220" s="603"/>
      <c r="AC220" s="55"/>
      <c r="AD220" s="55"/>
      <c r="AE220" s="604"/>
      <c r="AF220" s="55"/>
      <c r="AG220" s="55"/>
      <c r="AH220" s="55"/>
      <c r="AI220" s="605"/>
    </row>
    <row r="221" spans="1:35" ht="21" customHeight="1">
      <c r="B221" s="606"/>
      <c r="C221" s="563"/>
      <c r="D221" s="131"/>
      <c r="E221" s="55"/>
      <c r="F221" s="602"/>
      <c r="G221" s="603"/>
      <c r="H221" s="603"/>
      <c r="I221" s="55"/>
      <c r="J221" s="602"/>
      <c r="K221" s="603"/>
      <c r="L221" s="603"/>
      <c r="M221" s="55"/>
      <c r="N221" s="602"/>
      <c r="O221" s="603"/>
      <c r="P221" s="603"/>
      <c r="Q221" s="55"/>
      <c r="R221" s="602"/>
      <c r="S221" s="603"/>
      <c r="T221" s="603"/>
      <c r="U221" s="55"/>
      <c r="V221" s="602"/>
      <c r="W221" s="14"/>
      <c r="X221" s="603"/>
      <c r="Y221" s="55"/>
      <c r="Z221" s="602"/>
      <c r="AA221" s="14"/>
      <c r="AB221" s="603"/>
      <c r="AC221" s="55"/>
      <c r="AD221" s="55"/>
      <c r="AE221" s="604"/>
      <c r="AF221" s="55"/>
      <c r="AG221" s="55"/>
      <c r="AH221" s="55"/>
      <c r="AI221" s="605"/>
    </row>
    <row r="222" spans="1:35" ht="21" customHeight="1">
      <c r="B222" s="606" t="s">
        <v>324</v>
      </c>
      <c r="C222" s="563" t="s">
        <v>684</v>
      </c>
      <c r="D222" s="131"/>
      <c r="E222" s="55"/>
      <c r="F222" s="602"/>
      <c r="G222" s="563" t="s">
        <v>684</v>
      </c>
      <c r="H222" s="131"/>
      <c r="I222" s="55"/>
      <c r="J222" s="602"/>
      <c r="K222" s="563" t="s">
        <v>684</v>
      </c>
      <c r="L222" s="131"/>
      <c r="M222" s="55"/>
      <c r="N222" s="602"/>
      <c r="O222" s="563" t="s">
        <v>684</v>
      </c>
      <c r="P222" s="131"/>
      <c r="Q222" s="55"/>
      <c r="R222" s="602"/>
      <c r="S222" s="603" t="s">
        <v>685</v>
      </c>
      <c r="T222" s="603"/>
      <c r="U222" s="55"/>
      <c r="V222" s="602"/>
      <c r="W222" s="14"/>
      <c r="X222" s="603"/>
      <c r="Y222" s="55"/>
      <c r="Z222" s="602"/>
      <c r="AA222" s="14"/>
      <c r="AB222" s="603"/>
      <c r="AC222" s="55"/>
      <c r="AD222" s="55"/>
      <c r="AE222" s="604"/>
      <c r="AF222" s="55"/>
      <c r="AG222" s="55"/>
      <c r="AH222" s="55"/>
      <c r="AI222" s="605"/>
    </row>
    <row r="223" spans="1:35" ht="21" customHeight="1">
      <c r="B223" s="606" t="s">
        <v>325</v>
      </c>
      <c r="C223" s="563" t="s">
        <v>686</v>
      </c>
      <c r="D223" s="131"/>
      <c r="E223" s="55"/>
      <c r="F223" s="602"/>
      <c r="G223" s="563" t="s">
        <v>686</v>
      </c>
      <c r="H223" s="131"/>
      <c r="I223" s="55"/>
      <c r="J223" s="602"/>
      <c r="K223" s="563" t="s">
        <v>686</v>
      </c>
      <c r="L223" s="131"/>
      <c r="M223" s="55"/>
      <c r="N223" s="602"/>
      <c r="O223" s="563" t="s">
        <v>686</v>
      </c>
      <c r="P223" s="131"/>
      <c r="Q223" s="55"/>
      <c r="R223" s="602"/>
      <c r="S223" s="603" t="s">
        <v>687</v>
      </c>
      <c r="T223" s="603"/>
      <c r="U223" s="55"/>
      <c r="V223" s="602"/>
      <c r="W223" s="14"/>
      <c r="X223" s="603"/>
      <c r="Y223" s="55"/>
      <c r="Z223" s="602"/>
      <c r="AA223" s="14"/>
      <c r="AB223" s="603"/>
      <c r="AC223" s="55"/>
      <c r="AD223" s="55"/>
      <c r="AE223" s="604"/>
      <c r="AF223" s="55"/>
      <c r="AG223" s="55"/>
      <c r="AH223" s="55"/>
      <c r="AI223" s="605"/>
    </row>
    <row r="224" spans="1:35" ht="21" customHeight="1" thickBot="1">
      <c r="B224" s="611" t="s">
        <v>326</v>
      </c>
      <c r="C224" s="570" t="s">
        <v>688</v>
      </c>
      <c r="D224" s="48"/>
      <c r="E224" s="616"/>
      <c r="F224" s="240"/>
      <c r="G224" s="570" t="s">
        <v>688</v>
      </c>
      <c r="H224" s="48"/>
      <c r="I224" s="616"/>
      <c r="J224" s="240"/>
      <c r="K224" s="570" t="s">
        <v>688</v>
      </c>
      <c r="L224" s="48"/>
      <c r="M224" s="616"/>
      <c r="N224" s="240"/>
      <c r="O224" s="570" t="s">
        <v>688</v>
      </c>
      <c r="P224" s="48"/>
      <c r="Q224" s="616"/>
      <c r="R224" s="240"/>
      <c r="S224" s="149" t="s">
        <v>689</v>
      </c>
      <c r="T224" s="149"/>
      <c r="U224" s="616"/>
      <c r="V224" s="240"/>
      <c r="W224" s="617"/>
      <c r="X224" s="149"/>
      <c r="Y224" s="616"/>
      <c r="Z224" s="240"/>
      <c r="AA224" s="617"/>
      <c r="AB224" s="149"/>
      <c r="AC224" s="616"/>
      <c r="AD224" s="616"/>
      <c r="AE224" s="618"/>
      <c r="AF224" s="616"/>
      <c r="AG224" s="616"/>
      <c r="AH224" s="616"/>
      <c r="AI224" s="619"/>
    </row>
    <row r="225" spans="1:35" ht="21" customHeight="1">
      <c r="B225" s="274"/>
      <c r="C225" s="312"/>
      <c r="D225" s="72"/>
      <c r="G225" s="312"/>
      <c r="H225" s="72"/>
      <c r="K225" s="312"/>
      <c r="L225" s="72"/>
      <c r="O225" s="312"/>
      <c r="P225" s="72"/>
      <c r="S225" s="312"/>
      <c r="T225" s="312"/>
      <c r="X225" s="312"/>
      <c r="AB225" s="312"/>
      <c r="AE225" s="312"/>
    </row>
    <row r="226" spans="1:35" ht="21" customHeight="1" thickBot="1">
      <c r="A226" s="620" t="s">
        <v>789</v>
      </c>
    </row>
    <row r="227" spans="1:35" ht="21" customHeight="1" thickBot="1">
      <c r="A227" s="861"/>
      <c r="B227" s="862" t="s">
        <v>476</v>
      </c>
      <c r="C227" s="880">
        <v>1</v>
      </c>
      <c r="D227" s="880">
        <v>2</v>
      </c>
      <c r="E227" s="863">
        <v>3</v>
      </c>
      <c r="F227" s="863">
        <v>4</v>
      </c>
      <c r="G227" s="863">
        <v>5</v>
      </c>
      <c r="H227" s="863">
        <v>6</v>
      </c>
      <c r="I227" s="863">
        <v>7</v>
      </c>
      <c r="J227" s="880">
        <v>8</v>
      </c>
      <c r="K227" s="880">
        <v>9</v>
      </c>
      <c r="L227" s="863">
        <v>10</v>
      </c>
      <c r="M227" s="863">
        <v>11</v>
      </c>
      <c r="N227" s="863">
        <v>12</v>
      </c>
      <c r="O227" s="863">
        <v>13</v>
      </c>
      <c r="P227" s="863">
        <v>14</v>
      </c>
      <c r="Q227" s="880">
        <v>15</v>
      </c>
      <c r="R227" s="880">
        <v>16</v>
      </c>
      <c r="S227" s="863">
        <v>17</v>
      </c>
      <c r="T227" s="863">
        <v>18</v>
      </c>
      <c r="U227" s="863">
        <v>19</v>
      </c>
      <c r="V227" s="863">
        <v>20</v>
      </c>
      <c r="W227" s="863">
        <v>21</v>
      </c>
      <c r="X227" s="880">
        <v>22</v>
      </c>
      <c r="Y227" s="880">
        <v>23</v>
      </c>
      <c r="Z227" s="863">
        <v>24</v>
      </c>
      <c r="AA227" s="863">
        <v>25</v>
      </c>
      <c r="AB227" s="863">
        <v>26</v>
      </c>
      <c r="AC227" s="863">
        <v>27</v>
      </c>
      <c r="AD227" s="863">
        <v>28</v>
      </c>
      <c r="AE227" s="880">
        <v>29</v>
      </c>
      <c r="AF227" s="880">
        <v>30</v>
      </c>
      <c r="AG227" s="943"/>
      <c r="AH227" s="864" t="s">
        <v>477</v>
      </c>
      <c r="AI227" s="865" t="s">
        <v>478</v>
      </c>
    </row>
    <row r="228" spans="1:35" ht="21" customHeight="1">
      <c r="A228" s="438">
        <v>3702</v>
      </c>
      <c r="B228" s="54" t="s">
        <v>691</v>
      </c>
      <c r="C228" s="871"/>
      <c r="D228" s="871"/>
      <c r="E228" s="871">
        <v>2</v>
      </c>
      <c r="F228" s="871">
        <v>2</v>
      </c>
      <c r="G228" s="871">
        <v>2</v>
      </c>
      <c r="H228" s="871">
        <v>2</v>
      </c>
      <c r="I228" s="871">
        <v>2</v>
      </c>
      <c r="J228" s="871"/>
      <c r="K228" s="871"/>
      <c r="L228" s="764">
        <v>1</v>
      </c>
      <c r="M228" s="764">
        <v>1</v>
      </c>
      <c r="N228" s="871">
        <v>1</v>
      </c>
      <c r="O228" s="871">
        <v>1</v>
      </c>
      <c r="P228" s="871">
        <v>1</v>
      </c>
      <c r="Q228" s="871"/>
      <c r="R228" s="871"/>
      <c r="S228" s="871">
        <v>2</v>
      </c>
      <c r="T228" s="871">
        <v>2</v>
      </c>
      <c r="U228" s="871">
        <v>2</v>
      </c>
      <c r="V228" s="871">
        <v>2</v>
      </c>
      <c r="W228" s="871">
        <v>2</v>
      </c>
      <c r="X228" s="871"/>
      <c r="Y228" s="871"/>
      <c r="Z228" s="871">
        <v>1</v>
      </c>
      <c r="AA228" s="871">
        <v>1</v>
      </c>
      <c r="AB228" s="871">
        <v>1</v>
      </c>
      <c r="AC228" s="871">
        <v>1</v>
      </c>
      <c r="AD228" s="764">
        <v>1</v>
      </c>
      <c r="AE228" s="871"/>
      <c r="AF228" s="871"/>
      <c r="AG228" s="871"/>
      <c r="AH228" s="510">
        <v>30</v>
      </c>
      <c r="AI228" s="511">
        <v>32</v>
      </c>
    </row>
    <row r="229" spans="1:35" ht="21" customHeight="1">
      <c r="A229" s="442">
        <v>3701</v>
      </c>
      <c r="B229" s="153" t="s">
        <v>692</v>
      </c>
      <c r="C229" s="762"/>
      <c r="D229" s="762"/>
      <c r="E229" s="762" t="s">
        <v>491</v>
      </c>
      <c r="F229" s="762" t="s">
        <v>491</v>
      </c>
      <c r="G229" s="762" t="s">
        <v>491</v>
      </c>
      <c r="H229" s="762" t="s">
        <v>491</v>
      </c>
      <c r="I229" s="762" t="s">
        <v>491</v>
      </c>
      <c r="J229" s="762"/>
      <c r="K229" s="762"/>
      <c r="L229" s="768" t="s">
        <v>491</v>
      </c>
      <c r="M229" s="768" t="s">
        <v>491</v>
      </c>
      <c r="N229" s="762" t="s">
        <v>491</v>
      </c>
      <c r="O229" s="762" t="s">
        <v>491</v>
      </c>
      <c r="P229" s="762" t="s">
        <v>491</v>
      </c>
      <c r="Q229" s="762"/>
      <c r="R229" s="762"/>
      <c r="S229" s="762" t="s">
        <v>491</v>
      </c>
      <c r="T229" s="762" t="s">
        <v>491</v>
      </c>
      <c r="U229" s="762" t="s">
        <v>491</v>
      </c>
      <c r="V229" s="762" t="s">
        <v>491</v>
      </c>
      <c r="W229" s="762" t="s">
        <v>491</v>
      </c>
      <c r="X229" s="762"/>
      <c r="Y229" s="762"/>
      <c r="Z229" s="1015" t="s">
        <v>491</v>
      </c>
      <c r="AA229" s="1015" t="s">
        <v>714</v>
      </c>
      <c r="AB229" s="762" t="s">
        <v>491</v>
      </c>
      <c r="AC229" s="762" t="s">
        <v>491</v>
      </c>
      <c r="AD229" s="762" t="s">
        <v>491</v>
      </c>
      <c r="AE229" s="762"/>
      <c r="AF229" s="762"/>
      <c r="AG229" s="762"/>
      <c r="AH229" s="924">
        <v>74</v>
      </c>
      <c r="AI229" s="925">
        <v>37</v>
      </c>
    </row>
    <row r="230" spans="1:35" ht="21" customHeight="1">
      <c r="A230" s="442">
        <v>3702</v>
      </c>
      <c r="B230" s="153" t="s">
        <v>693</v>
      </c>
      <c r="C230" s="762"/>
      <c r="D230" s="762"/>
      <c r="E230" s="762">
        <v>1</v>
      </c>
      <c r="F230" s="762">
        <v>1</v>
      </c>
      <c r="G230" s="762">
        <v>1</v>
      </c>
      <c r="H230" s="762">
        <v>1</v>
      </c>
      <c r="I230" s="762">
        <v>1</v>
      </c>
      <c r="J230" s="762"/>
      <c r="K230" s="762"/>
      <c r="L230" s="768">
        <v>2</v>
      </c>
      <c r="M230" s="768">
        <v>2</v>
      </c>
      <c r="N230" s="762">
        <v>2</v>
      </c>
      <c r="O230" s="768">
        <v>2</v>
      </c>
      <c r="P230" s="762">
        <v>2</v>
      </c>
      <c r="Q230" s="762"/>
      <c r="R230" s="762"/>
      <c r="S230" s="762">
        <v>1</v>
      </c>
      <c r="T230" s="762">
        <v>1</v>
      </c>
      <c r="U230" s="762">
        <v>1</v>
      </c>
      <c r="V230" s="762">
        <v>1</v>
      </c>
      <c r="W230" s="762">
        <v>1</v>
      </c>
      <c r="X230" s="762"/>
      <c r="Y230" s="762"/>
      <c r="Z230" s="762">
        <v>2</v>
      </c>
      <c r="AA230" s="762">
        <v>2</v>
      </c>
      <c r="AB230" s="762">
        <v>2</v>
      </c>
      <c r="AC230" s="762">
        <v>2</v>
      </c>
      <c r="AD230" s="768">
        <v>2</v>
      </c>
      <c r="AE230" s="762"/>
      <c r="AF230" s="762"/>
      <c r="AG230" s="762"/>
      <c r="AH230" s="924">
        <v>140.5</v>
      </c>
      <c r="AI230" s="925">
        <v>7.5</v>
      </c>
    </row>
    <row r="231" spans="1:35" ht="21" customHeight="1">
      <c r="A231" s="621">
        <v>3706</v>
      </c>
      <c r="B231" s="854" t="s">
        <v>694</v>
      </c>
      <c r="C231" s="768"/>
      <c r="D231" s="768"/>
      <c r="E231" s="768"/>
      <c r="F231" s="768"/>
      <c r="G231" s="768"/>
      <c r="H231" s="768"/>
      <c r="I231" s="768"/>
      <c r="J231" s="768"/>
      <c r="K231" s="768"/>
      <c r="L231" s="768"/>
      <c r="M231" s="768"/>
      <c r="N231" s="768"/>
      <c r="O231" s="768"/>
      <c r="P231" s="768"/>
      <c r="Q231" s="768"/>
      <c r="R231" s="768"/>
      <c r="S231" s="768"/>
      <c r="T231" s="768"/>
      <c r="U231" s="768"/>
      <c r="V231" s="768"/>
      <c r="W231" s="768"/>
      <c r="X231" s="768"/>
      <c r="Y231" s="768"/>
      <c r="Z231" s="768"/>
      <c r="AA231" s="768"/>
      <c r="AB231" s="768"/>
      <c r="AC231" s="768"/>
      <c r="AD231" s="768"/>
      <c r="AE231" s="768"/>
      <c r="AF231" s="768"/>
      <c r="AG231" s="768"/>
      <c r="AH231" s="924">
        <v>111</v>
      </c>
      <c r="AI231" s="925">
        <v>37</v>
      </c>
    </row>
    <row r="232" spans="1:35" ht="21" customHeight="1">
      <c r="A232" s="622"/>
      <c r="B232" s="623" t="s">
        <v>695</v>
      </c>
      <c r="C232" s="940"/>
      <c r="D232" s="940"/>
      <c r="E232" s="940"/>
      <c r="F232" s="940"/>
      <c r="G232" s="940"/>
      <c r="H232" s="940"/>
      <c r="I232" s="940"/>
      <c r="J232" s="940"/>
      <c r="K232" s="940"/>
      <c r="L232" s="940"/>
      <c r="M232" s="940"/>
      <c r="N232" s="940"/>
      <c r="O232" s="940"/>
      <c r="P232" s="940"/>
      <c r="Q232" s="940"/>
      <c r="R232" s="940"/>
      <c r="S232" s="940"/>
      <c r="T232" s="940"/>
      <c r="U232" s="940"/>
      <c r="V232" s="940"/>
      <c r="W232" s="940"/>
      <c r="X232" s="940"/>
      <c r="Y232" s="940"/>
      <c r="Z232" s="940"/>
      <c r="AA232" s="940"/>
      <c r="AB232" s="940"/>
      <c r="AC232" s="940"/>
      <c r="AD232" s="940"/>
      <c r="AE232" s="940"/>
      <c r="AF232" s="940"/>
      <c r="AG232" s="922"/>
      <c r="AH232" s="624"/>
      <c r="AI232" s="625"/>
    </row>
    <row r="233" spans="1:35" ht="21" customHeight="1">
      <c r="A233" s="442">
        <v>3702</v>
      </c>
      <c r="B233" s="793" t="s">
        <v>696</v>
      </c>
      <c r="C233" s="762"/>
      <c r="D233" s="762"/>
      <c r="E233" s="762" t="s">
        <v>697</v>
      </c>
      <c r="F233" s="762" t="s">
        <v>697</v>
      </c>
      <c r="G233" s="871" t="s">
        <v>697</v>
      </c>
      <c r="H233" s="762" t="s">
        <v>697</v>
      </c>
      <c r="I233" s="762" t="s">
        <v>697</v>
      </c>
      <c r="J233" s="762"/>
      <c r="K233" s="762"/>
      <c r="L233" s="762" t="s">
        <v>697</v>
      </c>
      <c r="M233" s="762" t="s">
        <v>697</v>
      </c>
      <c r="N233" s="762" t="s">
        <v>697</v>
      </c>
      <c r="O233" s="762" t="s">
        <v>697</v>
      </c>
      <c r="P233" s="762" t="s">
        <v>697</v>
      </c>
      <c r="Q233" s="762"/>
      <c r="R233" s="762"/>
      <c r="S233" s="762" t="s">
        <v>697</v>
      </c>
      <c r="T233" s="762" t="s">
        <v>697</v>
      </c>
      <c r="U233" s="762" t="s">
        <v>697</v>
      </c>
      <c r="V233" s="762" t="s">
        <v>697</v>
      </c>
      <c r="W233" s="762" t="s">
        <v>697</v>
      </c>
      <c r="X233" s="762"/>
      <c r="Y233" s="762"/>
      <c r="Z233" s="762" t="s">
        <v>697</v>
      </c>
      <c r="AA233" s="762" t="s">
        <v>697</v>
      </c>
      <c r="AB233" s="762" t="s">
        <v>697</v>
      </c>
      <c r="AC233" s="762" t="s">
        <v>697</v>
      </c>
      <c r="AD233" s="762" t="s">
        <v>697</v>
      </c>
      <c r="AE233" s="762"/>
      <c r="AF233" s="762"/>
      <c r="AG233" s="762"/>
      <c r="AH233" s="924">
        <v>74</v>
      </c>
      <c r="AI233" s="925">
        <v>37</v>
      </c>
    </row>
    <row r="234" spans="1:35" ht="21" customHeight="1">
      <c r="A234" s="442"/>
      <c r="B234" s="153" t="s">
        <v>698</v>
      </c>
      <c r="C234" s="762"/>
      <c r="D234" s="762"/>
      <c r="E234" s="762" t="s">
        <v>699</v>
      </c>
      <c r="F234" s="762" t="s">
        <v>699</v>
      </c>
      <c r="G234" s="762" t="s">
        <v>699</v>
      </c>
      <c r="H234" s="762" t="s">
        <v>699</v>
      </c>
      <c r="I234" s="762" t="s">
        <v>699</v>
      </c>
      <c r="J234" s="762"/>
      <c r="K234" s="762"/>
      <c r="L234" s="762" t="s">
        <v>699</v>
      </c>
      <c r="M234" s="762" t="s">
        <v>699</v>
      </c>
      <c r="N234" s="762" t="s">
        <v>699</v>
      </c>
      <c r="O234" s="966" t="s">
        <v>699</v>
      </c>
      <c r="P234" s="966" t="s">
        <v>699</v>
      </c>
      <c r="Q234" s="966"/>
      <c r="R234" s="966"/>
      <c r="S234" s="966" t="s">
        <v>699</v>
      </c>
      <c r="T234" s="966" t="s">
        <v>699</v>
      </c>
      <c r="U234" s="966" t="s">
        <v>699</v>
      </c>
      <c r="V234" s="966" t="s">
        <v>699</v>
      </c>
      <c r="W234" s="966" t="s">
        <v>699</v>
      </c>
      <c r="X234" s="762"/>
      <c r="Y234" s="762"/>
      <c r="Z234" s="762" t="s">
        <v>699</v>
      </c>
      <c r="AA234" s="762" t="s">
        <v>699</v>
      </c>
      <c r="AB234" s="762" t="s">
        <v>699</v>
      </c>
      <c r="AC234" s="762" t="s">
        <v>699</v>
      </c>
      <c r="AD234" s="762" t="s">
        <v>699</v>
      </c>
      <c r="AE234" s="762"/>
      <c r="AF234" s="762"/>
      <c r="AG234" s="762"/>
      <c r="AH234" s="924">
        <v>32</v>
      </c>
      <c r="AI234" s="925">
        <v>37</v>
      </c>
    </row>
    <row r="235" spans="1:35" ht="21" customHeight="1" thickBot="1">
      <c r="A235" s="906"/>
      <c r="B235" s="895" t="s">
        <v>700</v>
      </c>
      <c r="C235" s="875"/>
      <c r="D235" s="875"/>
      <c r="E235" s="875" t="s">
        <v>701</v>
      </c>
      <c r="F235" s="875" t="s">
        <v>701</v>
      </c>
      <c r="G235" s="875" t="s">
        <v>701</v>
      </c>
      <c r="H235" s="875" t="s">
        <v>701</v>
      </c>
      <c r="I235" s="875" t="s">
        <v>701</v>
      </c>
      <c r="J235" s="875"/>
      <c r="K235" s="875"/>
      <c r="L235" s="875" t="s">
        <v>701</v>
      </c>
      <c r="M235" s="875" t="s">
        <v>701</v>
      </c>
      <c r="N235" s="875" t="s">
        <v>701</v>
      </c>
      <c r="O235" s="762" t="s">
        <v>701</v>
      </c>
      <c r="P235" s="875" t="s">
        <v>701</v>
      </c>
      <c r="Q235" s="875"/>
      <c r="R235" s="875"/>
      <c r="S235" s="875" t="s">
        <v>701</v>
      </c>
      <c r="T235" s="875" t="s">
        <v>701</v>
      </c>
      <c r="U235" s="875" t="s">
        <v>701</v>
      </c>
      <c r="V235" s="875" t="s">
        <v>701</v>
      </c>
      <c r="W235" s="875" t="s">
        <v>701</v>
      </c>
      <c r="X235" s="875"/>
      <c r="Y235" s="875"/>
      <c r="Z235" s="875" t="s">
        <v>701</v>
      </c>
      <c r="AA235" s="875" t="s">
        <v>701</v>
      </c>
      <c r="AB235" s="875" t="s">
        <v>701</v>
      </c>
      <c r="AC235" s="875" t="s">
        <v>701</v>
      </c>
      <c r="AD235" s="875" t="s">
        <v>701</v>
      </c>
      <c r="AE235" s="875"/>
      <c r="AF235" s="875"/>
      <c r="AG235" s="875"/>
      <c r="AH235" s="868">
        <v>96.5</v>
      </c>
      <c r="AI235" s="869">
        <v>37</v>
      </c>
    </row>
    <row r="236" spans="1:35" ht="21" customHeight="1"/>
    <row r="237" spans="1:35" ht="21" customHeight="1"/>
    <row r="238" spans="1:35" ht="21" customHeight="1" thickBot="1">
      <c r="A238" s="1" t="s">
        <v>702</v>
      </c>
    </row>
    <row r="239" spans="1:35" ht="21" customHeight="1">
      <c r="B239" s="201" t="s">
        <v>664</v>
      </c>
      <c r="C239" s="7"/>
      <c r="D239" s="522" t="s">
        <v>2</v>
      </c>
      <c r="E239" s="51"/>
      <c r="F239" s="548"/>
      <c r="G239" s="7"/>
      <c r="H239" s="522" t="s">
        <v>3</v>
      </c>
      <c r="I239" s="51"/>
      <c r="J239" s="548"/>
      <c r="K239" s="7"/>
      <c r="L239" s="522" t="s">
        <v>4</v>
      </c>
      <c r="M239" s="51"/>
      <c r="N239" s="548"/>
      <c r="O239" s="7"/>
      <c r="P239" s="522" t="s">
        <v>5</v>
      </c>
      <c r="Q239" s="51"/>
      <c r="R239" s="548"/>
      <c r="S239" s="7"/>
      <c r="T239" s="522" t="s">
        <v>6</v>
      </c>
      <c r="U239" s="51"/>
      <c r="V239" s="548"/>
      <c r="W239" s="7"/>
      <c r="X239" s="522" t="s">
        <v>7</v>
      </c>
      <c r="Y239" s="51"/>
      <c r="Z239" s="548"/>
      <c r="AA239" s="7"/>
      <c r="AB239" s="522" t="s">
        <v>8</v>
      </c>
      <c r="AC239" s="51"/>
      <c r="AD239" s="51"/>
      <c r="AE239" s="425" t="s">
        <v>10</v>
      </c>
      <c r="AF239" s="51"/>
      <c r="AG239" s="51"/>
      <c r="AH239" s="51"/>
      <c r="AI239" s="523"/>
    </row>
    <row r="240" spans="1:35" ht="21" customHeight="1">
      <c r="B240" s="9">
        <v>8500</v>
      </c>
      <c r="C240" s="121" t="s">
        <v>33</v>
      </c>
      <c r="D240" s="603"/>
      <c r="E240" s="55"/>
      <c r="F240" s="602"/>
      <c r="G240" s="121" t="s">
        <v>33</v>
      </c>
      <c r="H240" s="603"/>
      <c r="I240" s="55"/>
      <c r="J240" s="602"/>
      <c r="K240" s="121" t="s">
        <v>33</v>
      </c>
      <c r="L240" s="603"/>
      <c r="M240" s="55"/>
      <c r="N240" s="602"/>
      <c r="O240" s="121" t="s">
        <v>33</v>
      </c>
      <c r="P240" s="603"/>
      <c r="Q240" s="55"/>
      <c r="R240" s="602"/>
      <c r="S240" s="121" t="s">
        <v>34</v>
      </c>
      <c r="T240" s="603"/>
      <c r="U240" s="55"/>
      <c r="V240" s="602"/>
      <c r="W240" s="14"/>
      <c r="X240" s="603"/>
      <c r="Y240" s="55"/>
      <c r="Z240" s="602"/>
      <c r="AA240" s="14"/>
      <c r="AB240" s="603"/>
      <c r="AC240" s="55"/>
      <c r="AD240" s="55"/>
      <c r="AE240" s="604"/>
      <c r="AF240" s="55"/>
      <c r="AG240" s="55"/>
      <c r="AH240" s="55"/>
      <c r="AI240" s="605"/>
    </row>
    <row r="241" spans="1:35" ht="21" customHeight="1" thickBot="1">
      <c r="B241" s="163" t="s">
        <v>703</v>
      </c>
      <c r="C241" s="626" t="s">
        <v>704</v>
      </c>
      <c r="D241" s="627"/>
      <c r="E241" s="616"/>
      <c r="F241" s="240"/>
      <c r="G241" s="626" t="s">
        <v>704</v>
      </c>
      <c r="H241" s="149"/>
      <c r="I241" s="616"/>
      <c r="J241" s="240"/>
      <c r="K241" s="626" t="s">
        <v>704</v>
      </c>
      <c r="L241" s="149"/>
      <c r="M241" s="616"/>
      <c r="N241" s="240"/>
      <c r="O241" s="626" t="s">
        <v>705</v>
      </c>
      <c r="P241" s="149"/>
      <c r="Q241" s="616"/>
      <c r="R241" s="240"/>
      <c r="S241" s="626" t="s">
        <v>16</v>
      </c>
      <c r="T241" s="149"/>
      <c r="U241" s="616"/>
      <c r="V241" s="240"/>
      <c r="W241" s="617"/>
      <c r="X241" s="149"/>
      <c r="Y241" s="616"/>
      <c r="Z241" s="240"/>
      <c r="AA241" s="617"/>
      <c r="AB241" s="149"/>
      <c r="AC241" s="616"/>
      <c r="AD241" s="616"/>
      <c r="AE241" s="618"/>
      <c r="AF241" s="616"/>
      <c r="AG241" s="616"/>
      <c r="AH241" s="616"/>
      <c r="AI241" s="619"/>
    </row>
    <row r="242" spans="1:35" ht="21" customHeight="1" thickBot="1">
      <c r="A242" s="60" t="s">
        <v>789</v>
      </c>
    </row>
    <row r="243" spans="1:35" ht="21" customHeight="1" thickBot="1">
      <c r="A243" s="911"/>
      <c r="B243" s="862" t="s">
        <v>476</v>
      </c>
      <c r="C243" s="880">
        <v>1</v>
      </c>
      <c r="D243" s="880">
        <v>2</v>
      </c>
      <c r="E243" s="863">
        <v>3</v>
      </c>
      <c r="F243" s="863">
        <v>4</v>
      </c>
      <c r="G243" s="863">
        <v>5</v>
      </c>
      <c r="H243" s="863">
        <v>6</v>
      </c>
      <c r="I243" s="863">
        <v>7</v>
      </c>
      <c r="J243" s="880">
        <v>8</v>
      </c>
      <c r="K243" s="880">
        <v>9</v>
      </c>
      <c r="L243" s="863">
        <v>10</v>
      </c>
      <c r="M243" s="863">
        <v>11</v>
      </c>
      <c r="N243" s="863">
        <v>12</v>
      </c>
      <c r="O243" s="863">
        <v>13</v>
      </c>
      <c r="P243" s="863">
        <v>14</v>
      </c>
      <c r="Q243" s="880">
        <v>15</v>
      </c>
      <c r="R243" s="880">
        <v>16</v>
      </c>
      <c r="S243" s="863">
        <v>17</v>
      </c>
      <c r="T243" s="863">
        <v>18</v>
      </c>
      <c r="U243" s="863">
        <v>19</v>
      </c>
      <c r="V243" s="863">
        <v>20</v>
      </c>
      <c r="W243" s="863">
        <v>21</v>
      </c>
      <c r="X243" s="880">
        <v>22</v>
      </c>
      <c r="Y243" s="880">
        <v>23</v>
      </c>
      <c r="Z243" s="863">
        <v>24</v>
      </c>
      <c r="AA243" s="863">
        <v>25</v>
      </c>
      <c r="AB243" s="863">
        <v>26</v>
      </c>
      <c r="AC243" s="863">
        <v>27</v>
      </c>
      <c r="AD243" s="863">
        <v>28</v>
      </c>
      <c r="AE243" s="880">
        <v>29</v>
      </c>
      <c r="AF243" s="880">
        <v>30</v>
      </c>
      <c r="AG243" s="943"/>
      <c r="AH243" s="864" t="s">
        <v>477</v>
      </c>
      <c r="AI243" s="865" t="s">
        <v>478</v>
      </c>
    </row>
    <row r="244" spans="1:35" ht="21" customHeight="1">
      <c r="A244" s="14">
        <v>8500</v>
      </c>
      <c r="B244" s="908" t="s">
        <v>707</v>
      </c>
      <c r="C244" s="768"/>
      <c r="D244" s="768"/>
      <c r="E244" s="768" t="s">
        <v>491</v>
      </c>
      <c r="F244" s="768" t="s">
        <v>491</v>
      </c>
      <c r="G244" s="762" t="s">
        <v>491</v>
      </c>
      <c r="H244" s="768" t="s">
        <v>491</v>
      </c>
      <c r="I244" s="768" t="s">
        <v>491</v>
      </c>
      <c r="J244" s="768"/>
      <c r="K244" s="768"/>
      <c r="L244" s="1038" t="s">
        <v>493</v>
      </c>
      <c r="M244" s="768" t="s">
        <v>491</v>
      </c>
      <c r="N244" s="768" t="s">
        <v>491</v>
      </c>
      <c r="O244" s="768" t="s">
        <v>491</v>
      </c>
      <c r="P244" s="768" t="s">
        <v>491</v>
      </c>
      <c r="Q244" s="768"/>
      <c r="R244" s="768"/>
      <c r="S244" s="1038" t="s">
        <v>491</v>
      </c>
      <c r="T244" s="1038" t="s">
        <v>491</v>
      </c>
      <c r="U244" s="1038" t="s">
        <v>493</v>
      </c>
      <c r="V244" s="987" t="s">
        <v>491</v>
      </c>
      <c r="W244" s="987" t="s">
        <v>491</v>
      </c>
      <c r="X244" s="768"/>
      <c r="Y244" s="768"/>
      <c r="Z244" s="768" t="s">
        <v>491</v>
      </c>
      <c r="AA244" s="768" t="s">
        <v>491</v>
      </c>
      <c r="AB244" s="768" t="s">
        <v>491</v>
      </c>
      <c r="AC244" s="768" t="s">
        <v>491</v>
      </c>
      <c r="AD244" s="768" t="s">
        <v>491</v>
      </c>
      <c r="AE244" s="768"/>
      <c r="AF244" s="768"/>
      <c r="AG244" s="768"/>
      <c r="AH244" s="909">
        <v>97.5</v>
      </c>
      <c r="AI244" s="910">
        <v>37</v>
      </c>
    </row>
    <row r="245" spans="1:35" ht="21" customHeight="1">
      <c r="A245" s="500" t="s">
        <v>708</v>
      </c>
      <c r="B245" s="153" t="s">
        <v>709</v>
      </c>
      <c r="C245" s="762"/>
      <c r="D245" s="762"/>
      <c r="E245" s="966" t="s">
        <v>491</v>
      </c>
      <c r="F245" s="762" t="s">
        <v>491</v>
      </c>
      <c r="G245" s="871" t="s">
        <v>491</v>
      </c>
      <c r="H245" s="762" t="s">
        <v>491</v>
      </c>
      <c r="I245" s="762" t="s">
        <v>491</v>
      </c>
      <c r="J245" s="762"/>
      <c r="K245" s="762"/>
      <c r="L245" s="762" t="s">
        <v>491</v>
      </c>
      <c r="M245" s="762" t="s">
        <v>491</v>
      </c>
      <c r="N245" s="768" t="s">
        <v>491</v>
      </c>
      <c r="O245" s="768" t="s">
        <v>491</v>
      </c>
      <c r="P245" s="762" t="s">
        <v>481</v>
      </c>
      <c r="Q245" s="762"/>
      <c r="R245" s="762"/>
      <c r="S245" s="762" t="s">
        <v>491</v>
      </c>
      <c r="T245" s="762" t="s">
        <v>491</v>
      </c>
      <c r="U245" s="762" t="s">
        <v>491</v>
      </c>
      <c r="V245" s="762" t="s">
        <v>491</v>
      </c>
      <c r="W245" s="762" t="s">
        <v>491</v>
      </c>
      <c r="X245" s="762"/>
      <c r="Y245" s="762"/>
      <c r="Z245" s="762" t="s">
        <v>491</v>
      </c>
      <c r="AA245" s="762" t="s">
        <v>491</v>
      </c>
      <c r="AB245" s="768" t="s">
        <v>491</v>
      </c>
      <c r="AC245" s="768" t="s">
        <v>491</v>
      </c>
      <c r="AD245" s="762" t="s">
        <v>481</v>
      </c>
      <c r="AE245" s="762"/>
      <c r="AF245" s="762"/>
      <c r="AG245" s="762"/>
      <c r="AH245" s="628">
        <v>69</v>
      </c>
      <c r="AI245" s="629">
        <v>37</v>
      </c>
    </row>
    <row r="246" spans="1:35" ht="21.95" customHeight="1">
      <c r="A246" s="442"/>
      <c r="B246" s="153" t="s">
        <v>710</v>
      </c>
      <c r="C246" s="762"/>
      <c r="D246" s="762"/>
      <c r="E246" s="762" t="s">
        <v>491</v>
      </c>
      <c r="F246" s="762" t="s">
        <v>491</v>
      </c>
      <c r="G246" s="762" t="s">
        <v>491</v>
      </c>
      <c r="H246" s="762" t="s">
        <v>491</v>
      </c>
      <c r="I246" s="762" t="s">
        <v>491</v>
      </c>
      <c r="J246" s="762"/>
      <c r="K246" s="762"/>
      <c r="L246" s="762" t="s">
        <v>491</v>
      </c>
      <c r="M246" s="762" t="s">
        <v>491</v>
      </c>
      <c r="N246" s="768" t="s">
        <v>491</v>
      </c>
      <c r="O246" s="768" t="s">
        <v>491</v>
      </c>
      <c r="P246" s="762" t="s">
        <v>491</v>
      </c>
      <c r="Q246" s="762"/>
      <c r="R246" s="762"/>
      <c r="S246" s="762" t="s">
        <v>491</v>
      </c>
      <c r="T246" s="762" t="s">
        <v>491</v>
      </c>
      <c r="U246" s="762" t="s">
        <v>491</v>
      </c>
      <c r="V246" s="762" t="s">
        <v>491</v>
      </c>
      <c r="W246" s="762" t="s">
        <v>491</v>
      </c>
      <c r="X246" s="762"/>
      <c r="Y246" s="762"/>
      <c r="Z246" s="762" t="s">
        <v>491</v>
      </c>
      <c r="AA246" s="762" t="s">
        <v>491</v>
      </c>
      <c r="AB246" s="768" t="s">
        <v>491</v>
      </c>
      <c r="AC246" s="768" t="s">
        <v>491</v>
      </c>
      <c r="AD246" s="762" t="s">
        <v>491</v>
      </c>
      <c r="AE246" s="762"/>
      <c r="AF246" s="762"/>
      <c r="AG246" s="762"/>
      <c r="AH246" s="628">
        <v>111</v>
      </c>
      <c r="AI246" s="629">
        <v>37</v>
      </c>
    </row>
    <row r="247" spans="1:35" ht="21.95" customHeight="1">
      <c r="A247" s="516">
        <v>3701</v>
      </c>
      <c r="B247" s="134" t="s">
        <v>711</v>
      </c>
      <c r="C247" s="848"/>
      <c r="D247" s="848"/>
      <c r="E247" s="848" t="s">
        <v>491</v>
      </c>
      <c r="F247" s="848" t="s">
        <v>491</v>
      </c>
      <c r="G247" s="848" t="s">
        <v>491</v>
      </c>
      <c r="H247" s="848" t="s">
        <v>491</v>
      </c>
      <c r="I247" s="848" t="s">
        <v>491</v>
      </c>
      <c r="J247" s="848"/>
      <c r="K247" s="848"/>
      <c r="L247" s="848" t="s">
        <v>491</v>
      </c>
      <c r="M247" s="848" t="s">
        <v>491</v>
      </c>
      <c r="N247" s="772" t="s">
        <v>491</v>
      </c>
      <c r="O247" s="768" t="s">
        <v>491</v>
      </c>
      <c r="P247" s="848" t="s">
        <v>491</v>
      </c>
      <c r="Q247" s="848"/>
      <c r="R247" s="848"/>
      <c r="S247" s="848" t="s">
        <v>491</v>
      </c>
      <c r="T247" s="848" t="s">
        <v>491</v>
      </c>
      <c r="U247" s="848" t="s">
        <v>491</v>
      </c>
      <c r="V247" s="848" t="s">
        <v>491</v>
      </c>
      <c r="W247" s="848" t="s">
        <v>491</v>
      </c>
      <c r="X247" s="848"/>
      <c r="Y247" s="848"/>
      <c r="Z247" s="848" t="s">
        <v>491</v>
      </c>
      <c r="AA247" s="848" t="s">
        <v>491</v>
      </c>
      <c r="AB247" s="772" t="s">
        <v>491</v>
      </c>
      <c r="AC247" s="772" t="s">
        <v>491</v>
      </c>
      <c r="AD247" s="848" t="s">
        <v>491</v>
      </c>
      <c r="AE247" s="848"/>
      <c r="AF247" s="848"/>
      <c r="AG247" s="848"/>
      <c r="AH247" s="849">
        <v>103.5</v>
      </c>
      <c r="AI247" s="850">
        <v>37</v>
      </c>
    </row>
    <row r="248" spans="1:35" ht="21" customHeight="1">
      <c r="A248" s="793">
        <v>8500</v>
      </c>
      <c r="B248" s="227" t="s">
        <v>712</v>
      </c>
      <c r="C248" s="852"/>
      <c r="D248" s="852"/>
      <c r="E248" s="852" t="s">
        <v>491</v>
      </c>
      <c r="F248" s="852" t="s">
        <v>491</v>
      </c>
      <c r="G248" s="852" t="s">
        <v>491</v>
      </c>
      <c r="H248" s="852" t="s">
        <v>491</v>
      </c>
      <c r="I248" s="852" t="s">
        <v>491</v>
      </c>
      <c r="J248" s="852"/>
      <c r="K248" s="852"/>
      <c r="L248" s="852" t="s">
        <v>491</v>
      </c>
      <c r="M248" s="852" t="s">
        <v>491</v>
      </c>
      <c r="N248" s="782" t="s">
        <v>491</v>
      </c>
      <c r="O248" s="782" t="s">
        <v>491</v>
      </c>
      <c r="P248" s="852" t="s">
        <v>491</v>
      </c>
      <c r="Q248" s="852"/>
      <c r="R248" s="852"/>
      <c r="S248" s="1189" t="s">
        <v>491</v>
      </c>
      <c r="T248" s="1189" t="s">
        <v>491</v>
      </c>
      <c r="U248" s="1189" t="s">
        <v>493</v>
      </c>
      <c r="V248" s="852" t="s">
        <v>491</v>
      </c>
      <c r="W248" s="852" t="s">
        <v>491</v>
      </c>
      <c r="X248" s="852"/>
      <c r="Y248" s="852"/>
      <c r="Z248" s="852" t="s">
        <v>491</v>
      </c>
      <c r="AA248" s="852" t="s">
        <v>491</v>
      </c>
      <c r="AB248" s="782" t="s">
        <v>491</v>
      </c>
      <c r="AC248" s="782" t="s">
        <v>491</v>
      </c>
      <c r="AD248" s="852" t="s">
        <v>491</v>
      </c>
      <c r="AE248" s="852"/>
      <c r="AF248" s="852"/>
      <c r="AG248" s="852"/>
      <c r="AH248" s="849">
        <v>103.5</v>
      </c>
      <c r="AI248" s="850">
        <v>37</v>
      </c>
    </row>
    <row r="249" spans="1:35" ht="21.95" customHeight="1">
      <c r="A249" s="856">
        <v>3350</v>
      </c>
      <c r="B249" s="855" t="s">
        <v>713</v>
      </c>
      <c r="C249" s="852"/>
      <c r="D249" s="852"/>
      <c r="E249" s="852" t="s">
        <v>491</v>
      </c>
      <c r="F249" s="852" t="s">
        <v>491</v>
      </c>
      <c r="G249" s="852" t="s">
        <v>491</v>
      </c>
      <c r="H249" s="852" t="s">
        <v>491</v>
      </c>
      <c r="I249" s="1189" t="s">
        <v>765</v>
      </c>
      <c r="J249" s="852"/>
      <c r="K249" s="852"/>
      <c r="L249" s="852" t="s">
        <v>491</v>
      </c>
      <c r="M249" s="852" t="s">
        <v>491</v>
      </c>
      <c r="N249" s="782" t="s">
        <v>491</v>
      </c>
      <c r="O249" s="782" t="s">
        <v>491</v>
      </c>
      <c r="P249" s="852" t="s">
        <v>491</v>
      </c>
      <c r="Q249" s="852"/>
      <c r="R249" s="852"/>
      <c r="S249" s="852" t="s">
        <v>491</v>
      </c>
      <c r="T249" s="852" t="s">
        <v>491</v>
      </c>
      <c r="U249" s="1189" t="s">
        <v>493</v>
      </c>
      <c r="V249" s="851" t="s">
        <v>491</v>
      </c>
      <c r="W249" s="851" t="s">
        <v>491</v>
      </c>
      <c r="X249" s="852"/>
      <c r="Y249" s="852"/>
      <c r="Z249" s="852" t="s">
        <v>491</v>
      </c>
      <c r="AA249" s="852" t="s">
        <v>491</v>
      </c>
      <c r="AB249" s="782" t="s">
        <v>491</v>
      </c>
      <c r="AC249" s="782" t="s">
        <v>491</v>
      </c>
      <c r="AD249" s="852" t="s">
        <v>491</v>
      </c>
      <c r="AE249" s="852"/>
      <c r="AF249" s="852"/>
      <c r="AG249" s="852"/>
      <c r="AH249" s="849">
        <v>148</v>
      </c>
      <c r="AI249" s="850">
        <v>37</v>
      </c>
    </row>
    <row r="250" spans="1:35" ht="21.95" customHeight="1">
      <c r="A250" s="1136"/>
      <c r="B250" s="1137"/>
      <c r="C250" s="1138"/>
      <c r="D250" s="1138"/>
      <c r="E250" s="1138" t="s">
        <v>491</v>
      </c>
      <c r="F250" s="1138" t="s">
        <v>491</v>
      </c>
      <c r="G250" s="1138" t="s">
        <v>491</v>
      </c>
      <c r="H250" s="1138" t="s">
        <v>491</v>
      </c>
      <c r="I250" s="1138" t="s">
        <v>491</v>
      </c>
      <c r="J250" s="1138"/>
      <c r="K250" s="1138"/>
      <c r="L250" s="1138" t="s">
        <v>491</v>
      </c>
      <c r="M250" s="1138" t="s">
        <v>491</v>
      </c>
      <c r="N250" s="1139" t="s">
        <v>491</v>
      </c>
      <c r="O250" s="1139" t="s">
        <v>491</v>
      </c>
      <c r="P250" s="1138" t="s">
        <v>491</v>
      </c>
      <c r="Q250" s="1138"/>
      <c r="R250" s="1138"/>
      <c r="S250" s="1138" t="s">
        <v>491</v>
      </c>
      <c r="T250" s="1138" t="s">
        <v>491</v>
      </c>
      <c r="U250" s="1138" t="s">
        <v>491</v>
      </c>
      <c r="V250" s="1138" t="s">
        <v>491</v>
      </c>
      <c r="W250" s="1138" t="s">
        <v>491</v>
      </c>
      <c r="X250" s="1138"/>
      <c r="Y250" s="1138"/>
      <c r="Z250" s="1138" t="s">
        <v>491</v>
      </c>
      <c r="AA250" s="1138" t="s">
        <v>491</v>
      </c>
      <c r="AB250" s="1139" t="s">
        <v>491</v>
      </c>
      <c r="AC250" s="1139" t="s">
        <v>491</v>
      </c>
      <c r="AD250" s="1138" t="s">
        <v>491</v>
      </c>
      <c r="AE250" s="1138"/>
      <c r="AF250" s="1138"/>
      <c r="AG250" s="1138"/>
      <c r="AH250" s="849"/>
      <c r="AI250" s="850"/>
    </row>
    <row r="251" spans="1:35" ht="21.95" customHeight="1">
      <c r="A251" s="856"/>
      <c r="B251" s="1142" t="s">
        <v>763</v>
      </c>
      <c r="C251" s="852"/>
      <c r="D251" s="852"/>
      <c r="E251" s="852" t="s">
        <v>491</v>
      </c>
      <c r="F251" s="852" t="s">
        <v>491</v>
      </c>
      <c r="G251" s="852" t="s">
        <v>491</v>
      </c>
      <c r="H251" s="852" t="s">
        <v>491</v>
      </c>
      <c r="I251" s="852" t="s">
        <v>491</v>
      </c>
      <c r="J251" s="852"/>
      <c r="K251" s="852"/>
      <c r="L251" s="852" t="s">
        <v>491</v>
      </c>
      <c r="M251" s="852" t="s">
        <v>491</v>
      </c>
      <c r="N251" s="782" t="s">
        <v>491</v>
      </c>
      <c r="O251" s="782" t="s">
        <v>491</v>
      </c>
      <c r="P251" s="852" t="s">
        <v>491</v>
      </c>
      <c r="Q251" s="852"/>
      <c r="R251" s="852"/>
      <c r="S251" s="852" t="s">
        <v>491</v>
      </c>
      <c r="T251" s="852" t="s">
        <v>491</v>
      </c>
      <c r="U251" s="852" t="s">
        <v>491</v>
      </c>
      <c r="V251" s="852" t="s">
        <v>491</v>
      </c>
      <c r="W251" s="852" t="s">
        <v>491</v>
      </c>
      <c r="X251" s="852"/>
      <c r="Y251" s="852"/>
      <c r="Z251" s="852" t="s">
        <v>491</v>
      </c>
      <c r="AA251" s="852" t="s">
        <v>491</v>
      </c>
      <c r="AB251" s="782" t="s">
        <v>491</v>
      </c>
      <c r="AC251" s="782" t="s">
        <v>491</v>
      </c>
      <c r="AD251" s="852" t="s">
        <v>491</v>
      </c>
      <c r="AE251" s="852"/>
      <c r="AF251" s="852"/>
      <c r="AG251" s="852"/>
      <c r="AH251" s="1141"/>
      <c r="AI251" s="1141"/>
    </row>
    <row r="252" spans="1:35" ht="21.95" customHeight="1">
      <c r="A252" s="793"/>
      <c r="B252" s="1142" t="s">
        <v>764</v>
      </c>
      <c r="C252" s="793"/>
      <c r="D252" s="793"/>
      <c r="E252" s="852" t="s">
        <v>491</v>
      </c>
      <c r="F252" s="852" t="s">
        <v>491</v>
      </c>
      <c r="G252" s="852" t="s">
        <v>491</v>
      </c>
      <c r="H252" s="852" t="s">
        <v>491</v>
      </c>
      <c r="I252" s="852" t="s">
        <v>491</v>
      </c>
      <c r="J252" s="852"/>
      <c r="K252" s="852"/>
      <c r="L252" s="852" t="s">
        <v>491</v>
      </c>
      <c r="M252" s="852" t="s">
        <v>491</v>
      </c>
      <c r="N252" s="782" t="s">
        <v>491</v>
      </c>
      <c r="O252" s="782" t="s">
        <v>491</v>
      </c>
      <c r="P252" s="852" t="s">
        <v>491</v>
      </c>
      <c r="Q252" s="852"/>
      <c r="R252" s="852"/>
      <c r="S252" s="852" t="s">
        <v>491</v>
      </c>
      <c r="T252" s="852" t="s">
        <v>491</v>
      </c>
      <c r="U252" s="852" t="s">
        <v>491</v>
      </c>
      <c r="V252" s="852" t="s">
        <v>491</v>
      </c>
      <c r="W252" s="852" t="s">
        <v>491</v>
      </c>
      <c r="X252" s="852"/>
      <c r="Y252" s="852"/>
      <c r="Z252" s="852" t="s">
        <v>491</v>
      </c>
      <c r="AA252" s="852" t="s">
        <v>491</v>
      </c>
      <c r="AB252" s="782" t="s">
        <v>491</v>
      </c>
      <c r="AC252" s="782" t="s">
        <v>491</v>
      </c>
      <c r="AD252" s="852" t="s">
        <v>491</v>
      </c>
      <c r="AE252" s="793"/>
      <c r="AF252" s="793"/>
      <c r="AG252" s="852"/>
      <c r="AH252" s="1141"/>
      <c r="AI252" s="793"/>
    </row>
    <row r="254" spans="1:35" ht="25.5" customHeight="1" thickBot="1">
      <c r="A254" s="1" t="s">
        <v>716</v>
      </c>
    </row>
    <row r="255" spans="1:35" ht="21" customHeight="1">
      <c r="A255" s="1"/>
      <c r="B255" s="201" t="s">
        <v>664</v>
      </c>
      <c r="C255" s="7"/>
      <c r="D255" s="522" t="s">
        <v>2</v>
      </c>
      <c r="E255" s="51"/>
      <c r="F255" s="548"/>
      <c r="G255" s="7"/>
      <c r="H255" s="522" t="s">
        <v>3</v>
      </c>
      <c r="I255" s="51"/>
      <c r="J255" s="548"/>
      <c r="K255" s="7"/>
      <c r="L255" s="522" t="s">
        <v>4</v>
      </c>
      <c r="M255" s="51"/>
      <c r="N255" s="548"/>
      <c r="O255" s="7"/>
      <c r="P255" s="522" t="s">
        <v>5</v>
      </c>
      <c r="Q255" s="51"/>
      <c r="R255" s="548"/>
      <c r="S255" s="7"/>
      <c r="T255" s="522" t="s">
        <v>6</v>
      </c>
      <c r="U255" s="51"/>
      <c r="V255" s="548"/>
      <c r="W255" s="7"/>
      <c r="X255" s="522" t="s">
        <v>7</v>
      </c>
      <c r="Y255" s="51"/>
      <c r="Z255" s="548"/>
      <c r="AA255" s="7"/>
      <c r="AB255" s="522" t="s">
        <v>8</v>
      </c>
      <c r="AC255" s="51"/>
      <c r="AD255" s="51"/>
      <c r="AE255" s="425" t="s">
        <v>10</v>
      </c>
      <c r="AF255" s="51"/>
      <c r="AG255" s="51"/>
      <c r="AH255" s="51"/>
      <c r="AI255" s="523"/>
    </row>
    <row r="256" spans="1:35" ht="21" customHeight="1">
      <c r="A256" s="1"/>
      <c r="B256" s="9"/>
      <c r="C256" s="14"/>
      <c r="D256" s="603"/>
      <c r="E256" s="55"/>
      <c r="F256" s="602"/>
      <c r="G256" s="14"/>
      <c r="H256" s="603"/>
      <c r="I256" s="55"/>
      <c r="J256" s="602"/>
      <c r="K256" s="14"/>
      <c r="L256" s="603"/>
      <c r="M256" s="55"/>
      <c r="N256" s="602"/>
      <c r="O256" s="14"/>
      <c r="P256" s="603"/>
      <c r="Q256" s="55"/>
      <c r="R256" s="602"/>
      <c r="S256" s="14"/>
      <c r="T256" s="603"/>
      <c r="U256" s="55"/>
      <c r="V256" s="602"/>
      <c r="W256" s="14"/>
      <c r="X256" s="603"/>
      <c r="Y256" s="55"/>
      <c r="Z256" s="602"/>
      <c r="AA256" s="14"/>
      <c r="AB256" s="603"/>
      <c r="AC256" s="55"/>
      <c r="AD256" s="55"/>
      <c r="AE256" s="604"/>
      <c r="AF256" s="55"/>
      <c r="AG256" s="55"/>
      <c r="AH256" s="55"/>
      <c r="AI256" s="605"/>
    </row>
    <row r="257" spans="1:35" ht="21" customHeight="1">
      <c r="B257" s="606"/>
      <c r="C257" s="121"/>
      <c r="D257" s="157"/>
      <c r="E257" s="157"/>
      <c r="F257" s="564"/>
      <c r="G257" s="121"/>
      <c r="H257" s="157"/>
      <c r="I257" s="157"/>
      <c r="J257" s="564"/>
      <c r="K257" s="121"/>
      <c r="L257" s="157"/>
      <c r="M257" s="157"/>
      <c r="N257" s="564"/>
      <c r="O257" s="121"/>
      <c r="P257" s="157"/>
      <c r="Q257" s="157"/>
      <c r="R257" s="564"/>
      <c r="S257" s="121"/>
      <c r="T257" s="157"/>
      <c r="U257" s="157"/>
      <c r="V257" s="564"/>
      <c r="W257" s="121"/>
      <c r="X257" s="157"/>
      <c r="Y257" s="157"/>
      <c r="Z257" s="564"/>
      <c r="AA257" s="563"/>
      <c r="AB257" s="157"/>
      <c r="AC257" s="157"/>
      <c r="AD257" s="565"/>
      <c r="AE257" s="607"/>
      <c r="AF257" s="157"/>
      <c r="AG257" s="157" t="s">
        <v>28</v>
      </c>
      <c r="AH257" s="565"/>
      <c r="AI257" s="490"/>
    </row>
    <row r="258" spans="1:35" ht="21" customHeight="1" thickBot="1">
      <c r="A258" s="1"/>
      <c r="B258" s="47"/>
      <c r="C258" s="570"/>
      <c r="D258" s="53"/>
      <c r="E258" s="53"/>
      <c r="F258" s="571"/>
      <c r="G258" s="570"/>
      <c r="H258" s="53"/>
      <c r="I258" s="53"/>
      <c r="J258" s="571"/>
      <c r="K258" s="570"/>
      <c r="L258" s="53"/>
      <c r="M258" s="53"/>
      <c r="N258" s="571"/>
      <c r="O258" s="570"/>
      <c r="P258" s="53"/>
      <c r="Q258" s="53"/>
      <c r="R258" s="571"/>
      <c r="S258" s="570"/>
      <c r="T258" s="53"/>
      <c r="U258" s="53"/>
      <c r="V258" s="571"/>
      <c r="W258" s="57"/>
      <c r="X258" s="53"/>
      <c r="Y258" s="53"/>
      <c r="Z258" s="571"/>
      <c r="AA258" s="57"/>
      <c r="AB258" s="53"/>
      <c r="AC258" s="53"/>
      <c r="AD258" s="573"/>
      <c r="AE258" s="57"/>
      <c r="AF258" s="53"/>
      <c r="AG258" s="53"/>
      <c r="AH258" s="573"/>
      <c r="AI258" s="536"/>
    </row>
    <row r="259" spans="1:35" ht="33" customHeight="1" thickBot="1">
      <c r="A259" s="1" t="s">
        <v>790</v>
      </c>
      <c r="B259" s="72"/>
      <c r="C259" s="312"/>
      <c r="F259" s="354"/>
      <c r="G259" s="312"/>
      <c r="J259" s="354"/>
      <c r="K259" s="312"/>
      <c r="N259" s="354"/>
      <c r="O259" s="312"/>
      <c r="R259" s="354"/>
      <c r="S259" s="312"/>
      <c r="V259" s="354"/>
      <c r="W259" s="354"/>
      <c r="Z259" s="354"/>
      <c r="AA259" s="354"/>
      <c r="AD259" s="354"/>
      <c r="AE259" s="354"/>
      <c r="AH259" s="354"/>
    </row>
    <row r="260" spans="1:35" ht="21" customHeight="1" thickBot="1">
      <c r="A260" s="861" t="s">
        <v>475</v>
      </c>
      <c r="B260" s="862" t="s">
        <v>476</v>
      </c>
      <c r="C260" s="880">
        <v>1</v>
      </c>
      <c r="D260" s="880">
        <v>2</v>
      </c>
      <c r="E260" s="863">
        <v>3</v>
      </c>
      <c r="F260" s="863">
        <v>4</v>
      </c>
      <c r="G260" s="863">
        <v>5</v>
      </c>
      <c r="H260" s="863">
        <v>6</v>
      </c>
      <c r="I260" s="863">
        <v>7</v>
      </c>
      <c r="J260" s="880">
        <v>8</v>
      </c>
      <c r="K260" s="880">
        <v>9</v>
      </c>
      <c r="L260" s="863">
        <v>10</v>
      </c>
      <c r="M260" s="863">
        <v>11</v>
      </c>
      <c r="N260" s="863">
        <v>12</v>
      </c>
      <c r="O260" s="863">
        <v>13</v>
      </c>
      <c r="P260" s="863">
        <v>14</v>
      </c>
      <c r="Q260" s="880">
        <v>15</v>
      </c>
      <c r="R260" s="880">
        <v>16</v>
      </c>
      <c r="S260" s="863">
        <v>17</v>
      </c>
      <c r="T260" s="863">
        <v>18</v>
      </c>
      <c r="U260" s="863">
        <v>19</v>
      </c>
      <c r="V260" s="863">
        <v>20</v>
      </c>
      <c r="W260" s="863">
        <v>21</v>
      </c>
      <c r="X260" s="880">
        <v>22</v>
      </c>
      <c r="Y260" s="880">
        <v>23</v>
      </c>
      <c r="Z260" s="863">
        <v>24</v>
      </c>
      <c r="AA260" s="863">
        <v>25</v>
      </c>
      <c r="AB260" s="863">
        <v>26</v>
      </c>
      <c r="AC260" s="863">
        <v>27</v>
      </c>
      <c r="AD260" s="863">
        <v>28</v>
      </c>
      <c r="AE260" s="880">
        <v>29</v>
      </c>
      <c r="AF260" s="880">
        <v>30</v>
      </c>
      <c r="AG260" s="943"/>
      <c r="AH260" s="864" t="s">
        <v>477</v>
      </c>
      <c r="AI260" s="865" t="s">
        <v>478</v>
      </c>
    </row>
    <row r="261" spans="1:35" ht="21" customHeight="1" thickBot="1">
      <c r="A261" s="438"/>
      <c r="B261" s="916" t="s">
        <v>718</v>
      </c>
      <c r="C261" s="768"/>
      <c r="D261" s="768"/>
      <c r="E261" s="768" t="s">
        <v>491</v>
      </c>
      <c r="F261" s="768" t="s">
        <v>491</v>
      </c>
      <c r="G261" s="768" t="s">
        <v>491</v>
      </c>
      <c r="H261" s="768" t="s">
        <v>491</v>
      </c>
      <c r="I261" s="768" t="s">
        <v>491</v>
      </c>
      <c r="J261" s="768"/>
      <c r="K261" s="768"/>
      <c r="L261" s="768" t="s">
        <v>491</v>
      </c>
      <c r="M261" s="768" t="s">
        <v>491</v>
      </c>
      <c r="N261" s="768" t="s">
        <v>491</v>
      </c>
      <c r="O261" s="761" t="s">
        <v>491</v>
      </c>
      <c r="P261" s="768" t="s">
        <v>491</v>
      </c>
      <c r="Q261" s="768"/>
      <c r="R261" s="768"/>
      <c r="S261" s="768" t="s">
        <v>491</v>
      </c>
      <c r="T261" s="768" t="s">
        <v>491</v>
      </c>
      <c r="U261" s="768" t="s">
        <v>491</v>
      </c>
      <c r="V261" s="768" t="s">
        <v>491</v>
      </c>
      <c r="W261" s="768" t="s">
        <v>491</v>
      </c>
      <c r="X261" s="768"/>
      <c r="Y261" s="768"/>
      <c r="Z261" s="768" t="s">
        <v>491</v>
      </c>
      <c r="AA261" s="768" t="s">
        <v>491</v>
      </c>
      <c r="AB261" s="768" t="s">
        <v>491</v>
      </c>
      <c r="AC261" s="768" t="s">
        <v>491</v>
      </c>
      <c r="AD261" s="768" t="s">
        <v>491</v>
      </c>
      <c r="AE261" s="768"/>
      <c r="AF261" s="768"/>
      <c r="AG261" s="768"/>
      <c r="AH261" s="909">
        <v>52</v>
      </c>
      <c r="AI261" s="910">
        <v>37</v>
      </c>
    </row>
    <row r="262" spans="1:35" ht="21" customHeight="1">
      <c r="A262" s="442"/>
      <c r="B262" s="613" t="s">
        <v>719</v>
      </c>
      <c r="C262" s="762"/>
      <c r="D262" s="762"/>
      <c r="E262" s="762" t="s">
        <v>491</v>
      </c>
      <c r="F262" s="762" t="s">
        <v>491</v>
      </c>
      <c r="G262" s="762" t="s">
        <v>491</v>
      </c>
      <c r="H262" s="837" t="s">
        <v>491</v>
      </c>
      <c r="I262" s="762" t="s">
        <v>491</v>
      </c>
      <c r="J262" s="762"/>
      <c r="K262" s="762"/>
      <c r="L262" s="762" t="s">
        <v>491</v>
      </c>
      <c r="M262" s="762" t="s">
        <v>491</v>
      </c>
      <c r="N262" s="768" t="s">
        <v>491</v>
      </c>
      <c r="O262" s="768" t="s">
        <v>491</v>
      </c>
      <c r="P262" s="762" t="s">
        <v>491</v>
      </c>
      <c r="Q262" s="762"/>
      <c r="R262" s="762"/>
      <c r="S262" s="762" t="s">
        <v>491</v>
      </c>
      <c r="T262" s="762" t="s">
        <v>491</v>
      </c>
      <c r="U262" s="762" t="s">
        <v>491</v>
      </c>
      <c r="V262" s="762" t="s">
        <v>491</v>
      </c>
      <c r="W262" s="762" t="s">
        <v>491</v>
      </c>
      <c r="X262" s="762"/>
      <c r="Y262" s="762"/>
      <c r="Z262" s="762" t="s">
        <v>491</v>
      </c>
      <c r="AA262" s="762" t="s">
        <v>491</v>
      </c>
      <c r="AB262" s="768" t="s">
        <v>491</v>
      </c>
      <c r="AC262" s="768" t="s">
        <v>491</v>
      </c>
      <c r="AD262" s="1254" t="s">
        <v>491</v>
      </c>
      <c r="AE262" s="762"/>
      <c r="AF262" s="762"/>
      <c r="AG262" s="762"/>
      <c r="AH262" s="628">
        <v>1</v>
      </c>
      <c r="AI262" s="629">
        <v>37</v>
      </c>
    </row>
    <row r="263" spans="1:35" ht="21" customHeight="1" thickBot="1">
      <c r="A263" s="442"/>
      <c r="B263" s="613" t="s">
        <v>720</v>
      </c>
      <c r="C263" s="762"/>
      <c r="D263" s="762"/>
      <c r="E263" s="762" t="s">
        <v>491</v>
      </c>
      <c r="F263" s="762" t="s">
        <v>491</v>
      </c>
      <c r="G263" s="762" t="s">
        <v>491</v>
      </c>
      <c r="H263" s="762" t="s">
        <v>491</v>
      </c>
      <c r="I263" s="762" t="s">
        <v>491</v>
      </c>
      <c r="J263" s="762"/>
      <c r="K263" s="762"/>
      <c r="L263" s="762" t="s">
        <v>491</v>
      </c>
      <c r="M263" s="762" t="s">
        <v>491</v>
      </c>
      <c r="N263" s="768" t="s">
        <v>491</v>
      </c>
      <c r="O263" s="761" t="s">
        <v>491</v>
      </c>
      <c r="P263" s="762" t="s">
        <v>491</v>
      </c>
      <c r="Q263" s="762"/>
      <c r="R263" s="762"/>
      <c r="S263" s="1015" t="s">
        <v>491</v>
      </c>
      <c r="T263" s="1015" t="s">
        <v>493</v>
      </c>
      <c r="U263" s="1015" t="s">
        <v>491</v>
      </c>
      <c r="V263" s="553" t="s">
        <v>491</v>
      </c>
      <c r="W263" s="553" t="s">
        <v>491</v>
      </c>
      <c r="X263" s="762"/>
      <c r="Y263" s="762"/>
      <c r="Z263" s="762" t="s">
        <v>491</v>
      </c>
      <c r="AA263" s="762" t="s">
        <v>491</v>
      </c>
      <c r="AB263" s="768" t="s">
        <v>491</v>
      </c>
      <c r="AC263" s="768" t="s">
        <v>491</v>
      </c>
      <c r="AD263" s="762" t="s">
        <v>491</v>
      </c>
      <c r="AE263" s="762"/>
      <c r="AF263" s="762"/>
      <c r="AG263" s="762"/>
      <c r="AH263" s="628">
        <v>37</v>
      </c>
      <c r="AI263" s="629">
        <v>37</v>
      </c>
    </row>
    <row r="264" spans="1:35" ht="21" customHeight="1">
      <c r="A264" s="442"/>
      <c r="B264" s="613" t="s">
        <v>721</v>
      </c>
      <c r="C264" s="762"/>
      <c r="D264" s="762"/>
      <c r="E264" s="762" t="s">
        <v>491</v>
      </c>
      <c r="F264" s="762" t="s">
        <v>491</v>
      </c>
      <c r="G264" s="762" t="s">
        <v>491</v>
      </c>
      <c r="H264" s="837" t="s">
        <v>491</v>
      </c>
      <c r="I264" s="762" t="s">
        <v>491</v>
      </c>
      <c r="J264" s="762"/>
      <c r="K264" s="762"/>
      <c r="L264" s="762" t="s">
        <v>491</v>
      </c>
      <c r="M264" s="762" t="s">
        <v>491</v>
      </c>
      <c r="N264" s="768" t="s">
        <v>491</v>
      </c>
      <c r="O264" s="768" t="s">
        <v>491</v>
      </c>
      <c r="P264" s="762" t="s">
        <v>491</v>
      </c>
      <c r="Q264" s="762"/>
      <c r="R264" s="762"/>
      <c r="S264" s="762" t="s">
        <v>491</v>
      </c>
      <c r="T264" s="762" t="s">
        <v>491</v>
      </c>
      <c r="U264" s="762" t="s">
        <v>491</v>
      </c>
      <c r="V264" s="762" t="s">
        <v>491</v>
      </c>
      <c r="W264" s="762" t="s">
        <v>491</v>
      </c>
      <c r="X264" s="762"/>
      <c r="Y264" s="762"/>
      <c r="Z264" s="762" t="s">
        <v>491</v>
      </c>
      <c r="AA264" s="762" t="s">
        <v>491</v>
      </c>
      <c r="AB264" s="768" t="s">
        <v>491</v>
      </c>
      <c r="AC264" s="768" t="s">
        <v>491</v>
      </c>
      <c r="AD264" s="762" t="s">
        <v>491</v>
      </c>
      <c r="AE264" s="762"/>
      <c r="AF264" s="762"/>
      <c r="AG264" s="762"/>
      <c r="AH264" s="628">
        <v>130</v>
      </c>
      <c r="AI264" s="629">
        <v>0</v>
      </c>
    </row>
    <row r="265" spans="1:35" ht="21" customHeight="1" thickBot="1">
      <c r="A265" s="442"/>
      <c r="B265" s="613" t="s">
        <v>722</v>
      </c>
      <c r="C265" s="762"/>
      <c r="D265" s="762"/>
      <c r="E265" s="762" t="s">
        <v>491</v>
      </c>
      <c r="F265" s="762" t="s">
        <v>491</v>
      </c>
      <c r="G265" s="762" t="s">
        <v>491</v>
      </c>
      <c r="H265" s="762" t="s">
        <v>491</v>
      </c>
      <c r="I265" s="762" t="s">
        <v>491</v>
      </c>
      <c r="J265" s="762"/>
      <c r="K265" s="762"/>
      <c r="L265" s="762" t="s">
        <v>491</v>
      </c>
      <c r="M265" s="762" t="s">
        <v>491</v>
      </c>
      <c r="N265" s="768" t="s">
        <v>491</v>
      </c>
      <c r="O265" s="761" t="s">
        <v>491</v>
      </c>
      <c r="P265" s="762" t="s">
        <v>491</v>
      </c>
      <c r="Q265" s="762"/>
      <c r="R265" s="762"/>
      <c r="S265" s="762" t="s">
        <v>491</v>
      </c>
      <c r="T265" s="762" t="s">
        <v>491</v>
      </c>
      <c r="U265" s="762" t="s">
        <v>491</v>
      </c>
      <c r="V265" s="1254" t="s">
        <v>491</v>
      </c>
      <c r="W265" s="762" t="s">
        <v>491</v>
      </c>
      <c r="X265" s="762"/>
      <c r="Y265" s="762"/>
      <c r="Z265" s="762" t="s">
        <v>491</v>
      </c>
      <c r="AA265" s="762" t="s">
        <v>491</v>
      </c>
      <c r="AB265" s="768" t="s">
        <v>491</v>
      </c>
      <c r="AC265" s="768" t="s">
        <v>491</v>
      </c>
      <c r="AD265" s="762" t="s">
        <v>491</v>
      </c>
      <c r="AE265" s="762"/>
      <c r="AF265" s="762"/>
      <c r="AG265" s="762"/>
      <c r="AH265" s="628">
        <v>55</v>
      </c>
      <c r="AI265" s="629">
        <v>19</v>
      </c>
    </row>
    <row r="266" spans="1:35" ht="21" customHeight="1">
      <c r="A266" s="442"/>
      <c r="B266" s="613" t="s">
        <v>723</v>
      </c>
      <c r="C266" s="762"/>
      <c r="D266" s="762"/>
      <c r="E266" s="762" t="s">
        <v>491</v>
      </c>
      <c r="F266" s="762" t="s">
        <v>491</v>
      </c>
      <c r="G266" s="762" t="s">
        <v>491</v>
      </c>
      <c r="H266" s="837" t="s">
        <v>491</v>
      </c>
      <c r="I266" s="762" t="s">
        <v>491</v>
      </c>
      <c r="J266" s="762"/>
      <c r="K266" s="762"/>
      <c r="L266" s="762" t="s">
        <v>491</v>
      </c>
      <c r="M266" s="978" t="s">
        <v>491</v>
      </c>
      <c r="N266" s="768" t="s">
        <v>491</v>
      </c>
      <c r="O266" s="768" t="s">
        <v>491</v>
      </c>
      <c r="P266" s="762" t="s">
        <v>491</v>
      </c>
      <c r="Q266" s="762"/>
      <c r="R266" s="762"/>
      <c r="S266" s="978" t="s">
        <v>491</v>
      </c>
      <c r="T266" s="978" t="s">
        <v>491</v>
      </c>
      <c r="U266" s="762" t="s">
        <v>491</v>
      </c>
      <c r="V266" s="762" t="s">
        <v>491</v>
      </c>
      <c r="W266" s="762" t="s">
        <v>491</v>
      </c>
      <c r="X266" s="762"/>
      <c r="Y266" s="762"/>
      <c r="Z266" s="762" t="s">
        <v>491</v>
      </c>
      <c r="AA266" s="762" t="s">
        <v>491</v>
      </c>
      <c r="AB266" s="768" t="s">
        <v>491</v>
      </c>
      <c r="AC266" s="768" t="s">
        <v>491</v>
      </c>
      <c r="AD266" s="762" t="s">
        <v>491</v>
      </c>
      <c r="AE266" s="762"/>
      <c r="AF266" s="762"/>
      <c r="AG266" s="762"/>
      <c r="AH266" s="628">
        <v>42</v>
      </c>
      <c r="AI266" s="629">
        <v>37</v>
      </c>
    </row>
    <row r="267" spans="1:35" ht="21" customHeight="1" thickBot="1">
      <c r="A267" s="442"/>
      <c r="B267" s="613" t="s">
        <v>724</v>
      </c>
      <c r="C267" s="762"/>
      <c r="D267" s="762"/>
      <c r="E267" s="762" t="s">
        <v>491</v>
      </c>
      <c r="F267" s="762" t="s">
        <v>491</v>
      </c>
      <c r="G267" s="762" t="s">
        <v>491</v>
      </c>
      <c r="H267" s="762" t="s">
        <v>491</v>
      </c>
      <c r="I267" s="762" t="s">
        <v>491</v>
      </c>
      <c r="J267" s="762"/>
      <c r="K267" s="762"/>
      <c r="L267" s="762" t="s">
        <v>491</v>
      </c>
      <c r="M267" s="762" t="s">
        <v>491</v>
      </c>
      <c r="N267" s="768" t="s">
        <v>491</v>
      </c>
      <c r="O267" s="761" t="s">
        <v>491</v>
      </c>
      <c r="P267" s="762" t="s">
        <v>491</v>
      </c>
      <c r="Q267" s="762"/>
      <c r="R267" s="762"/>
      <c r="S267" s="762" t="s">
        <v>491</v>
      </c>
      <c r="T267" s="762" t="s">
        <v>491</v>
      </c>
      <c r="U267" s="762" t="s">
        <v>491</v>
      </c>
      <c r="V267" s="762" t="s">
        <v>491</v>
      </c>
      <c r="W267" s="762" t="s">
        <v>491</v>
      </c>
      <c r="X267" s="762"/>
      <c r="Y267" s="762"/>
      <c r="Z267" s="762" t="s">
        <v>491</v>
      </c>
      <c r="AA267" s="762" t="s">
        <v>491</v>
      </c>
      <c r="AB267" s="768" t="s">
        <v>491</v>
      </c>
      <c r="AC267" s="768" t="s">
        <v>491</v>
      </c>
      <c r="AD267" s="762" t="s">
        <v>491</v>
      </c>
      <c r="AE267" s="762"/>
      <c r="AF267" s="762"/>
      <c r="AG267" s="762"/>
      <c r="AH267" s="628">
        <v>69</v>
      </c>
      <c r="AI267" s="629">
        <v>25</v>
      </c>
    </row>
    <row r="268" spans="1:35" ht="21" customHeight="1">
      <c r="A268" s="442"/>
      <c r="B268" s="613" t="s">
        <v>725</v>
      </c>
      <c r="C268" s="762"/>
      <c r="D268" s="762"/>
      <c r="E268" s="762" t="s">
        <v>491</v>
      </c>
      <c r="F268" s="762" t="s">
        <v>491</v>
      </c>
      <c r="G268" s="762" t="s">
        <v>491</v>
      </c>
      <c r="H268" s="837" t="s">
        <v>491</v>
      </c>
      <c r="I268" s="762" t="s">
        <v>491</v>
      </c>
      <c r="J268" s="762"/>
      <c r="K268" s="762"/>
      <c r="L268" s="762" t="s">
        <v>491</v>
      </c>
      <c r="M268" s="762" t="s">
        <v>491</v>
      </c>
      <c r="N268" s="768" t="s">
        <v>491</v>
      </c>
      <c r="O268" s="768" t="s">
        <v>491</v>
      </c>
      <c r="P268" s="762" t="s">
        <v>491</v>
      </c>
      <c r="Q268" s="762"/>
      <c r="R268" s="762"/>
      <c r="S268" s="762" t="s">
        <v>491</v>
      </c>
      <c r="T268" s="762" t="s">
        <v>491</v>
      </c>
      <c r="U268" s="762" t="s">
        <v>491</v>
      </c>
      <c r="V268" s="762" t="s">
        <v>491</v>
      </c>
      <c r="W268" s="978" t="s">
        <v>491</v>
      </c>
      <c r="X268" s="762"/>
      <c r="Y268" s="762"/>
      <c r="Z268" s="762" t="s">
        <v>491</v>
      </c>
      <c r="AA268" s="762" t="s">
        <v>491</v>
      </c>
      <c r="AB268" s="768" t="s">
        <v>491</v>
      </c>
      <c r="AC268" s="768" t="s">
        <v>491</v>
      </c>
      <c r="AD268" s="762" t="s">
        <v>491</v>
      </c>
      <c r="AE268" s="762"/>
      <c r="AF268" s="762"/>
      <c r="AG268" s="762"/>
      <c r="AH268" s="628">
        <v>83</v>
      </c>
      <c r="AI268" s="629">
        <v>37</v>
      </c>
    </row>
    <row r="269" spans="1:35" ht="21" customHeight="1">
      <c r="A269" s="442"/>
      <c r="B269" s="613" t="s">
        <v>726</v>
      </c>
      <c r="C269" s="762"/>
      <c r="D269" s="762"/>
      <c r="E269" s="1015" t="s">
        <v>491</v>
      </c>
      <c r="F269" s="1015" t="s">
        <v>491</v>
      </c>
      <c r="G269" s="1015" t="s">
        <v>491</v>
      </c>
      <c r="H269" s="1015" t="s">
        <v>491</v>
      </c>
      <c r="I269" s="1015" t="s">
        <v>491</v>
      </c>
      <c r="J269" s="1015"/>
      <c r="K269" s="1015"/>
      <c r="L269" s="1015" t="s">
        <v>491</v>
      </c>
      <c r="M269" s="1015" t="s">
        <v>491</v>
      </c>
      <c r="N269" s="1038" t="s">
        <v>491</v>
      </c>
      <c r="O269" s="1038" t="s">
        <v>491</v>
      </c>
      <c r="P269" s="1015" t="s">
        <v>491</v>
      </c>
      <c r="Q269" s="1015"/>
      <c r="R269" s="1015"/>
      <c r="S269" s="1015" t="s">
        <v>491</v>
      </c>
      <c r="T269" s="1015" t="s">
        <v>491</v>
      </c>
      <c r="U269" s="1015" t="s">
        <v>491</v>
      </c>
      <c r="V269" s="1015" t="s">
        <v>491</v>
      </c>
      <c r="W269" s="1015" t="s">
        <v>491</v>
      </c>
      <c r="X269" s="1015"/>
      <c r="Y269" s="1015"/>
      <c r="Z269" s="1015" t="s">
        <v>491</v>
      </c>
      <c r="AA269" s="1015" t="s">
        <v>491</v>
      </c>
      <c r="AB269" s="1038" t="s">
        <v>491</v>
      </c>
      <c r="AC269" s="1038" t="s">
        <v>491</v>
      </c>
      <c r="AD269" s="1015" t="s">
        <v>491</v>
      </c>
      <c r="AE269" s="1015"/>
      <c r="AF269" s="1015"/>
      <c r="AG269" s="762"/>
      <c r="AH269" s="628">
        <v>98</v>
      </c>
      <c r="AI269" s="629">
        <v>37</v>
      </c>
    </row>
    <row r="270" spans="1:35" ht="21" customHeight="1">
      <c r="A270" s="442"/>
      <c r="B270" s="613" t="s">
        <v>727</v>
      </c>
      <c r="C270" s="762"/>
      <c r="D270" s="762"/>
      <c r="E270" s="762" t="s">
        <v>491</v>
      </c>
      <c r="F270" s="762" t="s">
        <v>491</v>
      </c>
      <c r="G270" s="762" t="s">
        <v>491</v>
      </c>
      <c r="H270" s="762" t="s">
        <v>491</v>
      </c>
      <c r="I270" s="762" t="s">
        <v>491</v>
      </c>
      <c r="J270" s="762"/>
      <c r="K270" s="762"/>
      <c r="L270" s="762" t="s">
        <v>491</v>
      </c>
      <c r="M270" s="762" t="s">
        <v>491</v>
      </c>
      <c r="N270" s="768" t="s">
        <v>491</v>
      </c>
      <c r="O270" s="1144" t="s">
        <v>491</v>
      </c>
      <c r="P270" s="1255" t="s">
        <v>491</v>
      </c>
      <c r="Q270" s="553"/>
      <c r="R270" s="762"/>
      <c r="S270" s="762" t="s">
        <v>491</v>
      </c>
      <c r="T270" s="762" t="s">
        <v>491</v>
      </c>
      <c r="U270" s="762" t="s">
        <v>491</v>
      </c>
      <c r="V270" s="762" t="s">
        <v>491</v>
      </c>
      <c r="W270" s="762" t="s">
        <v>491</v>
      </c>
      <c r="X270" s="762"/>
      <c r="Y270" s="762"/>
      <c r="Z270" s="762" t="s">
        <v>491</v>
      </c>
      <c r="AA270" s="762" t="s">
        <v>491</v>
      </c>
      <c r="AB270" s="768" t="s">
        <v>491</v>
      </c>
      <c r="AC270" s="768" t="s">
        <v>491</v>
      </c>
      <c r="AD270" s="762" t="s">
        <v>491</v>
      </c>
      <c r="AE270" s="762"/>
      <c r="AF270" s="762"/>
      <c r="AG270" s="762"/>
      <c r="AH270" s="628">
        <v>69.5</v>
      </c>
      <c r="AI270" s="629">
        <v>25</v>
      </c>
    </row>
    <row r="271" spans="1:35" ht="21" customHeight="1">
      <c r="A271" s="442"/>
      <c r="B271" s="153" t="s">
        <v>728</v>
      </c>
      <c r="C271" s="762"/>
      <c r="D271" s="762"/>
      <c r="E271" s="1015" t="s">
        <v>491</v>
      </c>
      <c r="F271" s="1015" t="s">
        <v>491</v>
      </c>
      <c r="G271" s="1015" t="s">
        <v>491</v>
      </c>
      <c r="H271" s="1015" t="s">
        <v>491</v>
      </c>
      <c r="I271" s="1015" t="s">
        <v>493</v>
      </c>
      <c r="J271" s="762"/>
      <c r="K271" s="762"/>
      <c r="L271" s="762" t="s">
        <v>491</v>
      </c>
      <c r="M271" s="762" t="s">
        <v>491</v>
      </c>
      <c r="N271" s="768" t="s">
        <v>491</v>
      </c>
      <c r="O271" s="768" t="s">
        <v>491</v>
      </c>
      <c r="P271" s="762" t="s">
        <v>491</v>
      </c>
      <c r="Q271" s="762"/>
      <c r="R271" s="762"/>
      <c r="S271" s="762" t="s">
        <v>491</v>
      </c>
      <c r="T271" s="762" t="s">
        <v>491</v>
      </c>
      <c r="U271" s="762" t="s">
        <v>491</v>
      </c>
      <c r="V271" s="762" t="s">
        <v>491</v>
      </c>
      <c r="W271" s="762" t="s">
        <v>491</v>
      </c>
      <c r="X271" s="762"/>
      <c r="Y271" s="762"/>
      <c r="Z271" s="762" t="s">
        <v>491</v>
      </c>
      <c r="AA271" s="762" t="s">
        <v>491</v>
      </c>
      <c r="AB271" s="768" t="s">
        <v>491</v>
      </c>
      <c r="AC271" s="768" t="s">
        <v>491</v>
      </c>
      <c r="AD271" s="762" t="s">
        <v>491</v>
      </c>
      <c r="AE271" s="762"/>
      <c r="AF271" s="762"/>
      <c r="AG271" s="762"/>
      <c r="AH271" s="628">
        <v>38</v>
      </c>
      <c r="AI271" s="629">
        <v>0</v>
      </c>
    </row>
    <row r="272" spans="1:35" ht="21" customHeight="1">
      <c r="A272" s="442"/>
      <c r="B272" s="153" t="s">
        <v>729</v>
      </c>
      <c r="C272" s="762"/>
      <c r="D272" s="762"/>
      <c r="E272" s="1015" t="s">
        <v>491</v>
      </c>
      <c r="F272" s="1015" t="s">
        <v>491</v>
      </c>
      <c r="G272" s="1015" t="s">
        <v>493</v>
      </c>
      <c r="H272" s="762" t="s">
        <v>491</v>
      </c>
      <c r="I272" s="762" t="s">
        <v>491</v>
      </c>
      <c r="J272" s="762"/>
      <c r="K272" s="762"/>
      <c r="L272" s="762" t="s">
        <v>491</v>
      </c>
      <c r="M272" s="762" t="s">
        <v>491</v>
      </c>
      <c r="N272" s="768" t="s">
        <v>491</v>
      </c>
      <c r="O272" s="768" t="s">
        <v>491</v>
      </c>
      <c r="P272" s="762" t="s">
        <v>491</v>
      </c>
      <c r="Q272" s="762"/>
      <c r="R272" s="762"/>
      <c r="S272" s="762" t="s">
        <v>491</v>
      </c>
      <c r="T272" s="762" t="s">
        <v>491</v>
      </c>
      <c r="U272" s="762" t="s">
        <v>491</v>
      </c>
      <c r="V272" s="762" t="s">
        <v>491</v>
      </c>
      <c r="W272" s="762" t="s">
        <v>491</v>
      </c>
      <c r="X272" s="762"/>
      <c r="Y272" s="762"/>
      <c r="Z272" s="762" t="s">
        <v>491</v>
      </c>
      <c r="AA272" s="762" t="s">
        <v>491</v>
      </c>
      <c r="AB272" s="768" t="s">
        <v>491</v>
      </c>
      <c r="AC272" s="768" t="s">
        <v>491</v>
      </c>
      <c r="AD272" s="762" t="s">
        <v>491</v>
      </c>
      <c r="AE272" s="762"/>
      <c r="AF272" s="762"/>
      <c r="AG272" s="762"/>
      <c r="AH272" s="628">
        <v>68</v>
      </c>
      <c r="AI272" s="629">
        <v>0</v>
      </c>
    </row>
    <row r="273" spans="1:35" ht="21" customHeight="1">
      <c r="A273" s="134"/>
      <c r="B273" s="134" t="s">
        <v>730</v>
      </c>
      <c r="C273" s="848"/>
      <c r="D273" s="848"/>
      <c r="E273" s="1246" t="s">
        <v>491</v>
      </c>
      <c r="F273" s="1246" t="s">
        <v>491</v>
      </c>
      <c r="G273" s="1246" t="s">
        <v>491</v>
      </c>
      <c r="H273" s="1246" t="s">
        <v>491</v>
      </c>
      <c r="I273" s="1246" t="s">
        <v>491</v>
      </c>
      <c r="J273" s="1246"/>
      <c r="K273" s="1246"/>
      <c r="L273" s="1246" t="s">
        <v>491</v>
      </c>
      <c r="M273" s="1246" t="s">
        <v>491</v>
      </c>
      <c r="N273" s="1143" t="s">
        <v>491</v>
      </c>
      <c r="O273" s="1038" t="s">
        <v>491</v>
      </c>
      <c r="P273" s="1246" t="s">
        <v>491</v>
      </c>
      <c r="Q273" s="848"/>
      <c r="R273" s="848"/>
      <c r="S273" s="848" t="s">
        <v>491</v>
      </c>
      <c r="T273" s="848" t="s">
        <v>491</v>
      </c>
      <c r="U273" s="848" t="s">
        <v>491</v>
      </c>
      <c r="V273" s="848" t="s">
        <v>491</v>
      </c>
      <c r="W273" s="848" t="s">
        <v>491</v>
      </c>
      <c r="X273" s="848"/>
      <c r="Y273" s="848"/>
      <c r="Z273" s="848" t="s">
        <v>491</v>
      </c>
      <c r="AA273" s="848" t="s">
        <v>491</v>
      </c>
      <c r="AB273" s="772" t="s">
        <v>491</v>
      </c>
      <c r="AC273" s="772" t="s">
        <v>491</v>
      </c>
      <c r="AD273" s="848" t="s">
        <v>491</v>
      </c>
      <c r="AE273" s="848"/>
      <c r="AF273" s="848"/>
      <c r="AG273" s="848"/>
      <c r="AH273" s="849">
        <v>45</v>
      </c>
      <c r="AI273" s="850">
        <v>18</v>
      </c>
    </row>
    <row r="274" spans="1:35" ht="21" customHeight="1" thickBot="1">
      <c r="A274" s="917"/>
      <c r="B274" s="917" t="s">
        <v>731</v>
      </c>
      <c r="C274" s="1087"/>
      <c r="D274" s="1087"/>
      <c r="E274" s="1087" t="s">
        <v>491</v>
      </c>
      <c r="F274" s="1087" t="s">
        <v>491</v>
      </c>
      <c r="G274" s="1087" t="s">
        <v>491</v>
      </c>
      <c r="H274" s="1087" t="s">
        <v>491</v>
      </c>
      <c r="I274" s="1087" t="s">
        <v>491</v>
      </c>
      <c r="J274" s="1087"/>
      <c r="K274" s="1087"/>
      <c r="L274" s="1087" t="s">
        <v>491</v>
      </c>
      <c r="M274" s="1087" t="s">
        <v>491</v>
      </c>
      <c r="N274" s="1205" t="s">
        <v>491</v>
      </c>
      <c r="O274" s="1038" t="s">
        <v>491</v>
      </c>
      <c r="P274" s="1087" t="s">
        <v>491</v>
      </c>
      <c r="Q274" s="1087"/>
      <c r="R274" s="1087"/>
      <c r="S274" s="1087" t="s">
        <v>491</v>
      </c>
      <c r="T274" s="1087" t="s">
        <v>491</v>
      </c>
      <c r="U274" s="1087" t="s">
        <v>491</v>
      </c>
      <c r="V274" s="1087" t="s">
        <v>491</v>
      </c>
      <c r="W274" s="1087" t="s">
        <v>491</v>
      </c>
      <c r="X274" s="1087"/>
      <c r="Y274" s="1087"/>
      <c r="Z274" s="1087" t="s">
        <v>491</v>
      </c>
      <c r="AA274" s="1087" t="s">
        <v>491</v>
      </c>
      <c r="AB274" s="1205" t="s">
        <v>491</v>
      </c>
      <c r="AC274" s="1205" t="s">
        <v>491</v>
      </c>
      <c r="AD274" s="1087" t="s">
        <v>491</v>
      </c>
      <c r="AE274" s="875"/>
      <c r="AF274" s="875"/>
      <c r="AG274" s="875"/>
      <c r="AH274" s="914">
        <v>185</v>
      </c>
      <c r="AI274" s="915">
        <v>37</v>
      </c>
    </row>
  </sheetData>
  <sheetProtection password="CC44" sheet="1" objects="1" scenarios="1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59" max="16383" man="1"/>
  </rowBreaks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43"/>
  <dimension ref="A1:AQ275"/>
  <sheetViews>
    <sheetView topLeftCell="A134" zoomScale="66" zoomScaleNormal="66" workbookViewId="0">
      <selection activeCell="AF156" sqref="AF156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40" ht="13.35" customHeight="1">
      <c r="A1" t="s">
        <v>28</v>
      </c>
      <c r="B1" s="1" t="s">
        <v>449</v>
      </c>
    </row>
    <row r="2" spans="1:40" ht="13.35" customHeight="1">
      <c r="B2" s="443" t="s">
        <v>450</v>
      </c>
      <c r="C2" s="444" t="s">
        <v>451</v>
      </c>
      <c r="D2" s="445"/>
      <c r="E2" s="446" t="s">
        <v>452</v>
      </c>
      <c r="F2" s="447"/>
      <c r="G2" s="448"/>
      <c r="H2" s="448"/>
      <c r="I2" s="448"/>
      <c r="J2" s="448"/>
      <c r="K2" s="449"/>
      <c r="L2" s="450" t="s">
        <v>453</v>
      </c>
      <c r="M2" s="451"/>
      <c r="N2" s="380"/>
      <c r="O2" s="452" t="s">
        <v>454</v>
      </c>
      <c r="P2" s="453"/>
      <c r="Q2" s="454"/>
      <c r="R2" s="455"/>
      <c r="S2" s="456" t="s">
        <v>455</v>
      </c>
      <c r="T2" s="457"/>
      <c r="U2" s="458"/>
      <c r="V2" s="457"/>
      <c r="W2" s="459" t="s">
        <v>456</v>
      </c>
      <c r="X2" s="368"/>
      <c r="Y2" s="460"/>
      <c r="Z2" s="461" t="s">
        <v>457</v>
      </c>
      <c r="AA2" s="462"/>
      <c r="AB2" s="463"/>
      <c r="AC2" s="464"/>
      <c r="AD2" s="465" t="s">
        <v>458</v>
      </c>
      <c r="AE2" s="466"/>
      <c r="AF2" s="466"/>
      <c r="AG2" s="467"/>
    </row>
    <row r="3" spans="1:40" ht="13.35" customHeight="1">
      <c r="A3" s="1"/>
      <c r="B3" s="468" t="s">
        <v>459</v>
      </c>
      <c r="C3" s="469" t="s">
        <v>460</v>
      </c>
      <c r="D3" s="470"/>
      <c r="E3" s="471"/>
      <c r="F3" s="472"/>
      <c r="G3" s="472"/>
      <c r="H3" s="473" t="s">
        <v>461</v>
      </c>
      <c r="I3" s="474"/>
      <c r="J3" s="474"/>
      <c r="K3" s="475"/>
      <c r="L3" s="476" t="s">
        <v>462</v>
      </c>
      <c r="M3" s="157"/>
      <c r="N3" s="477"/>
      <c r="O3" s="474"/>
      <c r="P3" s="474"/>
      <c r="Q3" s="474"/>
      <c r="R3" s="474"/>
      <c r="S3" s="55"/>
      <c r="T3" s="478" t="s">
        <v>463</v>
      </c>
      <c r="U3" s="479"/>
      <c r="V3" s="1290"/>
      <c r="W3" s="481"/>
      <c r="X3" s="482"/>
      <c r="Y3" s="473" t="s">
        <v>464</v>
      </c>
      <c r="Z3" s="157"/>
      <c r="AA3" s="157"/>
      <c r="AB3" s="483"/>
      <c r="AC3" s="484"/>
      <c r="AD3" s="485" t="s">
        <v>465</v>
      </c>
      <c r="AE3" s="486"/>
      <c r="AF3" s="486"/>
      <c r="AG3" s="487"/>
    </row>
    <row r="4" spans="1:40" ht="13.35" customHeight="1">
      <c r="A4" s="1" t="s">
        <v>776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40" ht="21.95" customHeight="1">
      <c r="A5" s="1" t="s">
        <v>14</v>
      </c>
      <c r="B5" s="1"/>
    </row>
    <row r="6" spans="1:40" ht="21.95" customHeight="1">
      <c r="A6" s="488" t="s">
        <v>467</v>
      </c>
      <c r="B6" s="157"/>
      <c r="C6" s="489"/>
      <c r="D6" s="488" t="s">
        <v>468</v>
      </c>
      <c r="E6" s="157"/>
      <c r="F6" s="157"/>
      <c r="G6" s="157"/>
      <c r="H6" s="490"/>
      <c r="I6" s="157"/>
      <c r="J6" s="157"/>
      <c r="K6" s="157"/>
      <c r="L6" s="488" t="s">
        <v>769</v>
      </c>
      <c r="M6" s="157"/>
      <c r="N6" s="157"/>
      <c r="O6" s="157"/>
      <c r="P6" s="157"/>
      <c r="Q6" s="157"/>
      <c r="R6" s="157"/>
      <c r="S6" s="489"/>
      <c r="T6" s="491" t="s">
        <v>470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40" ht="21.95" customHeight="1">
      <c r="A7" s="488" t="s">
        <v>471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472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40" ht="21.95" customHeight="1">
      <c r="A8" s="496" t="s">
        <v>473</v>
      </c>
      <c r="L8" s="496"/>
      <c r="AB8" s="1"/>
    </row>
    <row r="9" spans="1:40" ht="21.95" customHeight="1" thickBot="1">
      <c r="B9" s="497" t="s">
        <v>474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40" ht="21.95" customHeight="1">
      <c r="A10" s="442" t="s">
        <v>475</v>
      </c>
      <c r="B10" s="297" t="s">
        <v>476</v>
      </c>
      <c r="C10" s="787">
        <v>1</v>
      </c>
      <c r="D10" s="787">
        <v>2</v>
      </c>
      <c r="E10" s="787">
        <v>3</v>
      </c>
      <c r="F10" s="787">
        <v>4</v>
      </c>
      <c r="G10" s="787">
        <v>5</v>
      </c>
      <c r="H10" s="788">
        <v>6</v>
      </c>
      <c r="I10" s="830">
        <v>7</v>
      </c>
      <c r="J10" s="766">
        <v>8</v>
      </c>
      <c r="K10" s="787">
        <v>9</v>
      </c>
      <c r="L10" s="787">
        <v>10</v>
      </c>
      <c r="M10" s="787">
        <v>11</v>
      </c>
      <c r="N10" s="787">
        <v>12</v>
      </c>
      <c r="O10" s="788">
        <v>13</v>
      </c>
      <c r="P10" s="830">
        <v>14</v>
      </c>
      <c r="Q10" s="766">
        <v>15</v>
      </c>
      <c r="R10" s="787">
        <v>16</v>
      </c>
      <c r="S10" s="787">
        <v>17</v>
      </c>
      <c r="T10" s="787">
        <v>18</v>
      </c>
      <c r="U10" s="787">
        <v>19</v>
      </c>
      <c r="V10" s="830">
        <v>20</v>
      </c>
      <c r="W10" s="830">
        <v>21</v>
      </c>
      <c r="X10" s="766">
        <v>22</v>
      </c>
      <c r="Y10" s="787">
        <v>23</v>
      </c>
      <c r="Z10" s="788">
        <v>24</v>
      </c>
      <c r="AA10" s="788">
        <v>25</v>
      </c>
      <c r="AB10" s="788">
        <v>26</v>
      </c>
      <c r="AC10" s="788">
        <v>27</v>
      </c>
      <c r="AD10" s="830">
        <v>28</v>
      </c>
      <c r="AE10" s="766">
        <v>29</v>
      </c>
      <c r="AF10" s="787">
        <v>30</v>
      </c>
      <c r="AG10" s="788">
        <v>31</v>
      </c>
      <c r="AH10" s="498" t="s">
        <v>477</v>
      </c>
      <c r="AI10" s="499" t="s">
        <v>478</v>
      </c>
    </row>
    <row r="11" spans="1:40" ht="21.95" customHeight="1">
      <c r="A11" s="500"/>
      <c r="B11" s="501"/>
      <c r="C11" s="768"/>
      <c r="D11" s="768"/>
      <c r="E11" s="768"/>
      <c r="F11" s="768"/>
      <c r="G11" s="768"/>
      <c r="H11" s="768"/>
      <c r="I11" s="768"/>
      <c r="J11" s="768"/>
      <c r="K11" s="768"/>
      <c r="L11" s="768"/>
      <c r="M11" s="768"/>
      <c r="N11" s="768"/>
      <c r="O11" s="768"/>
      <c r="P11" s="768"/>
      <c r="Q11" s="768"/>
      <c r="R11" s="768"/>
      <c r="S11" s="768"/>
      <c r="T11" s="768"/>
      <c r="U11" s="768"/>
      <c r="V11" s="768"/>
      <c r="W11" s="768"/>
      <c r="X11" s="768"/>
      <c r="Y11" s="768"/>
      <c r="Z11" s="768"/>
      <c r="AA11" s="768"/>
      <c r="AB11" s="768"/>
      <c r="AC11" s="768"/>
      <c r="AD11" s="768"/>
      <c r="AE11" s="768"/>
      <c r="AF11" s="768"/>
      <c r="AG11" s="502"/>
      <c r="AH11" s="924"/>
      <c r="AI11" s="925"/>
    </row>
    <row r="12" spans="1:40" ht="21.95" customHeight="1">
      <c r="A12" s="503" t="s">
        <v>479</v>
      </c>
      <c r="B12" s="457"/>
      <c r="C12" s="504"/>
      <c r="D12" s="504"/>
      <c r="E12" s="504"/>
      <c r="F12" s="504"/>
      <c r="G12" s="504"/>
      <c r="H12" s="504"/>
      <c r="I12" s="504"/>
      <c r="J12" s="504"/>
      <c r="K12" s="504"/>
      <c r="L12" s="504"/>
      <c r="M12" s="504"/>
      <c r="N12" s="504"/>
      <c r="O12" s="504"/>
      <c r="P12" s="504"/>
      <c r="Q12" s="504"/>
      <c r="R12" s="504"/>
      <c r="S12" s="504"/>
      <c r="T12" s="504"/>
      <c r="U12" s="504"/>
      <c r="V12" s="504"/>
      <c r="W12" s="504"/>
      <c r="X12" s="504"/>
      <c r="Y12" s="504"/>
      <c r="Z12" s="504"/>
      <c r="AA12" s="504"/>
      <c r="AB12" s="504"/>
      <c r="AC12" s="504"/>
      <c r="AD12" s="504"/>
      <c r="AE12" s="504"/>
      <c r="AF12" s="504"/>
      <c r="AG12" s="505"/>
      <c r="AH12" s="506"/>
      <c r="AI12" s="507"/>
      <c r="AN12" s="1264"/>
    </row>
    <row r="13" spans="1:40" ht="21.95" customHeight="1">
      <c r="A13" s="508">
        <v>8546</v>
      </c>
      <c r="B13" s="509" t="s">
        <v>480</v>
      </c>
      <c r="C13" s="764">
        <v>3</v>
      </c>
      <c r="D13" s="764">
        <v>3</v>
      </c>
      <c r="E13" s="764">
        <v>3</v>
      </c>
      <c r="F13" s="764">
        <v>3</v>
      </c>
      <c r="G13" s="764">
        <v>3</v>
      </c>
      <c r="H13" s="768"/>
      <c r="I13" s="764"/>
      <c r="J13" s="764">
        <v>4</v>
      </c>
      <c r="K13" s="764">
        <v>4</v>
      </c>
      <c r="L13" s="764">
        <v>4</v>
      </c>
      <c r="M13" s="764">
        <v>4</v>
      </c>
      <c r="N13" s="764">
        <v>4</v>
      </c>
      <c r="O13" s="764" t="s">
        <v>482</v>
      </c>
      <c r="P13" s="764" t="s">
        <v>482</v>
      </c>
      <c r="Q13" s="764" t="s">
        <v>481</v>
      </c>
      <c r="R13" s="764" t="s">
        <v>481</v>
      </c>
      <c r="S13" s="764" t="s">
        <v>481</v>
      </c>
      <c r="T13" s="764" t="s">
        <v>481</v>
      </c>
      <c r="U13" s="764" t="s">
        <v>481</v>
      </c>
      <c r="V13" s="764"/>
      <c r="W13" s="764"/>
      <c r="X13" s="764">
        <v>1</v>
      </c>
      <c r="Y13" s="764">
        <v>1</v>
      </c>
      <c r="Z13" s="764">
        <v>1</v>
      </c>
      <c r="AA13" s="764">
        <v>1</v>
      </c>
      <c r="AB13" s="764">
        <v>1</v>
      </c>
      <c r="AC13" s="764"/>
      <c r="AD13" s="764"/>
      <c r="AE13" s="764">
        <v>2</v>
      </c>
      <c r="AF13" s="764">
        <v>2</v>
      </c>
      <c r="AG13" s="764">
        <v>2</v>
      </c>
      <c r="AH13" s="924">
        <v>47</v>
      </c>
      <c r="AI13" s="925">
        <v>37</v>
      </c>
    </row>
    <row r="14" spans="1:40" ht="21.95" customHeight="1">
      <c r="A14" s="500">
        <v>8546</v>
      </c>
      <c r="B14" s="347" t="s">
        <v>483</v>
      </c>
      <c r="C14" s="768">
        <v>2</v>
      </c>
      <c r="D14" s="768">
        <v>2</v>
      </c>
      <c r="E14" s="768">
        <v>2</v>
      </c>
      <c r="F14" s="768">
        <v>2</v>
      </c>
      <c r="G14" s="768">
        <v>2</v>
      </c>
      <c r="H14" s="768" t="s">
        <v>484</v>
      </c>
      <c r="I14" s="768" t="s">
        <v>484</v>
      </c>
      <c r="J14" s="768" t="s">
        <v>481</v>
      </c>
      <c r="K14" s="768" t="s">
        <v>481</v>
      </c>
      <c r="L14" s="768" t="s">
        <v>481</v>
      </c>
      <c r="M14" s="768" t="s">
        <v>481</v>
      </c>
      <c r="N14" s="768" t="s">
        <v>481</v>
      </c>
      <c r="O14" s="768"/>
      <c r="P14" s="768"/>
      <c r="Q14" s="768">
        <v>3</v>
      </c>
      <c r="R14" s="768">
        <v>3</v>
      </c>
      <c r="S14" s="768">
        <v>3</v>
      </c>
      <c r="T14" s="768">
        <v>3</v>
      </c>
      <c r="U14" s="768">
        <v>3</v>
      </c>
      <c r="V14" s="768"/>
      <c r="W14" s="768"/>
      <c r="X14" s="768">
        <v>4</v>
      </c>
      <c r="Y14" s="768">
        <v>4</v>
      </c>
      <c r="Z14" s="768">
        <v>4</v>
      </c>
      <c r="AA14" s="768">
        <v>4</v>
      </c>
      <c r="AB14" s="768">
        <v>4</v>
      </c>
      <c r="AC14" s="768" t="s">
        <v>482</v>
      </c>
      <c r="AD14" s="768" t="s">
        <v>482</v>
      </c>
      <c r="AE14" s="768" t="s">
        <v>481</v>
      </c>
      <c r="AF14" s="768" t="s">
        <v>481</v>
      </c>
      <c r="AG14" s="768" t="s">
        <v>481</v>
      </c>
      <c r="AH14" s="924">
        <v>82.5</v>
      </c>
      <c r="AI14" s="925">
        <v>37</v>
      </c>
    </row>
    <row r="15" spans="1:40" ht="21.95" customHeight="1">
      <c r="A15" s="500">
        <v>8546</v>
      </c>
      <c r="B15" s="347" t="s">
        <v>174</v>
      </c>
      <c r="C15" s="768" t="s">
        <v>481</v>
      </c>
      <c r="D15" s="768" t="s">
        <v>481</v>
      </c>
      <c r="E15" s="768" t="s">
        <v>481</v>
      </c>
      <c r="F15" s="768" t="s">
        <v>481</v>
      </c>
      <c r="G15" s="768" t="s">
        <v>481</v>
      </c>
      <c r="H15" s="768"/>
      <c r="I15" s="768"/>
      <c r="J15" s="768">
        <v>3</v>
      </c>
      <c r="K15" s="768">
        <v>3</v>
      </c>
      <c r="L15" s="768">
        <v>3</v>
      </c>
      <c r="M15" s="970">
        <v>3</v>
      </c>
      <c r="N15" s="977">
        <v>3</v>
      </c>
      <c r="O15" s="768"/>
      <c r="P15" s="768"/>
      <c r="Q15" s="768">
        <v>4</v>
      </c>
      <c r="R15" s="768">
        <v>4</v>
      </c>
      <c r="S15" s="768">
        <v>4</v>
      </c>
      <c r="T15" s="768">
        <v>4</v>
      </c>
      <c r="U15" s="768">
        <v>4</v>
      </c>
      <c r="V15" s="768" t="s">
        <v>482</v>
      </c>
      <c r="W15" s="768" t="s">
        <v>482</v>
      </c>
      <c r="X15" s="768" t="s">
        <v>481</v>
      </c>
      <c r="Y15" s="768" t="s">
        <v>481</v>
      </c>
      <c r="Z15" s="768" t="s">
        <v>481</v>
      </c>
      <c r="AA15" s="768" t="s">
        <v>481</v>
      </c>
      <c r="AB15" s="768" t="s">
        <v>481</v>
      </c>
      <c r="AC15" s="768"/>
      <c r="AD15" s="768"/>
      <c r="AE15" s="768">
        <v>1</v>
      </c>
      <c r="AF15" s="768">
        <v>1</v>
      </c>
      <c r="AG15" s="768">
        <v>1</v>
      </c>
      <c r="AH15" s="924">
        <v>0</v>
      </c>
      <c r="AI15" s="925">
        <v>37</v>
      </c>
    </row>
    <row r="16" spans="1:40" ht="21.95" customHeight="1">
      <c r="A16" s="500">
        <v>8546</v>
      </c>
      <c r="B16" s="347" t="s">
        <v>486</v>
      </c>
      <c r="C16" s="768" t="s">
        <v>481</v>
      </c>
      <c r="D16" s="768" t="s">
        <v>481</v>
      </c>
      <c r="E16" s="768" t="s">
        <v>481</v>
      </c>
      <c r="F16" s="768" t="s">
        <v>481</v>
      </c>
      <c r="G16" s="768" t="s">
        <v>481</v>
      </c>
      <c r="H16" s="768"/>
      <c r="I16" s="768"/>
      <c r="J16" s="768">
        <v>1</v>
      </c>
      <c r="K16" s="768">
        <v>1</v>
      </c>
      <c r="L16" s="768">
        <v>1</v>
      </c>
      <c r="M16" s="768">
        <v>1</v>
      </c>
      <c r="N16" s="768">
        <v>1</v>
      </c>
      <c r="O16" s="768"/>
      <c r="P16" s="768"/>
      <c r="Q16" s="768">
        <v>2</v>
      </c>
      <c r="R16" s="768">
        <v>2</v>
      </c>
      <c r="S16" s="768">
        <v>2</v>
      </c>
      <c r="T16" s="768">
        <v>2</v>
      </c>
      <c r="U16" s="768">
        <v>2</v>
      </c>
      <c r="V16" s="768" t="s">
        <v>484</v>
      </c>
      <c r="W16" s="768" t="s">
        <v>484</v>
      </c>
      <c r="X16" s="768" t="s">
        <v>481</v>
      </c>
      <c r="Y16" s="768" t="s">
        <v>481</v>
      </c>
      <c r="Z16" s="768" t="s">
        <v>481</v>
      </c>
      <c r="AA16" s="768" t="s">
        <v>481</v>
      </c>
      <c r="AB16" s="768" t="s">
        <v>481</v>
      </c>
      <c r="AC16" s="768"/>
      <c r="AD16" s="768"/>
      <c r="AE16" s="768">
        <v>3</v>
      </c>
      <c r="AF16" s="768">
        <v>3</v>
      </c>
      <c r="AG16" s="768">
        <v>3</v>
      </c>
      <c r="AH16" s="924">
        <v>1.5</v>
      </c>
      <c r="AI16" s="925">
        <v>37</v>
      </c>
    </row>
    <row r="17" spans="1:37" ht="21.95" customHeight="1">
      <c r="A17" s="500">
        <v>8546</v>
      </c>
      <c r="B17" s="347" t="s">
        <v>487</v>
      </c>
      <c r="C17" s="768">
        <v>4</v>
      </c>
      <c r="D17" s="768">
        <v>4</v>
      </c>
      <c r="E17" s="768">
        <v>4</v>
      </c>
      <c r="F17" s="768">
        <v>4</v>
      </c>
      <c r="G17" s="768">
        <v>4</v>
      </c>
      <c r="H17" s="768" t="s">
        <v>482</v>
      </c>
      <c r="I17" s="768" t="s">
        <v>482</v>
      </c>
      <c r="J17" s="768" t="s">
        <v>481</v>
      </c>
      <c r="K17" s="768" t="s">
        <v>481</v>
      </c>
      <c r="L17" s="768" t="s">
        <v>481</v>
      </c>
      <c r="M17" s="768" t="s">
        <v>481</v>
      </c>
      <c r="N17" s="768" t="s">
        <v>481</v>
      </c>
      <c r="O17" s="768"/>
      <c r="P17" s="768"/>
      <c r="Q17" s="768">
        <v>1</v>
      </c>
      <c r="R17" s="768">
        <v>1</v>
      </c>
      <c r="S17" s="768">
        <v>1</v>
      </c>
      <c r="T17" s="768">
        <v>1</v>
      </c>
      <c r="U17" s="768">
        <v>1</v>
      </c>
      <c r="V17" s="768"/>
      <c r="W17" s="768"/>
      <c r="X17" s="768">
        <v>2</v>
      </c>
      <c r="Y17" s="768">
        <v>2</v>
      </c>
      <c r="Z17" s="768">
        <v>2</v>
      </c>
      <c r="AA17" s="768">
        <v>2</v>
      </c>
      <c r="AB17" s="768">
        <v>2</v>
      </c>
      <c r="AC17" s="768" t="s">
        <v>484</v>
      </c>
      <c r="AD17" s="768" t="s">
        <v>484</v>
      </c>
      <c r="AE17" s="768" t="s">
        <v>481</v>
      </c>
      <c r="AF17" s="768" t="s">
        <v>481</v>
      </c>
      <c r="AG17" s="768" t="s">
        <v>481</v>
      </c>
      <c r="AH17" s="924">
        <v>0</v>
      </c>
      <c r="AI17" s="925">
        <v>5.75</v>
      </c>
    </row>
    <row r="18" spans="1:37" ht="21.95" customHeight="1">
      <c r="A18" s="500">
        <v>8546</v>
      </c>
      <c r="B18" s="347" t="s">
        <v>488</v>
      </c>
      <c r="C18" s="768">
        <v>1</v>
      </c>
      <c r="D18" s="768">
        <v>1</v>
      </c>
      <c r="E18" s="768">
        <v>1</v>
      </c>
      <c r="F18" s="977">
        <v>1</v>
      </c>
      <c r="G18" s="977">
        <v>1</v>
      </c>
      <c r="H18" s="768"/>
      <c r="I18" s="768"/>
      <c r="J18" s="768">
        <v>2</v>
      </c>
      <c r="K18" s="768">
        <v>2</v>
      </c>
      <c r="L18" s="768">
        <v>2</v>
      </c>
      <c r="M18" s="768">
        <v>2</v>
      </c>
      <c r="N18" s="768">
        <v>2</v>
      </c>
      <c r="O18" s="768" t="s">
        <v>484</v>
      </c>
      <c r="P18" s="768" t="s">
        <v>484</v>
      </c>
      <c r="Q18" s="768" t="s">
        <v>481</v>
      </c>
      <c r="R18" s="768" t="s">
        <v>481</v>
      </c>
      <c r="S18" s="768" t="s">
        <v>481</v>
      </c>
      <c r="T18" s="768" t="s">
        <v>481</v>
      </c>
      <c r="U18" s="768" t="s">
        <v>481</v>
      </c>
      <c r="V18" s="768"/>
      <c r="W18" s="768"/>
      <c r="X18" s="768">
        <v>3</v>
      </c>
      <c r="Y18" s="768">
        <v>3</v>
      </c>
      <c r="Z18" s="768">
        <v>3</v>
      </c>
      <c r="AA18" s="768">
        <v>3</v>
      </c>
      <c r="AB18" s="768">
        <v>3</v>
      </c>
      <c r="AC18" s="768"/>
      <c r="AD18" s="768"/>
      <c r="AE18" s="768">
        <v>4</v>
      </c>
      <c r="AF18" s="768">
        <v>4</v>
      </c>
      <c r="AG18" s="768">
        <v>4</v>
      </c>
      <c r="AH18" s="924">
        <v>13</v>
      </c>
      <c r="AI18" s="925">
        <v>37</v>
      </c>
    </row>
    <row r="19" spans="1:37" ht="21.95" customHeight="1">
      <c r="A19" s="512" t="s">
        <v>489</v>
      </c>
      <c r="B19" s="513"/>
      <c r="C19" s="504"/>
      <c r="D19" s="504"/>
      <c r="E19" s="504"/>
      <c r="F19" s="504"/>
      <c r="G19" s="504"/>
      <c r="H19" s="504"/>
      <c r="I19" s="504"/>
      <c r="J19" s="504"/>
      <c r="K19" s="504"/>
      <c r="L19" s="504"/>
      <c r="M19" s="504"/>
      <c r="N19" s="504"/>
      <c r="O19" s="504"/>
      <c r="P19" s="504"/>
      <c r="Q19" s="504"/>
      <c r="R19" s="504"/>
      <c r="S19" s="504"/>
      <c r="T19" s="504"/>
      <c r="U19" s="504"/>
      <c r="V19" s="504"/>
      <c r="W19" s="504"/>
      <c r="X19" s="504"/>
      <c r="Y19" s="504"/>
      <c r="Z19" s="504"/>
      <c r="AA19" s="504"/>
      <c r="AB19" s="504"/>
      <c r="AC19" s="504"/>
      <c r="AD19" s="504"/>
      <c r="AE19" s="504"/>
      <c r="AF19" s="504"/>
      <c r="AG19" s="505"/>
      <c r="AH19" s="506"/>
      <c r="AI19" s="507"/>
    </row>
    <row r="20" spans="1:37" ht="21.95" customHeight="1">
      <c r="A20" s="500">
        <v>8500</v>
      </c>
      <c r="B20" s="186" t="s">
        <v>188</v>
      </c>
      <c r="C20" s="1038" t="s">
        <v>491</v>
      </c>
      <c r="D20" s="1038" t="s">
        <v>491</v>
      </c>
      <c r="E20" s="1038" t="s">
        <v>491</v>
      </c>
      <c r="F20" s="1038" t="s">
        <v>491</v>
      </c>
      <c r="G20" s="1038" t="s">
        <v>491</v>
      </c>
      <c r="H20" s="1038"/>
      <c r="I20" s="1038"/>
      <c r="J20" s="1038" t="s">
        <v>493</v>
      </c>
      <c r="K20" s="987" t="s">
        <v>491</v>
      </c>
      <c r="L20" s="987" t="s">
        <v>491</v>
      </c>
      <c r="M20" s="987" t="s">
        <v>491</v>
      </c>
      <c r="N20" s="987" t="s">
        <v>491</v>
      </c>
      <c r="O20" s="987"/>
      <c r="P20" s="987"/>
      <c r="Q20" s="768" t="s">
        <v>491</v>
      </c>
      <c r="R20" s="768" t="s">
        <v>491</v>
      </c>
      <c r="S20" s="768" t="s">
        <v>491</v>
      </c>
      <c r="T20" s="768" t="s">
        <v>491</v>
      </c>
      <c r="U20" s="768" t="s">
        <v>491</v>
      </c>
      <c r="V20" s="768"/>
      <c r="W20" s="768"/>
      <c r="X20" s="768" t="s">
        <v>491</v>
      </c>
      <c r="Y20" s="768" t="s">
        <v>491</v>
      </c>
      <c r="Z20" s="768"/>
      <c r="AA20" s="768"/>
      <c r="AB20" s="768"/>
      <c r="AC20" s="768"/>
      <c r="AD20" s="768"/>
      <c r="AE20" s="768" t="s">
        <v>491</v>
      </c>
      <c r="AF20" s="768" t="s">
        <v>491</v>
      </c>
      <c r="AG20" s="768"/>
      <c r="AH20" s="924">
        <v>103.25</v>
      </c>
      <c r="AI20" s="925">
        <v>37</v>
      </c>
    </row>
    <row r="21" spans="1:37" ht="21.95" customHeight="1">
      <c r="A21" s="500">
        <v>8500</v>
      </c>
      <c r="B21" s="153" t="s">
        <v>492</v>
      </c>
      <c r="C21" s="768" t="s">
        <v>491</v>
      </c>
      <c r="D21" s="768" t="s">
        <v>491</v>
      </c>
      <c r="E21" s="768" t="s">
        <v>491</v>
      </c>
      <c r="F21" s="768">
        <v>1</v>
      </c>
      <c r="G21" s="768">
        <v>1</v>
      </c>
      <c r="H21" s="768" t="s">
        <v>490</v>
      </c>
      <c r="I21" s="768" t="s">
        <v>490</v>
      </c>
      <c r="J21" s="977" t="s">
        <v>491</v>
      </c>
      <c r="K21" s="977" t="s">
        <v>491</v>
      </c>
      <c r="L21" s="987" t="s">
        <v>491</v>
      </c>
      <c r="M21" s="768">
        <v>3</v>
      </c>
      <c r="N21" s="768">
        <v>3</v>
      </c>
      <c r="O21" s="768"/>
      <c r="P21" s="768"/>
      <c r="Q21" s="768">
        <v>1</v>
      </c>
      <c r="R21" s="768">
        <v>1</v>
      </c>
      <c r="S21" s="768">
        <v>1</v>
      </c>
      <c r="T21" s="768">
        <v>1</v>
      </c>
      <c r="U21" s="768">
        <v>1</v>
      </c>
      <c r="V21" s="768"/>
      <c r="W21" s="768"/>
      <c r="X21" s="1007" t="s">
        <v>491</v>
      </c>
      <c r="Y21" s="1007" t="s">
        <v>491</v>
      </c>
      <c r="Z21" s="768"/>
      <c r="AA21" s="768"/>
      <c r="AB21" s="768"/>
      <c r="AC21" s="768"/>
      <c r="AD21" s="768"/>
      <c r="AE21" s="1007" t="s">
        <v>491</v>
      </c>
      <c r="AF21" s="1007" t="s">
        <v>491</v>
      </c>
      <c r="AG21" s="768"/>
      <c r="AH21" s="924">
        <v>43</v>
      </c>
      <c r="AI21" s="925">
        <v>37</v>
      </c>
    </row>
    <row r="22" spans="1:37" ht="21.95" customHeight="1" thickBot="1">
      <c r="A22" s="500"/>
      <c r="B22" s="153"/>
      <c r="C22" s="768"/>
      <c r="D22" s="768"/>
      <c r="E22" s="768"/>
      <c r="F22" s="768"/>
      <c r="G22" s="768"/>
      <c r="H22" s="768"/>
      <c r="I22" s="768"/>
      <c r="J22" s="768"/>
      <c r="K22" s="768"/>
      <c r="L22" s="768"/>
      <c r="M22" s="768"/>
      <c r="N22" s="768"/>
      <c r="O22" s="768"/>
      <c r="P22" s="768"/>
      <c r="Q22" s="768"/>
      <c r="R22" s="768"/>
      <c r="S22" s="768"/>
      <c r="T22" s="768"/>
      <c r="U22" s="768"/>
      <c r="V22" s="768"/>
      <c r="W22" s="768"/>
      <c r="X22" s="768"/>
      <c r="Y22" s="768"/>
      <c r="Z22" s="768"/>
      <c r="AA22" s="768"/>
      <c r="AB22" s="768"/>
      <c r="AC22" s="768"/>
      <c r="AD22" s="768"/>
      <c r="AE22" s="768"/>
      <c r="AF22" s="768"/>
      <c r="AG22" s="768"/>
      <c r="AH22" s="514">
        <v>185</v>
      </c>
      <c r="AI22" s="515">
        <v>37</v>
      </c>
    </row>
    <row r="23" spans="1:37" ht="21.95" customHeight="1">
      <c r="A23" s="516"/>
      <c r="C23" s="517"/>
      <c r="D23" s="517"/>
      <c r="E23" s="517"/>
      <c r="F23" s="517"/>
      <c r="G23" s="517"/>
      <c r="H23" s="517"/>
      <c r="I23" s="517"/>
      <c r="J23" s="517"/>
      <c r="K23" s="517"/>
      <c r="L23" s="517"/>
      <c r="M23" s="517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17"/>
      <c r="Y23" s="517"/>
      <c r="Z23" s="517"/>
      <c r="AA23" s="517"/>
      <c r="AB23" s="517"/>
      <c r="AC23" s="517"/>
      <c r="AD23" s="517"/>
      <c r="AE23" s="517"/>
      <c r="AF23" s="517"/>
      <c r="AG23" s="517"/>
    </row>
    <row r="24" spans="1:37" ht="21.95" customHeight="1">
      <c r="A24" s="516"/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</row>
    <row r="25" spans="1:37" ht="21.95" customHeight="1">
      <c r="A25" s="516"/>
      <c r="C25" s="517"/>
      <c r="D25" s="517"/>
      <c r="E25" s="517"/>
      <c r="F25" s="517"/>
      <c r="G25" s="517"/>
      <c r="H25" s="517"/>
      <c r="I25" s="517"/>
      <c r="J25" s="517"/>
      <c r="K25" s="517"/>
      <c r="L25" s="517"/>
      <c r="M25" s="517"/>
      <c r="N25" s="517"/>
      <c r="O25" s="517"/>
      <c r="P25" s="517"/>
      <c r="Q25" s="517"/>
      <c r="R25" s="517"/>
      <c r="S25" s="517"/>
      <c r="T25" s="517"/>
      <c r="U25" s="517"/>
      <c r="V25" s="517"/>
      <c r="W25" s="517"/>
      <c r="X25" s="517"/>
      <c r="Y25" s="517"/>
      <c r="Z25" s="517"/>
      <c r="AA25" s="517"/>
      <c r="AB25" s="517"/>
      <c r="AC25" s="517"/>
      <c r="AD25" s="517"/>
      <c r="AE25" s="517"/>
      <c r="AF25" s="517"/>
      <c r="AG25" s="517"/>
    </row>
    <row r="26" spans="1:37" ht="21.95" customHeight="1">
      <c r="A26" s="516"/>
      <c r="C26" s="517"/>
      <c r="D26" s="517"/>
      <c r="E26" s="517"/>
      <c r="F26" s="517"/>
      <c r="G26" s="517"/>
      <c r="H26" s="517"/>
      <c r="I26" s="517"/>
      <c r="J26" s="517"/>
      <c r="K26" s="517"/>
      <c r="L26" s="517"/>
      <c r="M26" s="517"/>
      <c r="N26" s="517"/>
      <c r="O26" s="517"/>
      <c r="P26" s="517"/>
      <c r="Q26" s="517"/>
      <c r="R26" s="517"/>
      <c r="S26" s="517"/>
      <c r="T26" s="517"/>
      <c r="U26" s="517"/>
      <c r="V26" s="517"/>
      <c r="W26" s="517"/>
      <c r="X26" s="517"/>
      <c r="Y26" s="517"/>
      <c r="Z26" s="517"/>
      <c r="AA26" s="517"/>
      <c r="AB26" s="517"/>
      <c r="AC26" s="517"/>
      <c r="AD26" s="517"/>
      <c r="AE26" s="517"/>
      <c r="AF26" s="517"/>
      <c r="AG26" s="517"/>
    </row>
    <row r="27" spans="1:37" ht="21.95" customHeight="1">
      <c r="A27" s="516"/>
      <c r="C27" s="517"/>
      <c r="D27" s="517"/>
      <c r="E27" s="517"/>
      <c r="F27" s="517"/>
      <c r="G27" s="517"/>
      <c r="H27" s="517"/>
      <c r="I27" s="517"/>
      <c r="J27" s="517"/>
      <c r="K27" s="517"/>
      <c r="L27" s="517"/>
      <c r="M27" s="517"/>
      <c r="N27" s="517"/>
      <c r="O27" s="517"/>
      <c r="P27" s="517"/>
      <c r="Q27" s="517"/>
      <c r="R27" s="517"/>
      <c r="S27" s="517"/>
      <c r="T27" s="517"/>
      <c r="U27" s="517"/>
      <c r="V27" s="517"/>
      <c r="W27" s="517"/>
      <c r="X27" s="517"/>
      <c r="Y27" s="517"/>
      <c r="Z27" s="517"/>
      <c r="AA27" s="517"/>
      <c r="AB27" s="517"/>
      <c r="AC27" s="517"/>
      <c r="AD27" s="517"/>
      <c r="AE27" s="517"/>
      <c r="AF27" s="517"/>
      <c r="AG27" s="517"/>
    </row>
    <row r="28" spans="1:37" ht="21.95" customHeight="1">
      <c r="A28" s="516"/>
      <c r="C28" s="517"/>
      <c r="D28" s="517"/>
      <c r="E28" s="517"/>
      <c r="F28" s="517"/>
      <c r="G28" s="517"/>
      <c r="H28" s="517"/>
      <c r="I28" s="517"/>
      <c r="J28" s="517"/>
      <c r="K28" s="517"/>
      <c r="L28" s="517"/>
      <c r="M28" s="517"/>
      <c r="N28" s="517"/>
      <c r="O28" s="517"/>
      <c r="P28" s="517"/>
      <c r="Q28" s="517"/>
      <c r="R28" s="517"/>
      <c r="S28" s="517"/>
      <c r="T28" s="517"/>
      <c r="U28" s="517"/>
      <c r="V28" s="517"/>
      <c r="W28" s="517"/>
      <c r="X28" s="517"/>
      <c r="Y28" s="517"/>
      <c r="Z28" s="517"/>
      <c r="AA28" s="517"/>
      <c r="AB28" s="517"/>
      <c r="AC28" s="517"/>
      <c r="AD28" s="517"/>
      <c r="AE28" s="517"/>
      <c r="AF28" s="517"/>
      <c r="AG28" s="517"/>
    </row>
    <row r="29" spans="1:37" ht="21.95" customHeight="1">
      <c r="A29" s="516"/>
      <c r="C29" s="517"/>
      <c r="D29" s="517"/>
      <c r="E29" s="517"/>
      <c r="F29" s="517"/>
      <c r="G29" s="517"/>
      <c r="H29" s="517"/>
      <c r="I29" s="517"/>
      <c r="J29" s="517"/>
      <c r="K29" s="517"/>
      <c r="L29" s="517"/>
      <c r="M29" s="517"/>
      <c r="N29" s="517"/>
      <c r="O29" s="517"/>
      <c r="P29" s="517"/>
      <c r="Q29" s="517"/>
      <c r="R29" s="517"/>
      <c r="S29" s="517"/>
      <c r="T29" s="517"/>
      <c r="U29" s="517"/>
      <c r="V29" s="517"/>
      <c r="W29" s="517"/>
      <c r="X29" s="517"/>
      <c r="Y29" s="517"/>
      <c r="Z29" s="517"/>
      <c r="AA29" s="517"/>
      <c r="AB29" s="517"/>
      <c r="AC29" s="517"/>
      <c r="AD29" s="517"/>
      <c r="AE29" s="517"/>
      <c r="AF29" s="517"/>
      <c r="AG29" s="517"/>
    </row>
    <row r="30" spans="1:37" ht="21.95" customHeight="1" thickBot="1">
      <c r="A30" s="1" t="s">
        <v>494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495</v>
      </c>
      <c r="B31" s="518"/>
      <c r="C31" s="518"/>
      <c r="D31" s="425" t="s">
        <v>496</v>
      </c>
      <c r="E31" s="519"/>
      <c r="F31" s="519"/>
      <c r="G31" s="519"/>
      <c r="H31" s="519"/>
      <c r="I31" s="519"/>
      <c r="J31" s="519"/>
      <c r="K31" s="519"/>
      <c r="L31" s="519"/>
      <c r="M31" s="520" t="s">
        <v>497</v>
      </c>
      <c r="N31" s="519"/>
      <c r="O31" s="519"/>
      <c r="P31" s="519"/>
      <c r="Q31" s="519"/>
      <c r="R31" s="519"/>
      <c r="S31" s="521"/>
      <c r="T31" s="521" t="s">
        <v>770</v>
      </c>
      <c r="U31" s="519"/>
      <c r="V31" s="519"/>
      <c r="W31" s="519"/>
      <c r="X31" s="519"/>
      <c r="Y31" s="519"/>
      <c r="Z31" s="238"/>
      <c r="AA31" s="522" t="s">
        <v>499</v>
      </c>
      <c r="AB31" s="51"/>
      <c r="AC31" s="51"/>
      <c r="AD31" s="51"/>
      <c r="AE31" s="51"/>
      <c r="AF31" s="51"/>
      <c r="AG31" s="523"/>
      <c r="AK31" s="1"/>
    </row>
    <row r="32" spans="1:37" ht="21.95" customHeight="1">
      <c r="A32" s="524" t="s">
        <v>500</v>
      </c>
      <c r="B32" s="135"/>
      <c r="C32" s="135"/>
      <c r="D32" s="495" t="s">
        <v>501</v>
      </c>
      <c r="E32" s="491"/>
      <c r="F32" s="157"/>
      <c r="G32" s="157"/>
      <c r="H32" s="157"/>
      <c r="I32" s="157"/>
      <c r="J32" s="157"/>
      <c r="K32" s="157"/>
      <c r="L32" s="489"/>
      <c r="M32" s="525" t="s">
        <v>502</v>
      </c>
      <c r="N32" s="135"/>
      <c r="O32" s="526"/>
      <c r="P32" s="135"/>
      <c r="Q32" s="135"/>
      <c r="R32" s="135"/>
      <c r="S32" s="527"/>
      <c r="T32" s="495" t="s">
        <v>503</v>
      </c>
      <c r="U32" s="157"/>
      <c r="V32" s="491"/>
      <c r="W32" s="157"/>
      <c r="X32" s="157"/>
      <c r="Y32" s="157"/>
      <c r="Z32" s="489"/>
      <c r="AA32" s="1" t="s">
        <v>504</v>
      </c>
      <c r="AD32" s="496"/>
      <c r="AG32" s="528"/>
      <c r="AK32" s="1"/>
    </row>
    <row r="33" spans="1:38" ht="21.95" customHeight="1">
      <c r="A33" s="529" t="s">
        <v>505</v>
      </c>
      <c r="B33" s="157"/>
      <c r="C33" s="157"/>
      <c r="D33" s="157"/>
      <c r="E33" s="157"/>
      <c r="F33" s="157"/>
      <c r="G33" s="489"/>
      <c r="H33" s="495" t="s">
        <v>506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0" t="s">
        <v>507</v>
      </c>
      <c r="AA33" s="526"/>
      <c r="AB33" s="135"/>
      <c r="AC33" s="135"/>
      <c r="AD33" s="135"/>
      <c r="AE33" s="135"/>
      <c r="AF33" s="135"/>
      <c r="AG33" s="531"/>
      <c r="AK33" s="312"/>
    </row>
    <row r="34" spans="1:38" ht="21.95" customHeight="1" thickBot="1">
      <c r="A34" s="532" t="s">
        <v>508</v>
      </c>
      <c r="B34" s="53"/>
      <c r="C34" s="53"/>
      <c r="D34" s="53"/>
      <c r="E34" s="53"/>
      <c r="F34" s="53"/>
      <c r="G34" s="533"/>
      <c r="H34" s="534" t="s">
        <v>509</v>
      </c>
      <c r="I34" s="533"/>
      <c r="J34" s="53"/>
      <c r="K34" s="53"/>
      <c r="L34" s="53"/>
      <c r="M34" s="53"/>
      <c r="N34" s="53"/>
      <c r="O34" s="53"/>
      <c r="P34" s="53"/>
      <c r="Q34" s="535"/>
      <c r="R34" s="535"/>
      <c r="S34" s="535"/>
      <c r="T34" s="53"/>
      <c r="U34" s="534" t="s">
        <v>510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6"/>
      <c r="AK34" s="1"/>
    </row>
    <row r="35" spans="1:38" ht="21.95" customHeight="1" thickBot="1">
      <c r="B35" s="537" t="s">
        <v>474</v>
      </c>
      <c r="C35" s="538"/>
      <c r="D35" s="538"/>
      <c r="E35" s="538"/>
      <c r="F35" s="538"/>
      <c r="G35" s="538"/>
      <c r="H35" s="538"/>
      <c r="I35" s="538"/>
      <c r="J35" s="538"/>
      <c r="K35" s="538"/>
      <c r="L35" s="538"/>
      <c r="M35" s="538"/>
      <c r="N35" s="538"/>
      <c r="O35" s="538"/>
      <c r="P35" s="538"/>
      <c r="Q35" s="538"/>
      <c r="R35" s="538"/>
      <c r="S35" s="538"/>
      <c r="T35" s="538"/>
      <c r="U35" s="538"/>
      <c r="V35" s="538"/>
      <c r="W35" s="538"/>
      <c r="X35" s="538"/>
      <c r="Y35" s="538"/>
      <c r="Z35" s="538"/>
      <c r="AA35" s="538"/>
      <c r="AB35" s="538"/>
      <c r="AC35" s="538"/>
      <c r="AD35" s="538"/>
      <c r="AE35" s="538"/>
      <c r="AF35" s="538"/>
      <c r="AG35" s="538"/>
      <c r="AH35" s="1"/>
    </row>
    <row r="36" spans="1:38" ht="21.95" customHeight="1" thickBot="1">
      <c r="A36" s="539" t="s">
        <v>475</v>
      </c>
      <c r="B36" s="182" t="s">
        <v>476</v>
      </c>
      <c r="C36" s="787">
        <v>1</v>
      </c>
      <c r="D36" s="787">
        <v>2</v>
      </c>
      <c r="E36" s="787">
        <v>3</v>
      </c>
      <c r="F36" s="787">
        <v>4</v>
      </c>
      <c r="G36" s="787">
        <v>5</v>
      </c>
      <c r="H36" s="788">
        <v>6</v>
      </c>
      <c r="I36" s="830">
        <v>7</v>
      </c>
      <c r="J36" s="766">
        <v>8</v>
      </c>
      <c r="K36" s="787">
        <v>9</v>
      </c>
      <c r="L36" s="787">
        <v>10</v>
      </c>
      <c r="M36" s="787">
        <v>11</v>
      </c>
      <c r="N36" s="787">
        <v>12</v>
      </c>
      <c r="O36" s="788">
        <v>13</v>
      </c>
      <c r="P36" s="830">
        <v>14</v>
      </c>
      <c r="Q36" s="766">
        <v>15</v>
      </c>
      <c r="R36" s="787">
        <v>16</v>
      </c>
      <c r="S36" s="787">
        <v>17</v>
      </c>
      <c r="T36" s="787">
        <v>18</v>
      </c>
      <c r="U36" s="787">
        <v>19</v>
      </c>
      <c r="V36" s="830">
        <v>20</v>
      </c>
      <c r="W36" s="830">
        <v>21</v>
      </c>
      <c r="X36" s="766">
        <v>22</v>
      </c>
      <c r="Y36" s="787">
        <v>23</v>
      </c>
      <c r="Z36" s="788">
        <v>24</v>
      </c>
      <c r="AA36" s="788">
        <v>25</v>
      </c>
      <c r="AB36" s="788">
        <v>26</v>
      </c>
      <c r="AC36" s="788">
        <v>27</v>
      </c>
      <c r="AD36" s="830">
        <v>28</v>
      </c>
      <c r="AE36" s="766">
        <v>29</v>
      </c>
      <c r="AF36" s="787">
        <v>30</v>
      </c>
      <c r="AG36" s="788">
        <v>31</v>
      </c>
      <c r="AH36" s="498" t="s">
        <v>477</v>
      </c>
      <c r="AI36" s="499" t="s">
        <v>478</v>
      </c>
      <c r="AL36" t="s">
        <v>28</v>
      </c>
    </row>
    <row r="37" spans="1:38" ht="21.95" customHeight="1">
      <c r="A37" s="540">
        <v>1</v>
      </c>
      <c r="B37" s="45" t="s">
        <v>511</v>
      </c>
      <c r="C37" s="763" t="s">
        <v>481</v>
      </c>
      <c r="D37" s="763" t="s">
        <v>481</v>
      </c>
      <c r="E37" s="763" t="s">
        <v>481</v>
      </c>
      <c r="F37" s="763" t="s">
        <v>481</v>
      </c>
      <c r="G37" s="763" t="s">
        <v>481</v>
      </c>
      <c r="H37" s="763"/>
      <c r="I37" s="763"/>
      <c r="J37" s="763">
        <v>5</v>
      </c>
      <c r="K37" s="763">
        <v>5</v>
      </c>
      <c r="L37" s="763">
        <v>5</v>
      </c>
      <c r="M37" s="763">
        <v>5</v>
      </c>
      <c r="N37" s="763">
        <v>5</v>
      </c>
      <c r="O37" s="763"/>
      <c r="P37" s="763"/>
      <c r="Q37" s="763">
        <v>10</v>
      </c>
      <c r="R37" s="763">
        <v>10</v>
      </c>
      <c r="S37" s="763">
        <v>10</v>
      </c>
      <c r="T37" s="763">
        <v>10</v>
      </c>
      <c r="U37" s="763">
        <v>10</v>
      </c>
      <c r="V37" s="763" t="s">
        <v>514</v>
      </c>
      <c r="W37" s="763" t="s">
        <v>514</v>
      </c>
      <c r="X37" s="763" t="s">
        <v>481</v>
      </c>
      <c r="Y37" s="763" t="s">
        <v>481</v>
      </c>
      <c r="Z37" s="763" t="s">
        <v>481</v>
      </c>
      <c r="AA37" s="763" t="s">
        <v>481</v>
      </c>
      <c r="AB37" s="763" t="s">
        <v>481</v>
      </c>
      <c r="AC37" s="763" t="s">
        <v>515</v>
      </c>
      <c r="AD37" s="763" t="s">
        <v>515</v>
      </c>
      <c r="AE37" s="763">
        <v>7</v>
      </c>
      <c r="AF37" s="763">
        <v>7</v>
      </c>
      <c r="AG37" s="773">
        <v>7</v>
      </c>
      <c r="AH37" s="924">
        <v>91.5</v>
      </c>
      <c r="AI37" s="925">
        <v>37</v>
      </c>
    </row>
    <row r="38" spans="1:38" ht="21.95" customHeight="1">
      <c r="A38" s="541">
        <v>6</v>
      </c>
      <c r="B38" s="153" t="s">
        <v>650</v>
      </c>
      <c r="C38" s="768">
        <v>4</v>
      </c>
      <c r="D38" s="768">
        <v>4</v>
      </c>
      <c r="E38" s="977">
        <v>4</v>
      </c>
      <c r="F38" s="768">
        <v>4</v>
      </c>
      <c r="G38" s="768">
        <v>4</v>
      </c>
      <c r="H38" s="768"/>
      <c r="I38" s="768"/>
      <c r="J38" s="977">
        <v>3</v>
      </c>
      <c r="K38" s="768">
        <v>3</v>
      </c>
      <c r="L38" s="768">
        <v>3</v>
      </c>
      <c r="M38" s="768">
        <v>3</v>
      </c>
      <c r="N38" s="768">
        <v>3</v>
      </c>
      <c r="O38" s="768"/>
      <c r="P38" s="768"/>
      <c r="Q38" s="768">
        <v>11</v>
      </c>
      <c r="R38" s="768">
        <v>11</v>
      </c>
      <c r="S38" s="768">
        <v>11</v>
      </c>
      <c r="T38" s="768">
        <v>11</v>
      </c>
      <c r="U38" s="768">
        <v>11</v>
      </c>
      <c r="V38" s="768" t="s">
        <v>517</v>
      </c>
      <c r="W38" s="768" t="s">
        <v>517</v>
      </c>
      <c r="X38" s="768" t="s">
        <v>481</v>
      </c>
      <c r="Y38" s="768" t="s">
        <v>481</v>
      </c>
      <c r="Z38" s="768" t="s">
        <v>481</v>
      </c>
      <c r="AA38" s="768" t="s">
        <v>481</v>
      </c>
      <c r="AB38" s="768" t="s">
        <v>481</v>
      </c>
      <c r="AC38" s="768"/>
      <c r="AD38" s="768"/>
      <c r="AE38" s="768">
        <v>8</v>
      </c>
      <c r="AF38" s="768">
        <v>8</v>
      </c>
      <c r="AG38" s="774">
        <v>8</v>
      </c>
      <c r="AH38" s="924">
        <v>34</v>
      </c>
      <c r="AI38" s="925">
        <v>37</v>
      </c>
    </row>
    <row r="39" spans="1:38" ht="21.95" customHeight="1" thickBot="1">
      <c r="A39" s="543">
        <v>11</v>
      </c>
      <c r="B39" s="794" t="s">
        <v>518</v>
      </c>
      <c r="C39" s="761" t="s">
        <v>481</v>
      </c>
      <c r="D39" s="761" t="s">
        <v>481</v>
      </c>
      <c r="E39" s="761" t="s">
        <v>481</v>
      </c>
      <c r="F39" s="761" t="s">
        <v>481</v>
      </c>
      <c r="G39" s="761" t="s">
        <v>481</v>
      </c>
      <c r="H39" s="761"/>
      <c r="I39" s="761"/>
      <c r="J39" s="761">
        <v>1</v>
      </c>
      <c r="K39" s="761">
        <v>1</v>
      </c>
      <c r="L39" s="761">
        <v>1</v>
      </c>
      <c r="M39" s="761">
        <v>1</v>
      </c>
      <c r="N39" s="761">
        <v>1</v>
      </c>
      <c r="O39" s="761"/>
      <c r="P39" s="761"/>
      <c r="Q39" s="761">
        <v>9</v>
      </c>
      <c r="R39" s="761">
        <v>9</v>
      </c>
      <c r="S39" s="761">
        <v>9</v>
      </c>
      <c r="T39" s="761">
        <v>9</v>
      </c>
      <c r="U39" s="761">
        <v>9</v>
      </c>
      <c r="V39" s="761" t="s">
        <v>519</v>
      </c>
      <c r="W39" s="761" t="s">
        <v>514</v>
      </c>
      <c r="X39" s="761" t="s">
        <v>481</v>
      </c>
      <c r="Y39" s="761" t="s">
        <v>481</v>
      </c>
      <c r="Z39" s="761" t="s">
        <v>481</v>
      </c>
      <c r="AA39" s="761" t="s">
        <v>481</v>
      </c>
      <c r="AB39" s="761" t="s">
        <v>481</v>
      </c>
      <c r="AC39" s="761"/>
      <c r="AD39" s="761"/>
      <c r="AE39" s="761">
        <v>6</v>
      </c>
      <c r="AF39" s="761">
        <v>6</v>
      </c>
      <c r="AG39" s="775">
        <v>6</v>
      </c>
      <c r="AH39" s="924">
        <v>43</v>
      </c>
      <c r="AI39" s="925">
        <v>37</v>
      </c>
    </row>
    <row r="40" spans="1:38" ht="21.95" customHeight="1">
      <c r="A40" s="540">
        <v>2</v>
      </c>
      <c r="B40" s="45" t="s">
        <v>520</v>
      </c>
      <c r="C40" s="1016">
        <v>5</v>
      </c>
      <c r="D40" s="1016">
        <v>5</v>
      </c>
      <c r="E40" s="1016">
        <v>5</v>
      </c>
      <c r="F40" s="1075">
        <v>5</v>
      </c>
      <c r="G40" s="1075" t="s">
        <v>521</v>
      </c>
      <c r="H40" s="763"/>
      <c r="I40" s="763"/>
      <c r="J40" s="763">
        <v>10</v>
      </c>
      <c r="K40" s="763">
        <v>10</v>
      </c>
      <c r="L40" s="763">
        <v>10</v>
      </c>
      <c r="M40" s="763">
        <v>10</v>
      </c>
      <c r="N40" s="763">
        <v>10</v>
      </c>
      <c r="O40" s="763" t="s">
        <v>514</v>
      </c>
      <c r="P40" s="763" t="s">
        <v>514</v>
      </c>
      <c r="Q40" s="763" t="s">
        <v>481</v>
      </c>
      <c r="R40" s="763" t="s">
        <v>481</v>
      </c>
      <c r="S40" s="763" t="s">
        <v>481</v>
      </c>
      <c r="T40" s="776" t="s">
        <v>481</v>
      </c>
      <c r="U40" s="776" t="s">
        <v>481</v>
      </c>
      <c r="V40" s="763" t="s">
        <v>515</v>
      </c>
      <c r="W40" s="763" t="s">
        <v>515</v>
      </c>
      <c r="X40" s="763">
        <v>7</v>
      </c>
      <c r="Y40" s="763">
        <v>7</v>
      </c>
      <c r="Z40" s="763">
        <v>7</v>
      </c>
      <c r="AA40" s="763">
        <v>7</v>
      </c>
      <c r="AB40" s="763">
        <v>7</v>
      </c>
      <c r="AC40" s="763"/>
      <c r="AD40" s="763"/>
      <c r="AE40" s="1156">
        <v>4</v>
      </c>
      <c r="AF40" s="1156">
        <v>4</v>
      </c>
      <c r="AG40" s="763">
        <v>4</v>
      </c>
      <c r="AH40" s="924">
        <v>60</v>
      </c>
      <c r="AI40" s="925">
        <v>37</v>
      </c>
    </row>
    <row r="41" spans="1:38" ht="21.95" customHeight="1">
      <c r="A41" s="541">
        <v>7</v>
      </c>
      <c r="B41" s="153" t="s">
        <v>522</v>
      </c>
      <c r="C41" s="970">
        <v>3</v>
      </c>
      <c r="D41" s="970">
        <v>3</v>
      </c>
      <c r="E41" s="970">
        <v>3</v>
      </c>
      <c r="F41" s="987">
        <v>3</v>
      </c>
      <c r="G41" s="970">
        <v>3</v>
      </c>
      <c r="H41" s="970"/>
      <c r="I41" s="970"/>
      <c r="J41" s="768">
        <v>11</v>
      </c>
      <c r="K41" s="768">
        <v>11</v>
      </c>
      <c r="L41" s="768">
        <v>11</v>
      </c>
      <c r="M41" s="768">
        <v>11</v>
      </c>
      <c r="N41" s="768">
        <v>11</v>
      </c>
      <c r="O41" s="768" t="s">
        <v>517</v>
      </c>
      <c r="P41" s="768" t="s">
        <v>517</v>
      </c>
      <c r="Q41" s="768" t="s">
        <v>481</v>
      </c>
      <c r="R41" s="768" t="s">
        <v>481</v>
      </c>
      <c r="S41" s="768" t="s">
        <v>481</v>
      </c>
      <c r="T41" s="768" t="s">
        <v>481</v>
      </c>
      <c r="U41" s="768" t="s">
        <v>481</v>
      </c>
      <c r="V41" s="768"/>
      <c r="W41" s="768"/>
      <c r="X41" s="768">
        <v>8</v>
      </c>
      <c r="Y41" s="768">
        <v>8</v>
      </c>
      <c r="Z41" s="768">
        <v>8</v>
      </c>
      <c r="AA41" s="768">
        <v>8</v>
      </c>
      <c r="AB41" s="768">
        <v>8</v>
      </c>
      <c r="AC41" s="768" t="s">
        <v>513</v>
      </c>
      <c r="AD41" s="768" t="s">
        <v>513</v>
      </c>
      <c r="AE41" s="768" t="s">
        <v>481</v>
      </c>
      <c r="AF41" s="768" t="s">
        <v>481</v>
      </c>
      <c r="AG41" s="768" t="s">
        <v>481</v>
      </c>
      <c r="AH41" s="924">
        <v>48</v>
      </c>
      <c r="AI41" s="925">
        <v>37</v>
      </c>
    </row>
    <row r="42" spans="1:38" ht="21.95" customHeight="1" thickBot="1">
      <c r="A42" s="543">
        <v>12</v>
      </c>
      <c r="B42" s="544" t="s">
        <v>523</v>
      </c>
      <c r="C42" s="761">
        <v>1</v>
      </c>
      <c r="D42" s="761">
        <v>1</v>
      </c>
      <c r="E42" s="761">
        <v>1</v>
      </c>
      <c r="F42" s="761">
        <v>1</v>
      </c>
      <c r="G42" s="761">
        <v>1</v>
      </c>
      <c r="H42" s="761"/>
      <c r="I42" s="761"/>
      <c r="J42" s="761">
        <v>9</v>
      </c>
      <c r="K42" s="761">
        <v>9</v>
      </c>
      <c r="L42" s="761">
        <v>9</v>
      </c>
      <c r="M42" s="761">
        <v>9</v>
      </c>
      <c r="N42" s="761">
        <v>9</v>
      </c>
      <c r="O42" s="761" t="s">
        <v>519</v>
      </c>
      <c r="P42" s="761" t="s">
        <v>514</v>
      </c>
      <c r="Q42" s="761" t="s">
        <v>481</v>
      </c>
      <c r="R42" s="761" t="s">
        <v>481</v>
      </c>
      <c r="S42" s="761" t="s">
        <v>481</v>
      </c>
      <c r="T42" s="761" t="s">
        <v>481</v>
      </c>
      <c r="U42" s="761" t="s">
        <v>481</v>
      </c>
      <c r="V42" s="761"/>
      <c r="W42" s="761"/>
      <c r="X42" s="761">
        <v>6</v>
      </c>
      <c r="Y42" s="761">
        <v>6</v>
      </c>
      <c r="Z42" s="761">
        <v>6</v>
      </c>
      <c r="AA42" s="761">
        <v>6</v>
      </c>
      <c r="AB42" s="761">
        <v>6</v>
      </c>
      <c r="AC42" s="761" t="s">
        <v>512</v>
      </c>
      <c r="AD42" s="761" t="s">
        <v>513</v>
      </c>
      <c r="AE42" s="761" t="s">
        <v>481</v>
      </c>
      <c r="AF42" s="761" t="s">
        <v>481</v>
      </c>
      <c r="AG42" s="761" t="s">
        <v>481</v>
      </c>
      <c r="AH42" s="924">
        <v>86</v>
      </c>
      <c r="AI42" s="925">
        <v>37</v>
      </c>
    </row>
    <row r="43" spans="1:38" ht="21.95" customHeight="1">
      <c r="A43" s="545">
        <v>3</v>
      </c>
      <c r="B43" s="836" t="s">
        <v>524</v>
      </c>
      <c r="C43" s="964">
        <v>10</v>
      </c>
      <c r="D43" s="964">
        <v>10</v>
      </c>
      <c r="E43" s="964">
        <v>10</v>
      </c>
      <c r="F43" s="964">
        <v>10</v>
      </c>
      <c r="G43" s="964">
        <v>10</v>
      </c>
      <c r="H43" s="972" t="s">
        <v>514</v>
      </c>
      <c r="I43" s="972" t="s">
        <v>514</v>
      </c>
      <c r="J43" s="764" t="s">
        <v>481</v>
      </c>
      <c r="K43" s="764" t="s">
        <v>481</v>
      </c>
      <c r="L43" s="764" t="s">
        <v>481</v>
      </c>
      <c r="M43" s="764" t="s">
        <v>481</v>
      </c>
      <c r="N43" s="764" t="s">
        <v>481</v>
      </c>
      <c r="O43" s="972" t="s">
        <v>515</v>
      </c>
      <c r="P43" s="972" t="s">
        <v>515</v>
      </c>
      <c r="Q43" s="764">
        <v>7</v>
      </c>
      <c r="R43" s="767">
        <v>7</v>
      </c>
      <c r="S43" s="764">
        <v>7</v>
      </c>
      <c r="T43" s="764">
        <v>7</v>
      </c>
      <c r="U43" s="764">
        <v>7</v>
      </c>
      <c r="V43" s="764"/>
      <c r="W43" s="764"/>
      <c r="X43" s="972">
        <v>4</v>
      </c>
      <c r="Y43" s="972">
        <v>4</v>
      </c>
      <c r="Z43" s="764">
        <v>4</v>
      </c>
      <c r="AA43" s="764">
        <v>4</v>
      </c>
      <c r="AB43" s="764">
        <v>4</v>
      </c>
      <c r="AC43" s="764"/>
      <c r="AD43" s="764"/>
      <c r="AE43" s="972">
        <v>3</v>
      </c>
      <c r="AF43" s="972">
        <v>3</v>
      </c>
      <c r="AG43" s="764">
        <v>3</v>
      </c>
      <c r="AH43" s="924">
        <v>93</v>
      </c>
      <c r="AI43" s="925">
        <v>37</v>
      </c>
    </row>
    <row r="44" spans="1:38" ht="21.95" customHeight="1">
      <c r="A44" s="541">
        <v>8</v>
      </c>
      <c r="B44" s="319" t="s">
        <v>525</v>
      </c>
      <c r="C44" s="1038">
        <v>11</v>
      </c>
      <c r="D44" s="1038">
        <v>11</v>
      </c>
      <c r="E44" s="1038">
        <v>11</v>
      </c>
      <c r="F44" s="1038">
        <v>11</v>
      </c>
      <c r="G44" s="1245">
        <v>11</v>
      </c>
      <c r="H44" s="1038" t="s">
        <v>517</v>
      </c>
      <c r="I44" s="1038" t="s">
        <v>517</v>
      </c>
      <c r="J44" s="1038" t="s">
        <v>481</v>
      </c>
      <c r="K44" s="1038" t="s">
        <v>481</v>
      </c>
      <c r="L44" s="1038" t="s">
        <v>481</v>
      </c>
      <c r="M44" s="1038" t="s">
        <v>481</v>
      </c>
      <c r="N44" s="1038" t="s">
        <v>481</v>
      </c>
      <c r="O44" s="1038"/>
      <c r="P44" s="1038"/>
      <c r="Q44" s="1042">
        <v>8</v>
      </c>
      <c r="R44" s="1038">
        <v>8</v>
      </c>
      <c r="S44" s="1161">
        <v>8</v>
      </c>
      <c r="T44" s="1038">
        <v>8</v>
      </c>
      <c r="U44" s="1038">
        <v>8</v>
      </c>
      <c r="V44" s="1038" t="s">
        <v>513</v>
      </c>
      <c r="W44" s="1038" t="s">
        <v>513</v>
      </c>
      <c r="X44" s="1038" t="s">
        <v>481</v>
      </c>
      <c r="Y44" s="1038" t="s">
        <v>481</v>
      </c>
      <c r="Z44" s="1038" t="s">
        <v>481</v>
      </c>
      <c r="AA44" s="1038" t="s">
        <v>481</v>
      </c>
      <c r="AB44" s="1038" t="s">
        <v>481</v>
      </c>
      <c r="AC44" s="1038"/>
      <c r="AD44" s="1038"/>
      <c r="AE44" s="1038">
        <v>1</v>
      </c>
      <c r="AF44" s="1038">
        <v>1</v>
      </c>
      <c r="AG44" s="1038">
        <v>1</v>
      </c>
      <c r="AH44" s="924">
        <v>100.5</v>
      </c>
      <c r="AI44" s="925">
        <v>12.5</v>
      </c>
    </row>
    <row r="45" spans="1:38" ht="21.95" customHeight="1" thickBot="1">
      <c r="A45" s="543">
        <v>13</v>
      </c>
      <c r="B45" s="52" t="s">
        <v>526</v>
      </c>
      <c r="C45" s="761">
        <v>3</v>
      </c>
      <c r="D45" s="761">
        <v>3</v>
      </c>
      <c r="E45" s="761">
        <v>3</v>
      </c>
      <c r="F45" s="761">
        <v>3</v>
      </c>
      <c r="G45" s="1126">
        <v>3</v>
      </c>
      <c r="H45" s="761"/>
      <c r="I45" s="761"/>
      <c r="J45" s="761" t="s">
        <v>481</v>
      </c>
      <c r="K45" s="761" t="s">
        <v>481</v>
      </c>
      <c r="L45" s="761" t="s">
        <v>481</v>
      </c>
      <c r="M45" s="761" t="s">
        <v>481</v>
      </c>
      <c r="N45" s="761" t="s">
        <v>481</v>
      </c>
      <c r="O45" s="761"/>
      <c r="P45" s="761"/>
      <c r="Q45" s="761" t="s">
        <v>485</v>
      </c>
      <c r="R45" s="761" t="s">
        <v>485</v>
      </c>
      <c r="S45" s="761">
        <v>4</v>
      </c>
      <c r="T45" s="761" t="s">
        <v>485</v>
      </c>
      <c r="U45" s="761" t="s">
        <v>485</v>
      </c>
      <c r="V45" s="761"/>
      <c r="W45" s="761"/>
      <c r="X45" s="761" t="s">
        <v>481</v>
      </c>
      <c r="Y45" s="761" t="s">
        <v>481</v>
      </c>
      <c r="Z45" s="761" t="s">
        <v>481</v>
      </c>
      <c r="AA45" s="761" t="s">
        <v>481</v>
      </c>
      <c r="AB45" s="761" t="s">
        <v>481</v>
      </c>
      <c r="AC45" s="761"/>
      <c r="AD45" s="761"/>
      <c r="AE45" s="1037">
        <v>5</v>
      </c>
      <c r="AF45" s="1037">
        <v>5</v>
      </c>
      <c r="AG45" s="761">
        <v>5</v>
      </c>
      <c r="AH45" s="924">
        <v>150.5</v>
      </c>
      <c r="AI45" s="925">
        <v>37</v>
      </c>
    </row>
    <row r="46" spans="1:38" ht="21.95" customHeight="1">
      <c r="A46" s="545">
        <v>4</v>
      </c>
      <c r="B46" s="319" t="s">
        <v>527</v>
      </c>
      <c r="C46" s="768" t="s">
        <v>481</v>
      </c>
      <c r="D46" s="768" t="s">
        <v>481</v>
      </c>
      <c r="E46" s="768" t="s">
        <v>481</v>
      </c>
      <c r="F46" s="768" t="s">
        <v>481</v>
      </c>
      <c r="G46" s="768" t="s">
        <v>481</v>
      </c>
      <c r="H46" s="977" t="s">
        <v>515</v>
      </c>
      <c r="I46" s="768" t="s">
        <v>515</v>
      </c>
      <c r="J46" s="764">
        <v>7</v>
      </c>
      <c r="K46" s="764">
        <v>7</v>
      </c>
      <c r="L46" s="764">
        <v>7</v>
      </c>
      <c r="M46" s="764">
        <v>7</v>
      </c>
      <c r="N46" s="764">
        <v>7</v>
      </c>
      <c r="O46" s="764"/>
      <c r="P46" s="764"/>
      <c r="Q46" s="764">
        <v>4</v>
      </c>
      <c r="R46" s="764">
        <v>4</v>
      </c>
      <c r="S46" s="1131" t="s">
        <v>491</v>
      </c>
      <c r="T46" s="764">
        <v>4</v>
      </c>
      <c r="U46" s="764">
        <v>4</v>
      </c>
      <c r="V46" s="764"/>
      <c r="W46" s="764"/>
      <c r="X46" s="764">
        <v>3</v>
      </c>
      <c r="Y46" s="764">
        <v>3</v>
      </c>
      <c r="Z46" s="764">
        <v>3</v>
      </c>
      <c r="AA46" s="764">
        <v>3</v>
      </c>
      <c r="AB46" s="764">
        <v>3</v>
      </c>
      <c r="AC46" s="764"/>
      <c r="AD46" s="764"/>
      <c r="AE46" s="764">
        <v>11</v>
      </c>
      <c r="AF46" s="764">
        <v>11</v>
      </c>
      <c r="AG46" s="771">
        <v>11</v>
      </c>
      <c r="AH46" s="924">
        <v>62</v>
      </c>
      <c r="AI46" s="925">
        <v>37</v>
      </c>
    </row>
    <row r="47" spans="1:38" ht="21.95" customHeight="1">
      <c r="A47" s="541">
        <v>9</v>
      </c>
      <c r="B47" s="319" t="s">
        <v>528</v>
      </c>
      <c r="C47" s="768" t="s">
        <v>481</v>
      </c>
      <c r="D47" s="768" t="s">
        <v>481</v>
      </c>
      <c r="E47" s="768" t="s">
        <v>481</v>
      </c>
      <c r="F47" s="768" t="s">
        <v>481</v>
      </c>
      <c r="G47" s="768" t="s">
        <v>481</v>
      </c>
      <c r="H47" s="768"/>
      <c r="I47" s="768"/>
      <c r="J47" s="768">
        <v>8</v>
      </c>
      <c r="K47" s="768">
        <v>8</v>
      </c>
      <c r="L47" s="768">
        <v>8</v>
      </c>
      <c r="M47" s="768">
        <v>8</v>
      </c>
      <c r="N47" s="768">
        <v>8</v>
      </c>
      <c r="O47" s="768" t="s">
        <v>513</v>
      </c>
      <c r="P47" s="768" t="s">
        <v>513</v>
      </c>
      <c r="Q47" s="768" t="s">
        <v>481</v>
      </c>
      <c r="R47" s="768" t="s">
        <v>481</v>
      </c>
      <c r="S47" s="768" t="s">
        <v>481</v>
      </c>
      <c r="T47" s="768" t="s">
        <v>481</v>
      </c>
      <c r="U47" s="768" t="s">
        <v>481</v>
      </c>
      <c r="V47" s="768"/>
      <c r="W47" s="768"/>
      <c r="X47" s="768">
        <v>1</v>
      </c>
      <c r="Y47" s="768">
        <v>1</v>
      </c>
      <c r="Z47" s="768">
        <v>1</v>
      </c>
      <c r="AA47" s="768">
        <v>1</v>
      </c>
      <c r="AB47" s="768">
        <v>1</v>
      </c>
      <c r="AC47" s="768"/>
      <c r="AD47" s="768"/>
      <c r="AE47" s="768">
        <v>9</v>
      </c>
      <c r="AF47" s="768">
        <v>9</v>
      </c>
      <c r="AG47" s="769">
        <v>9</v>
      </c>
      <c r="AH47" s="924">
        <v>0</v>
      </c>
      <c r="AI47" s="925">
        <v>0</v>
      </c>
    </row>
    <row r="48" spans="1:38" ht="21.95" customHeight="1" thickBot="1">
      <c r="A48" s="543">
        <v>14</v>
      </c>
      <c r="B48" s="544" t="s">
        <v>529</v>
      </c>
      <c r="C48" s="761" t="s">
        <v>481</v>
      </c>
      <c r="D48" s="761" t="s">
        <v>481</v>
      </c>
      <c r="E48" s="764" t="s">
        <v>481</v>
      </c>
      <c r="F48" s="764" t="s">
        <v>481</v>
      </c>
      <c r="G48" s="764" t="s">
        <v>481</v>
      </c>
      <c r="H48" s="764"/>
      <c r="I48" s="764"/>
      <c r="J48" s="764">
        <v>6</v>
      </c>
      <c r="K48" s="764">
        <v>6</v>
      </c>
      <c r="L48" s="761">
        <v>6</v>
      </c>
      <c r="M48" s="761">
        <v>6</v>
      </c>
      <c r="N48" s="761">
        <v>6</v>
      </c>
      <c r="O48" s="967" t="s">
        <v>512</v>
      </c>
      <c r="P48" s="967" t="s">
        <v>513</v>
      </c>
      <c r="Q48" s="761" t="s">
        <v>481</v>
      </c>
      <c r="R48" s="761" t="s">
        <v>481</v>
      </c>
      <c r="S48" s="761" t="s">
        <v>481</v>
      </c>
      <c r="T48" s="761" t="s">
        <v>481</v>
      </c>
      <c r="U48" s="761" t="s">
        <v>481</v>
      </c>
      <c r="V48" s="761"/>
      <c r="W48" s="761"/>
      <c r="X48" s="1126">
        <v>5</v>
      </c>
      <c r="Y48" s="1126">
        <v>5</v>
      </c>
      <c r="Z48" s="761">
        <v>5</v>
      </c>
      <c r="AA48" s="761">
        <v>5</v>
      </c>
      <c r="AB48" s="761">
        <v>5</v>
      </c>
      <c r="AC48" s="761"/>
      <c r="AD48" s="761"/>
      <c r="AE48" s="761">
        <v>10</v>
      </c>
      <c r="AF48" s="761">
        <v>10</v>
      </c>
      <c r="AG48" s="780">
        <v>10</v>
      </c>
      <c r="AH48" s="924">
        <v>108</v>
      </c>
      <c r="AI48" s="925">
        <v>37</v>
      </c>
    </row>
    <row r="49" spans="1:35" ht="21.95" customHeight="1" thickBot="1">
      <c r="A49" s="540">
        <v>5</v>
      </c>
      <c r="B49" s="542" t="s">
        <v>530</v>
      </c>
      <c r="C49" s="763">
        <v>7</v>
      </c>
      <c r="D49" s="763">
        <v>7</v>
      </c>
      <c r="E49" s="763">
        <v>7</v>
      </c>
      <c r="F49" s="763">
        <v>7</v>
      </c>
      <c r="G49" s="763">
        <v>7</v>
      </c>
      <c r="H49" s="763"/>
      <c r="I49" s="763"/>
      <c r="J49" s="763">
        <v>4</v>
      </c>
      <c r="K49" s="763">
        <v>4</v>
      </c>
      <c r="L49" s="761">
        <v>4</v>
      </c>
      <c r="M49" s="761">
        <v>4</v>
      </c>
      <c r="N49" s="763">
        <v>4</v>
      </c>
      <c r="O49" s="763"/>
      <c r="P49" s="763"/>
      <c r="Q49" s="764">
        <v>3</v>
      </c>
      <c r="R49" s="763">
        <v>3</v>
      </c>
      <c r="S49" s="1131" t="s">
        <v>491</v>
      </c>
      <c r="T49" s="768">
        <v>3</v>
      </c>
      <c r="U49" s="768">
        <v>3</v>
      </c>
      <c r="V49" s="768"/>
      <c r="W49" s="768"/>
      <c r="X49" s="768">
        <v>11</v>
      </c>
      <c r="Y49" s="768">
        <v>11</v>
      </c>
      <c r="Z49" s="768">
        <v>11</v>
      </c>
      <c r="AA49" s="768">
        <v>11</v>
      </c>
      <c r="AB49" s="768">
        <v>11</v>
      </c>
      <c r="AC49" s="768" t="s">
        <v>517</v>
      </c>
      <c r="AD49" s="768" t="s">
        <v>517</v>
      </c>
      <c r="AE49" s="781" t="s">
        <v>481</v>
      </c>
      <c r="AF49" s="763" t="s">
        <v>481</v>
      </c>
      <c r="AG49" s="781" t="s">
        <v>481</v>
      </c>
      <c r="AH49" s="924">
        <v>33</v>
      </c>
      <c r="AI49" s="925">
        <v>37</v>
      </c>
    </row>
    <row r="50" spans="1:35" ht="21.95" customHeight="1">
      <c r="A50" s="541">
        <v>10</v>
      </c>
      <c r="B50" s="319" t="s">
        <v>531</v>
      </c>
      <c r="C50" s="768">
        <v>8</v>
      </c>
      <c r="D50" s="768">
        <v>8</v>
      </c>
      <c r="E50" s="768">
        <v>8</v>
      </c>
      <c r="F50" s="768">
        <v>8</v>
      </c>
      <c r="G50" s="768">
        <v>8</v>
      </c>
      <c r="H50" s="768" t="s">
        <v>513</v>
      </c>
      <c r="I50" s="768" t="s">
        <v>513</v>
      </c>
      <c r="J50" s="768" t="s">
        <v>481</v>
      </c>
      <c r="K50" s="768" t="s">
        <v>481</v>
      </c>
      <c r="L50" s="768" t="s">
        <v>481</v>
      </c>
      <c r="M50" s="768" t="s">
        <v>481</v>
      </c>
      <c r="N50" s="768" t="s">
        <v>481</v>
      </c>
      <c r="O50" s="768"/>
      <c r="P50" s="768"/>
      <c r="Q50" s="768">
        <v>1</v>
      </c>
      <c r="R50" s="768">
        <v>1</v>
      </c>
      <c r="S50" s="768">
        <v>1</v>
      </c>
      <c r="T50" s="768">
        <v>1</v>
      </c>
      <c r="U50" s="768">
        <v>1</v>
      </c>
      <c r="V50" s="768"/>
      <c r="W50" s="768"/>
      <c r="X50" s="768">
        <v>9</v>
      </c>
      <c r="Y50" s="768">
        <v>9</v>
      </c>
      <c r="Z50" s="768">
        <v>9</v>
      </c>
      <c r="AA50" s="768">
        <v>9</v>
      </c>
      <c r="AB50" s="768">
        <v>9</v>
      </c>
      <c r="AC50" s="768" t="s">
        <v>519</v>
      </c>
      <c r="AD50" s="768" t="s">
        <v>514</v>
      </c>
      <c r="AE50" s="769" t="s">
        <v>481</v>
      </c>
      <c r="AF50" s="768" t="s">
        <v>481</v>
      </c>
      <c r="AG50" s="769" t="s">
        <v>481</v>
      </c>
      <c r="AH50" s="924">
        <v>100</v>
      </c>
      <c r="AI50" s="925">
        <v>37</v>
      </c>
    </row>
    <row r="51" spans="1:35" ht="21.95" customHeight="1" thickBot="1">
      <c r="A51" s="543">
        <v>15</v>
      </c>
      <c r="B51" s="52" t="s">
        <v>532</v>
      </c>
      <c r="C51" s="761">
        <v>6</v>
      </c>
      <c r="D51" s="761">
        <v>6</v>
      </c>
      <c r="E51" s="761">
        <v>6</v>
      </c>
      <c r="F51" s="761">
        <v>6</v>
      </c>
      <c r="G51" s="761">
        <v>6</v>
      </c>
      <c r="H51" s="761" t="s">
        <v>512</v>
      </c>
      <c r="I51" s="761" t="s">
        <v>513</v>
      </c>
      <c r="J51" s="761" t="s">
        <v>481</v>
      </c>
      <c r="K51" s="761" t="s">
        <v>481</v>
      </c>
      <c r="L51" s="761" t="s">
        <v>481</v>
      </c>
      <c r="M51" s="761" t="s">
        <v>481</v>
      </c>
      <c r="N51" s="761" t="s">
        <v>481</v>
      </c>
      <c r="O51" s="761"/>
      <c r="P51" s="761"/>
      <c r="Q51" s="967">
        <v>5</v>
      </c>
      <c r="R51" s="967">
        <v>5</v>
      </c>
      <c r="S51" s="967">
        <v>5</v>
      </c>
      <c r="T51" s="967">
        <v>5</v>
      </c>
      <c r="U51" s="967">
        <v>5</v>
      </c>
      <c r="V51" s="967"/>
      <c r="W51" s="967"/>
      <c r="X51" s="761">
        <v>10</v>
      </c>
      <c r="Y51" s="761">
        <v>10</v>
      </c>
      <c r="Z51" s="761">
        <v>10</v>
      </c>
      <c r="AA51" s="761">
        <v>10</v>
      </c>
      <c r="AB51" s="761">
        <v>10</v>
      </c>
      <c r="AC51" s="761" t="s">
        <v>514</v>
      </c>
      <c r="AD51" s="761" t="s">
        <v>514</v>
      </c>
      <c r="AE51" s="780" t="s">
        <v>481</v>
      </c>
      <c r="AF51" s="761" t="s">
        <v>481</v>
      </c>
      <c r="AG51" s="780" t="s">
        <v>481</v>
      </c>
      <c r="AH51" s="924">
        <v>94</v>
      </c>
      <c r="AI51" s="925">
        <v>37</v>
      </c>
    </row>
    <row r="52" spans="1:35" ht="21.95" customHeight="1">
      <c r="A52" s="516"/>
      <c r="C52" s="538"/>
      <c r="D52" s="538"/>
      <c r="E52" s="538"/>
      <c r="F52" s="538"/>
      <c r="G52" s="538"/>
      <c r="H52" s="538"/>
      <c r="I52" s="538"/>
      <c r="J52" s="538"/>
      <c r="K52" s="538"/>
      <c r="L52" s="538"/>
      <c r="M52" s="538"/>
      <c r="N52" s="538"/>
      <c r="O52" s="538"/>
      <c r="P52" s="538"/>
      <c r="Q52" s="538"/>
      <c r="R52" s="538"/>
      <c r="S52" s="538"/>
      <c r="T52" s="538"/>
      <c r="U52" s="538"/>
      <c r="V52" s="538"/>
      <c r="W52" s="538"/>
      <c r="X52" s="538"/>
      <c r="Y52" s="538"/>
      <c r="Z52" s="538"/>
      <c r="AA52" s="538"/>
      <c r="AB52" s="538"/>
      <c r="AC52" s="538"/>
      <c r="AD52" s="538"/>
      <c r="AE52" s="538"/>
      <c r="AF52" s="538"/>
      <c r="AG52" s="538"/>
      <c r="AH52" s="1"/>
    </row>
    <row r="53" spans="1:35" ht="21.95" customHeight="1">
      <c r="A53" s="516"/>
      <c r="C53" s="538"/>
      <c r="D53" s="538"/>
      <c r="E53" s="538"/>
      <c r="F53" s="538"/>
      <c r="G53" s="538"/>
      <c r="H53" s="538"/>
      <c r="I53" s="538"/>
      <c r="J53" s="538"/>
      <c r="K53" s="538"/>
      <c r="L53" s="538"/>
      <c r="M53" s="538"/>
      <c r="N53" s="538"/>
      <c r="O53" s="538"/>
      <c r="P53" s="538"/>
      <c r="Q53" s="538"/>
      <c r="R53" s="538"/>
      <c r="S53" s="538"/>
      <c r="T53" s="538"/>
      <c r="U53" s="538"/>
      <c r="V53" s="538"/>
      <c r="W53" s="538"/>
      <c r="X53" s="538"/>
      <c r="Y53" s="538"/>
      <c r="Z53" s="538"/>
      <c r="AA53" s="538"/>
      <c r="AB53" s="538"/>
      <c r="AC53" s="538"/>
      <c r="AD53" s="538"/>
      <c r="AE53" s="538"/>
      <c r="AF53" s="538"/>
      <c r="AG53" s="538"/>
      <c r="AH53" s="1"/>
    </row>
    <row r="54" spans="1:35" ht="21.95" customHeight="1">
      <c r="A54" s="516"/>
      <c r="C54" s="538"/>
      <c r="D54" s="538"/>
      <c r="E54" s="538"/>
      <c r="F54" s="538"/>
      <c r="G54" s="538"/>
      <c r="H54" s="538"/>
      <c r="I54" s="538"/>
      <c r="J54" s="538"/>
      <c r="K54" s="538"/>
      <c r="L54" s="538"/>
      <c r="M54" s="538"/>
      <c r="N54" s="538"/>
      <c r="O54" s="538"/>
      <c r="P54" s="538"/>
      <c r="Q54" s="538"/>
      <c r="R54" s="538"/>
      <c r="S54" s="538"/>
      <c r="T54" s="538"/>
      <c r="U54" s="538"/>
      <c r="V54" s="538"/>
      <c r="W54" s="538"/>
      <c r="X54" s="538"/>
      <c r="Y54" s="538"/>
      <c r="Z54" s="538"/>
      <c r="AA54" s="538"/>
      <c r="AB54" s="538"/>
      <c r="AC54" s="538"/>
      <c r="AD54" s="538"/>
      <c r="AE54" s="538"/>
      <c r="AF54" s="538"/>
      <c r="AG54" s="538"/>
      <c r="AH54" s="1"/>
    </row>
    <row r="55" spans="1:35" ht="21.95" customHeight="1" thickBot="1">
      <c r="A55" s="554"/>
      <c r="C55" s="555"/>
      <c r="D55" s="555"/>
      <c r="E55" s="555"/>
      <c r="F55" s="555"/>
      <c r="G55" s="555"/>
      <c r="H55" s="555"/>
      <c r="I55" s="555"/>
      <c r="J55" s="555"/>
      <c r="K55" s="555"/>
      <c r="L55" s="555"/>
      <c r="M55" s="555"/>
      <c r="N55" s="555"/>
      <c r="O55" s="555"/>
      <c r="P55" s="555"/>
      <c r="Q55" s="555"/>
      <c r="R55" s="555"/>
      <c r="S55" s="555"/>
      <c r="T55" s="555"/>
      <c r="U55" s="555"/>
      <c r="V55" s="555"/>
      <c r="W55" s="555"/>
      <c r="X55" s="555"/>
      <c r="Y55" s="555"/>
      <c r="Z55" s="555"/>
      <c r="AA55" s="555"/>
      <c r="AB55" s="555"/>
      <c r="AC55" s="555"/>
      <c r="AD55" s="555"/>
      <c r="AE55" s="555"/>
      <c r="AF55" s="555"/>
      <c r="AG55" s="555"/>
      <c r="AH55" s="556"/>
      <c r="AI55" s="556"/>
    </row>
    <row r="56" spans="1:35" ht="21.95" customHeight="1">
      <c r="A56" s="361"/>
      <c r="B56" s="23" t="s">
        <v>533</v>
      </c>
      <c r="C56" s="7"/>
      <c r="D56" s="414" t="s">
        <v>2</v>
      </c>
      <c r="E56" s="547"/>
      <c r="F56" s="7"/>
      <c r="G56" s="6" t="s">
        <v>3</v>
      </c>
      <c r="H56" s="548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49"/>
      <c r="R56" s="118"/>
      <c r="S56" s="6" t="s">
        <v>7</v>
      </c>
      <c r="T56" s="550"/>
      <c r="U56" s="118"/>
      <c r="V56" s="6" t="s">
        <v>8</v>
      </c>
      <c r="W56" s="549"/>
      <c r="X56" s="349" t="s">
        <v>9</v>
      </c>
      <c r="Y56" s="557"/>
      <c r="Z56" s="557"/>
      <c r="AA56" s="558"/>
      <c r="AB56" s="27" t="s">
        <v>10</v>
      </c>
      <c r="AC56" s="551"/>
      <c r="AD56" s="551"/>
      <c r="AE56" s="559"/>
      <c r="AF56" s="559"/>
      <c r="AG56" s="560"/>
    </row>
    <row r="57" spans="1:35" ht="21.95" customHeight="1">
      <c r="A57" s="361"/>
      <c r="B57" s="306" t="s">
        <v>534</v>
      </c>
      <c r="C57" s="561" t="s">
        <v>535</v>
      </c>
      <c r="D57" s="483"/>
      <c r="E57" s="484"/>
      <c r="F57" s="561" t="s">
        <v>535</v>
      </c>
      <c r="G57" s="483"/>
      <c r="H57" s="484"/>
      <c r="I57" s="561" t="s">
        <v>535</v>
      </c>
      <c r="J57" s="483"/>
      <c r="K57" s="484"/>
      <c r="L57" s="561" t="s">
        <v>535</v>
      </c>
      <c r="M57" s="483"/>
      <c r="N57" s="484"/>
      <c r="O57" s="561" t="s">
        <v>116</v>
      </c>
      <c r="P57" s="483"/>
      <c r="Q57" s="484"/>
      <c r="R57" s="561"/>
      <c r="S57" s="483"/>
      <c r="T57" s="484"/>
      <c r="U57" s="561"/>
      <c r="V57" s="483"/>
      <c r="W57" s="484"/>
      <c r="X57" s="561"/>
      <c r="Y57" s="483"/>
      <c r="Z57" s="483"/>
      <c r="AA57" s="483"/>
      <c r="AB57" s="476"/>
      <c r="AC57" s="483"/>
      <c r="AD57" s="483"/>
      <c r="AE57" s="483"/>
      <c r="AF57" s="483"/>
      <c r="AG57" s="562"/>
    </row>
    <row r="58" spans="1:35" ht="21.95" customHeight="1">
      <c r="A58" s="361"/>
      <c r="B58" s="306" t="s">
        <v>536</v>
      </c>
      <c r="C58" s="561" t="s">
        <v>147</v>
      </c>
      <c r="D58" s="483"/>
      <c r="E58" s="484"/>
      <c r="F58" s="561" t="s">
        <v>147</v>
      </c>
      <c r="G58" s="483"/>
      <c r="H58" s="484"/>
      <c r="I58" s="561" t="s">
        <v>147</v>
      </c>
      <c r="J58" s="483"/>
      <c r="K58" s="484"/>
      <c r="L58" s="561" t="s">
        <v>147</v>
      </c>
      <c r="M58" s="483"/>
      <c r="N58" s="484"/>
      <c r="O58" s="561" t="s">
        <v>537</v>
      </c>
      <c r="P58" s="483"/>
      <c r="Q58" s="484"/>
      <c r="R58" s="561"/>
      <c r="S58" s="483"/>
      <c r="T58" s="484"/>
      <c r="U58" s="561"/>
      <c r="V58" s="483"/>
      <c r="W58" s="484"/>
      <c r="X58" s="561"/>
      <c r="Y58" s="483"/>
      <c r="Z58" s="483"/>
      <c r="AA58" s="483"/>
      <c r="AB58" s="476"/>
      <c r="AC58" s="483"/>
      <c r="AD58" s="483"/>
      <c r="AE58" s="483"/>
      <c r="AF58" s="483"/>
      <c r="AG58" s="562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 thickBot="1">
      <c r="A60" s="861" t="s">
        <v>475</v>
      </c>
      <c r="B60" s="862" t="s">
        <v>476</v>
      </c>
      <c r="C60" s="863">
        <v>1</v>
      </c>
      <c r="D60" s="863">
        <v>2</v>
      </c>
      <c r="E60" s="863">
        <v>3</v>
      </c>
      <c r="F60" s="863">
        <v>4</v>
      </c>
      <c r="G60" s="863">
        <v>5</v>
      </c>
      <c r="H60" s="880">
        <v>6</v>
      </c>
      <c r="I60" s="880">
        <v>7</v>
      </c>
      <c r="J60" s="863">
        <v>8</v>
      </c>
      <c r="K60" s="863">
        <v>9</v>
      </c>
      <c r="L60" s="863">
        <v>10</v>
      </c>
      <c r="M60" s="863">
        <v>11</v>
      </c>
      <c r="N60" s="863">
        <v>12</v>
      </c>
      <c r="O60" s="880">
        <v>13</v>
      </c>
      <c r="P60" s="880">
        <v>14</v>
      </c>
      <c r="Q60" s="863">
        <v>15</v>
      </c>
      <c r="R60" s="863">
        <v>16</v>
      </c>
      <c r="S60" s="863">
        <v>17</v>
      </c>
      <c r="T60" s="863">
        <v>18</v>
      </c>
      <c r="U60" s="863">
        <v>19</v>
      </c>
      <c r="V60" s="880">
        <v>20</v>
      </c>
      <c r="W60" s="880">
        <v>21</v>
      </c>
      <c r="X60" s="863">
        <v>22</v>
      </c>
      <c r="Y60" s="863">
        <v>23</v>
      </c>
      <c r="Z60" s="880">
        <v>24</v>
      </c>
      <c r="AA60" s="880">
        <v>25</v>
      </c>
      <c r="AB60" s="880">
        <v>26</v>
      </c>
      <c r="AC60" s="880">
        <v>27</v>
      </c>
      <c r="AD60" s="880">
        <v>28</v>
      </c>
      <c r="AE60" s="863">
        <v>29</v>
      </c>
      <c r="AF60" s="863">
        <v>30</v>
      </c>
      <c r="AG60" s="880">
        <v>31</v>
      </c>
      <c r="AH60" s="864" t="s">
        <v>477</v>
      </c>
      <c r="AI60" s="865" t="s">
        <v>478</v>
      </c>
    </row>
    <row r="61" spans="1:35" ht="21.95" customHeight="1">
      <c r="A61" s="860">
        <v>8520</v>
      </c>
      <c r="B61" s="860" t="s">
        <v>538</v>
      </c>
      <c r="C61" s="764" t="s">
        <v>539</v>
      </c>
      <c r="D61" s="764" t="s">
        <v>539</v>
      </c>
      <c r="E61" s="764" t="s">
        <v>539</v>
      </c>
      <c r="F61" s="764" t="s">
        <v>539</v>
      </c>
      <c r="G61" s="764" t="s">
        <v>539</v>
      </c>
      <c r="H61" s="764"/>
      <c r="I61" s="764"/>
      <c r="J61" s="764" t="s">
        <v>539</v>
      </c>
      <c r="K61" s="764" t="s">
        <v>539</v>
      </c>
      <c r="L61" s="764" t="s">
        <v>539</v>
      </c>
      <c r="M61" s="764" t="s">
        <v>539</v>
      </c>
      <c r="N61" s="764" t="s">
        <v>539</v>
      </c>
      <c r="O61" s="764"/>
      <c r="P61" s="764"/>
      <c r="Q61" s="764" t="s">
        <v>539</v>
      </c>
      <c r="R61" s="764" t="s">
        <v>539</v>
      </c>
      <c r="S61" s="764" t="s">
        <v>539</v>
      </c>
      <c r="T61" s="764" t="s">
        <v>539</v>
      </c>
      <c r="U61" s="764" t="s">
        <v>539</v>
      </c>
      <c r="V61" s="764"/>
      <c r="W61" s="764"/>
      <c r="X61" s="964" t="s">
        <v>539</v>
      </c>
      <c r="Y61" s="964" t="s">
        <v>539</v>
      </c>
      <c r="Z61" s="764"/>
      <c r="AA61" s="764"/>
      <c r="AB61" s="764"/>
      <c r="AC61" s="764"/>
      <c r="AD61" s="764"/>
      <c r="AE61" s="764" t="s">
        <v>539</v>
      </c>
      <c r="AF61" s="764" t="s">
        <v>539</v>
      </c>
      <c r="AG61" s="764"/>
      <c r="AH61" s="510">
        <v>75</v>
      </c>
      <c r="AI61" s="511">
        <v>37</v>
      </c>
    </row>
    <row r="62" spans="1:35" ht="21.95" customHeight="1" thickBot="1">
      <c r="A62" s="866">
        <v>8521</v>
      </c>
      <c r="B62" s="866"/>
      <c r="C62" s="867" t="s">
        <v>540</v>
      </c>
      <c r="D62" s="867" t="s">
        <v>540</v>
      </c>
      <c r="E62" s="867" t="s">
        <v>540</v>
      </c>
      <c r="F62" s="867" t="s">
        <v>540</v>
      </c>
      <c r="G62" s="867" t="s">
        <v>540</v>
      </c>
      <c r="H62" s="867"/>
      <c r="I62" s="867"/>
      <c r="J62" s="867" t="s">
        <v>540</v>
      </c>
      <c r="K62" s="867" t="s">
        <v>540</v>
      </c>
      <c r="L62" s="867" t="s">
        <v>540</v>
      </c>
      <c r="M62" s="867" t="s">
        <v>540</v>
      </c>
      <c r="N62" s="867" t="s">
        <v>540</v>
      </c>
      <c r="O62" s="867"/>
      <c r="P62" s="867"/>
      <c r="Q62" s="867" t="s">
        <v>540</v>
      </c>
      <c r="R62" s="867" t="s">
        <v>540</v>
      </c>
      <c r="S62" s="867" t="s">
        <v>540</v>
      </c>
      <c r="T62" s="867" t="s">
        <v>540</v>
      </c>
      <c r="U62" s="867" t="s">
        <v>540</v>
      </c>
      <c r="V62" s="867"/>
      <c r="W62" s="867"/>
      <c r="X62" s="867" t="s">
        <v>540</v>
      </c>
      <c r="Y62" s="867" t="s">
        <v>540</v>
      </c>
      <c r="Z62" s="867"/>
      <c r="AA62" s="867"/>
      <c r="AB62" s="867"/>
      <c r="AC62" s="867"/>
      <c r="AD62" s="867"/>
      <c r="AE62" s="867" t="s">
        <v>540</v>
      </c>
      <c r="AF62" s="867" t="s">
        <v>540</v>
      </c>
      <c r="AG62" s="867"/>
      <c r="AH62" s="868">
        <v>185</v>
      </c>
      <c r="AI62" s="869">
        <v>37</v>
      </c>
    </row>
    <row r="63" spans="1:35" ht="21.95" customHeight="1">
      <c r="A63" s="361"/>
      <c r="B63" s="361"/>
      <c r="C63" s="538"/>
      <c r="D63" s="517"/>
      <c r="E63" s="517"/>
      <c r="F63" s="517"/>
      <c r="G63" s="517"/>
      <c r="H63" s="517"/>
      <c r="I63" s="517"/>
      <c r="J63" s="517"/>
      <c r="K63" s="517"/>
      <c r="L63" s="517"/>
      <c r="M63" s="517"/>
      <c r="N63" s="517"/>
      <c r="O63" s="517"/>
      <c r="P63" s="517"/>
      <c r="Q63" s="517"/>
      <c r="R63" s="517"/>
      <c r="S63" s="517"/>
      <c r="T63" s="517"/>
      <c r="U63" s="517"/>
      <c r="V63" s="517"/>
      <c r="W63" s="517"/>
      <c r="X63" s="517"/>
      <c r="Y63" s="517"/>
      <c r="Z63" s="517"/>
      <c r="AA63" s="517"/>
      <c r="AB63" s="517"/>
      <c r="AC63" s="517"/>
      <c r="AD63" s="517"/>
      <c r="AE63" s="517"/>
      <c r="AF63" s="517"/>
      <c r="AG63" s="517"/>
      <c r="AH63" s="556"/>
      <c r="AI63" s="556"/>
    </row>
    <row r="64" spans="1:35" ht="21.95" customHeight="1">
      <c r="A64" s="361"/>
      <c r="B64" s="361"/>
      <c r="C64" s="538"/>
      <c r="D64" s="517"/>
      <c r="E64" s="517"/>
      <c r="F64" s="517"/>
      <c r="G64" s="517"/>
      <c r="H64" s="517"/>
      <c r="I64" s="517"/>
      <c r="J64" s="517"/>
      <c r="K64" s="517"/>
      <c r="L64" s="517"/>
      <c r="M64" s="517"/>
      <c r="N64" s="517"/>
      <c r="O64" s="517"/>
      <c r="P64" s="517"/>
      <c r="Q64" s="517"/>
      <c r="R64" s="517"/>
      <c r="S64" s="517"/>
      <c r="T64" s="517"/>
      <c r="U64" s="517"/>
      <c r="V64" s="517"/>
      <c r="W64" s="517"/>
      <c r="X64" s="517"/>
      <c r="Y64" s="517"/>
      <c r="Z64" s="517"/>
      <c r="AA64" s="517"/>
      <c r="AB64" s="517"/>
      <c r="AC64" s="517"/>
      <c r="AD64" s="517"/>
      <c r="AE64" s="517"/>
      <c r="AF64" s="517"/>
      <c r="AG64" s="517"/>
      <c r="AH64" s="556"/>
      <c r="AI64" s="556"/>
    </row>
    <row r="65" spans="1:43" ht="21.95" customHeight="1">
      <c r="A65" s="361"/>
      <c r="B65" s="361"/>
      <c r="C65" s="538"/>
      <c r="D65" s="517"/>
      <c r="E65" s="517"/>
      <c r="F65" s="517"/>
      <c r="G65" s="517"/>
      <c r="H65" s="517"/>
      <c r="I65" s="517"/>
      <c r="J65" s="517"/>
      <c r="K65" s="517"/>
      <c r="L65" s="517"/>
      <c r="M65" s="517"/>
      <c r="N65" s="517"/>
      <c r="O65" s="517"/>
      <c r="P65" s="517"/>
      <c r="Q65" s="517"/>
      <c r="R65" s="517"/>
      <c r="S65" s="517"/>
      <c r="T65" s="517"/>
      <c r="U65" s="517"/>
      <c r="V65" s="517"/>
      <c r="W65" s="517"/>
      <c r="X65" s="517"/>
      <c r="Y65" s="517"/>
      <c r="Z65" s="517"/>
      <c r="AA65" s="517"/>
      <c r="AB65" s="517"/>
      <c r="AC65" s="517"/>
      <c r="AD65" s="517"/>
      <c r="AE65" s="517"/>
      <c r="AF65" s="517"/>
      <c r="AG65" s="517"/>
      <c r="AH65" s="556"/>
      <c r="AI65" s="556"/>
    </row>
    <row r="66" spans="1:43" ht="21.95" customHeight="1" thickBot="1">
      <c r="A66" s="1" t="s">
        <v>541</v>
      </c>
      <c r="D66" s="361"/>
      <c r="E66" s="361"/>
      <c r="F66" s="361"/>
      <c r="G66" s="546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43" ht="21.95" customHeight="1">
      <c r="A67" s="1"/>
      <c r="B67" s="23" t="s">
        <v>542</v>
      </c>
      <c r="C67" s="7"/>
      <c r="D67" s="522" t="s">
        <v>2</v>
      </c>
      <c r="E67" s="51"/>
      <c r="F67" s="548"/>
      <c r="G67" s="7"/>
      <c r="H67" s="522" t="s">
        <v>3</v>
      </c>
      <c r="I67" s="51"/>
      <c r="J67" s="548"/>
      <c r="K67" s="7"/>
      <c r="L67" s="522" t="s">
        <v>4</v>
      </c>
      <c r="M67" s="51"/>
      <c r="N67" s="548"/>
      <c r="O67" s="7"/>
      <c r="P67" s="522" t="s">
        <v>5</v>
      </c>
      <c r="Q67" s="51"/>
      <c r="R67" s="548"/>
      <c r="S67" s="7"/>
      <c r="T67" s="522" t="s">
        <v>6</v>
      </c>
      <c r="U67" s="51"/>
      <c r="V67" s="548"/>
      <c r="W67" s="27"/>
      <c r="X67" s="713" t="s">
        <v>7</v>
      </c>
      <c r="Y67" s="519"/>
      <c r="Z67" s="238"/>
      <c r="AA67" s="7"/>
      <c r="AB67" s="522" t="s">
        <v>8</v>
      </c>
      <c r="AC67" s="51"/>
      <c r="AD67" s="51"/>
      <c r="AE67" s="349" t="s">
        <v>9</v>
      </c>
      <c r="AF67" s="51"/>
      <c r="AG67" s="51"/>
      <c r="AH67" s="51"/>
      <c r="AI67" s="523"/>
    </row>
    <row r="68" spans="1:43" ht="21.95" customHeight="1">
      <c r="A68" s="1"/>
      <c r="B68" s="129" t="s">
        <v>324</v>
      </c>
      <c r="C68" s="563" t="s">
        <v>735</v>
      </c>
      <c r="E68" s="157"/>
      <c r="F68" s="564"/>
      <c r="G68" s="563" t="s">
        <v>735</v>
      </c>
      <c r="H68" s="157"/>
      <c r="I68" s="157"/>
      <c r="J68" s="564"/>
      <c r="K68" s="563" t="s">
        <v>735</v>
      </c>
      <c r="L68" s="157"/>
      <c r="M68" s="157"/>
      <c r="N68" s="564"/>
      <c r="O68" s="563" t="s">
        <v>544</v>
      </c>
      <c r="P68" s="157"/>
      <c r="Q68" s="157"/>
      <c r="R68" s="564"/>
      <c r="S68" s="563" t="s">
        <v>736</v>
      </c>
      <c r="T68" s="157"/>
      <c r="U68" s="157"/>
      <c r="V68" s="565"/>
      <c r="W68" s="714"/>
      <c r="X68" s="715"/>
      <c r="Y68" s="715"/>
      <c r="Z68" s="716"/>
      <c r="AA68" s="565"/>
      <c r="AB68" s="157"/>
      <c r="AC68" s="157"/>
      <c r="AD68" s="565"/>
      <c r="AE68" s="121">
        <v>37</v>
      </c>
      <c r="AG68" s="157"/>
      <c r="AH68" s="565"/>
      <c r="AI68" s="490"/>
    </row>
    <row r="69" spans="1:43" ht="21.95" customHeight="1">
      <c r="A69" s="1"/>
      <c r="B69" s="129" t="s">
        <v>325</v>
      </c>
      <c r="C69" s="563" t="s">
        <v>546</v>
      </c>
      <c r="D69" s="157"/>
      <c r="E69" s="157"/>
      <c r="F69" s="564"/>
      <c r="G69" s="563" t="s">
        <v>546</v>
      </c>
      <c r="H69" s="157"/>
      <c r="I69" s="157"/>
      <c r="J69" s="564"/>
      <c r="K69" s="563" t="s">
        <v>546</v>
      </c>
      <c r="L69" s="157"/>
      <c r="M69" s="157"/>
      <c r="N69" s="564"/>
      <c r="O69" s="563" t="s">
        <v>547</v>
      </c>
      <c r="P69" s="157"/>
      <c r="Q69" s="157"/>
      <c r="R69" s="564"/>
      <c r="S69" s="563" t="s">
        <v>548</v>
      </c>
      <c r="T69" s="157"/>
      <c r="U69" s="157"/>
      <c r="V69" s="564"/>
      <c r="W69" s="604" t="s">
        <v>549</v>
      </c>
      <c r="X69" s="55"/>
      <c r="Y69" s="55"/>
      <c r="Z69" s="55"/>
      <c r="AA69" s="563" t="s">
        <v>550</v>
      </c>
      <c r="AB69" s="563"/>
      <c r="AC69" s="563"/>
      <c r="AD69" s="563"/>
      <c r="AE69" s="155">
        <v>68.25</v>
      </c>
      <c r="AF69" s="157"/>
      <c r="AG69" s="567"/>
      <c r="AH69" s="568"/>
      <c r="AI69" s="569"/>
    </row>
    <row r="70" spans="1:43" ht="21.95" customHeight="1">
      <c r="A70" s="1"/>
      <c r="B70" s="129" t="s">
        <v>326</v>
      </c>
      <c r="C70" s="712" t="s">
        <v>167</v>
      </c>
      <c r="D70" s="157"/>
      <c r="E70" s="157"/>
      <c r="F70" s="564"/>
      <c r="G70" s="157" t="s">
        <v>167</v>
      </c>
      <c r="H70" s="157"/>
      <c r="I70" s="157"/>
      <c r="J70" s="564"/>
      <c r="K70" s="157" t="s">
        <v>167</v>
      </c>
      <c r="L70" s="157"/>
      <c r="M70" s="157"/>
      <c r="N70" s="564"/>
      <c r="O70" s="157" t="s">
        <v>167</v>
      </c>
      <c r="P70" s="157"/>
      <c r="Q70" s="157"/>
      <c r="R70" s="564"/>
      <c r="S70" s="157" t="s">
        <v>167</v>
      </c>
      <c r="T70" s="157"/>
      <c r="U70" s="157"/>
      <c r="V70" s="564"/>
      <c r="W70" s="563"/>
      <c r="X70" s="157"/>
      <c r="Y70" s="157"/>
      <c r="Z70" s="564"/>
      <c r="AA70" s="563"/>
      <c r="AB70" s="157"/>
      <c r="AC70" s="157"/>
      <c r="AD70" s="565"/>
      <c r="AE70" s="566">
        <v>0</v>
      </c>
      <c r="AF70" s="567"/>
      <c r="AG70" s="157"/>
      <c r="AH70" s="565"/>
      <c r="AI70" s="490"/>
    </row>
    <row r="71" spans="1:43" ht="21.95" customHeight="1" thickBot="1">
      <c r="A71" s="1"/>
      <c r="B71" s="47"/>
      <c r="C71" s="570"/>
      <c r="D71" s="53"/>
      <c r="E71" s="53"/>
      <c r="F71" s="571"/>
      <c r="G71" s="570"/>
      <c r="H71" s="53"/>
      <c r="I71" s="53"/>
      <c r="J71" s="571"/>
      <c r="K71" s="570"/>
      <c r="L71" s="53"/>
      <c r="M71" s="53"/>
      <c r="N71" s="571"/>
      <c r="O71" s="570"/>
      <c r="P71" s="53"/>
      <c r="Q71" s="53"/>
      <c r="R71" s="571"/>
      <c r="S71" s="570"/>
      <c r="T71" s="53"/>
      <c r="U71" s="53"/>
      <c r="V71" s="571"/>
      <c r="W71" s="53"/>
      <c r="X71" s="53"/>
      <c r="Y71" s="53"/>
      <c r="Z71" s="53"/>
      <c r="AA71" s="53"/>
      <c r="AB71" s="53"/>
      <c r="AC71" s="53"/>
      <c r="AD71" s="53"/>
      <c r="AE71" s="572"/>
      <c r="AF71" s="53"/>
      <c r="AG71" s="53"/>
      <c r="AH71" s="573"/>
      <c r="AI71" s="536"/>
    </row>
    <row r="72" spans="1:43" ht="21.95" customHeight="1" thickBot="1">
      <c r="A72" s="574"/>
      <c r="B72" s="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</row>
    <row r="73" spans="1:43" ht="21.95" customHeight="1" thickBot="1">
      <c r="A73" s="861"/>
      <c r="B73" s="862" t="s">
        <v>476</v>
      </c>
      <c r="C73" s="863">
        <v>1</v>
      </c>
      <c r="D73" s="863">
        <v>2</v>
      </c>
      <c r="E73" s="863">
        <v>3</v>
      </c>
      <c r="F73" s="863">
        <v>4</v>
      </c>
      <c r="G73" s="863">
        <v>5</v>
      </c>
      <c r="H73" s="880">
        <v>6</v>
      </c>
      <c r="I73" s="880">
        <v>7</v>
      </c>
      <c r="J73" s="863">
        <v>8</v>
      </c>
      <c r="K73" s="863">
        <v>9</v>
      </c>
      <c r="L73" s="863">
        <v>10</v>
      </c>
      <c r="M73" s="863">
        <v>11</v>
      </c>
      <c r="N73" s="863">
        <v>12</v>
      </c>
      <c r="O73" s="880">
        <v>13</v>
      </c>
      <c r="P73" s="880">
        <v>14</v>
      </c>
      <c r="Q73" s="863">
        <v>15</v>
      </c>
      <c r="R73" s="863">
        <v>16</v>
      </c>
      <c r="S73" s="863">
        <v>17</v>
      </c>
      <c r="T73" s="863">
        <v>18</v>
      </c>
      <c r="U73" s="863">
        <v>19</v>
      </c>
      <c r="V73" s="880">
        <v>20</v>
      </c>
      <c r="W73" s="880">
        <v>21</v>
      </c>
      <c r="X73" s="863">
        <v>22</v>
      </c>
      <c r="Y73" s="863">
        <v>23</v>
      </c>
      <c r="Z73" s="880">
        <v>24</v>
      </c>
      <c r="AA73" s="880">
        <v>25</v>
      </c>
      <c r="AB73" s="880">
        <v>26</v>
      </c>
      <c r="AC73" s="880">
        <v>27</v>
      </c>
      <c r="AD73" s="880">
        <v>28</v>
      </c>
      <c r="AE73" s="863">
        <v>29</v>
      </c>
      <c r="AF73" s="863">
        <v>30</v>
      </c>
      <c r="AG73" s="949">
        <v>31</v>
      </c>
      <c r="AH73" s="864" t="s">
        <v>477</v>
      </c>
      <c r="AI73" s="865" t="s">
        <v>478</v>
      </c>
    </row>
    <row r="74" spans="1:43" ht="21.95" customHeight="1">
      <c r="A74" s="870">
        <v>1</v>
      </c>
      <c r="B74" s="836" t="s">
        <v>551</v>
      </c>
      <c r="C74" s="1041" t="s">
        <v>552</v>
      </c>
      <c r="D74" s="1041" t="s">
        <v>552</v>
      </c>
      <c r="E74" s="1041" t="s">
        <v>557</v>
      </c>
      <c r="F74" s="872" t="s">
        <v>552</v>
      </c>
      <c r="G74" s="872" t="s">
        <v>552</v>
      </c>
      <c r="H74" s="871"/>
      <c r="I74" s="871"/>
      <c r="J74" s="871" t="s">
        <v>553</v>
      </c>
      <c r="K74" s="871" t="s">
        <v>553</v>
      </c>
      <c r="L74" s="871" t="s">
        <v>553</v>
      </c>
      <c r="M74" s="871" t="s">
        <v>554</v>
      </c>
      <c r="N74" s="871" t="s">
        <v>554</v>
      </c>
      <c r="O74" s="1127" t="s">
        <v>555</v>
      </c>
      <c r="P74" s="871" t="s">
        <v>555</v>
      </c>
      <c r="Q74" s="871" t="s">
        <v>481</v>
      </c>
      <c r="R74" s="871" t="s">
        <v>481</v>
      </c>
      <c r="S74" s="871" t="s">
        <v>481</v>
      </c>
      <c r="T74" s="871" t="s">
        <v>481</v>
      </c>
      <c r="U74" s="871" t="s">
        <v>481</v>
      </c>
      <c r="V74" s="871"/>
      <c r="W74" s="871"/>
      <c r="X74" s="871" t="s">
        <v>552</v>
      </c>
      <c r="Y74" s="871" t="s">
        <v>552</v>
      </c>
      <c r="Z74" s="871" t="s">
        <v>552</v>
      </c>
      <c r="AA74" s="871" t="s">
        <v>552</v>
      </c>
      <c r="AB74" s="871" t="s">
        <v>552</v>
      </c>
      <c r="AC74" s="871"/>
      <c r="AD74" s="871"/>
      <c r="AE74" s="1263" t="s">
        <v>553</v>
      </c>
      <c r="AF74" s="871" t="s">
        <v>553</v>
      </c>
      <c r="AG74" s="872" t="s">
        <v>555</v>
      </c>
      <c r="AH74" s="510">
        <v>9.5</v>
      </c>
      <c r="AI74" s="511">
        <v>37</v>
      </c>
    </row>
    <row r="75" spans="1:43" ht="21.95" customHeight="1">
      <c r="A75" s="575">
        <v>2</v>
      </c>
      <c r="B75" s="542" t="s">
        <v>556</v>
      </c>
      <c r="C75" s="762" t="s">
        <v>553</v>
      </c>
      <c r="D75" s="762" t="s">
        <v>553</v>
      </c>
      <c r="E75" s="762" t="s">
        <v>553</v>
      </c>
      <c r="F75" s="762" t="s">
        <v>554</v>
      </c>
      <c r="G75" s="762" t="s">
        <v>554</v>
      </c>
      <c r="H75" s="978" t="s">
        <v>555</v>
      </c>
      <c r="I75" s="1015" t="s">
        <v>737</v>
      </c>
      <c r="J75" s="762" t="s">
        <v>481</v>
      </c>
      <c r="K75" s="762" t="s">
        <v>481</v>
      </c>
      <c r="L75" s="762" t="s">
        <v>481</v>
      </c>
      <c r="M75" s="762" t="s">
        <v>481</v>
      </c>
      <c r="N75" s="762" t="s">
        <v>481</v>
      </c>
      <c r="O75" s="762"/>
      <c r="P75" s="762"/>
      <c r="Q75" s="762" t="s">
        <v>552</v>
      </c>
      <c r="R75" s="762" t="s">
        <v>552</v>
      </c>
      <c r="S75" s="762" t="s">
        <v>552</v>
      </c>
      <c r="T75" s="762" t="s">
        <v>552</v>
      </c>
      <c r="U75" s="762" t="s">
        <v>552</v>
      </c>
      <c r="V75" s="762"/>
      <c r="W75" s="762"/>
      <c r="X75" s="762" t="s">
        <v>553</v>
      </c>
      <c r="Y75" s="762" t="s">
        <v>553</v>
      </c>
      <c r="Z75" s="762" t="s">
        <v>555</v>
      </c>
      <c r="AA75" s="762" t="s">
        <v>555</v>
      </c>
      <c r="AB75" s="762" t="s">
        <v>555</v>
      </c>
      <c r="AC75" s="1059" t="s">
        <v>555</v>
      </c>
      <c r="AD75" s="1059" t="s">
        <v>555</v>
      </c>
      <c r="AE75" s="762" t="s">
        <v>481</v>
      </c>
      <c r="AF75" s="1025" t="s">
        <v>553</v>
      </c>
      <c r="AG75" s="762" t="s">
        <v>481</v>
      </c>
      <c r="AH75" s="924">
        <v>71</v>
      </c>
      <c r="AI75" s="925">
        <v>37</v>
      </c>
      <c r="AQ75" s="1264"/>
    </row>
    <row r="76" spans="1:43" ht="21.95" customHeight="1" thickBot="1">
      <c r="A76" s="873">
        <v>3</v>
      </c>
      <c r="B76" s="874" t="s">
        <v>558</v>
      </c>
      <c r="C76" s="875" t="s">
        <v>481</v>
      </c>
      <c r="D76" s="875" t="s">
        <v>481</v>
      </c>
      <c r="E76" s="875" t="s">
        <v>481</v>
      </c>
      <c r="F76" s="875" t="s">
        <v>481</v>
      </c>
      <c r="G76" s="1268" t="s">
        <v>481</v>
      </c>
      <c r="H76" s="875"/>
      <c r="I76" s="875"/>
      <c r="J76" s="875" t="s">
        <v>552</v>
      </c>
      <c r="K76" s="875" t="s">
        <v>552</v>
      </c>
      <c r="L76" s="875" t="s">
        <v>552</v>
      </c>
      <c r="M76" s="875" t="s">
        <v>552</v>
      </c>
      <c r="N76" s="875" t="s">
        <v>552</v>
      </c>
      <c r="O76" s="875"/>
      <c r="P76" s="875"/>
      <c r="Q76" s="1238" t="s">
        <v>553</v>
      </c>
      <c r="R76" s="1238" t="s">
        <v>553</v>
      </c>
      <c r="S76" s="875" t="s">
        <v>553</v>
      </c>
      <c r="T76" s="875" t="s">
        <v>554</v>
      </c>
      <c r="U76" s="875" t="s">
        <v>554</v>
      </c>
      <c r="V76" s="875" t="s">
        <v>555</v>
      </c>
      <c r="W76" s="875" t="s">
        <v>555</v>
      </c>
      <c r="X76" s="875" t="s">
        <v>481</v>
      </c>
      <c r="Y76" s="875" t="s">
        <v>481</v>
      </c>
      <c r="Z76" s="875" t="s">
        <v>481</v>
      </c>
      <c r="AA76" s="875" t="s">
        <v>481</v>
      </c>
      <c r="AB76" s="875" t="s">
        <v>481</v>
      </c>
      <c r="AC76" s="875"/>
      <c r="AD76" s="875"/>
      <c r="AE76" s="1021" t="s">
        <v>552</v>
      </c>
      <c r="AF76" s="1021" t="s">
        <v>552</v>
      </c>
      <c r="AG76" s="876" t="s">
        <v>552</v>
      </c>
      <c r="AH76" s="868">
        <v>97</v>
      </c>
      <c r="AI76" s="869">
        <v>37</v>
      </c>
    </row>
    <row r="77" spans="1:43" ht="21.95" customHeight="1"/>
    <row r="78" spans="1:43" ht="21.95" customHeight="1" thickBot="1">
      <c r="A78" s="312" t="s">
        <v>559</v>
      </c>
      <c r="C78" s="555"/>
      <c r="D78" s="555"/>
      <c r="E78" s="555"/>
      <c r="F78" s="555"/>
      <c r="G78" s="555"/>
      <c r="H78" s="555"/>
      <c r="I78" s="555"/>
      <c r="J78" s="555"/>
      <c r="K78" s="555"/>
      <c r="L78" s="555"/>
      <c r="M78" s="555"/>
      <c r="N78" s="555"/>
      <c r="O78" s="555"/>
      <c r="P78" s="555"/>
      <c r="Q78" s="555"/>
      <c r="R78" s="555"/>
      <c r="S78" s="555"/>
      <c r="T78" s="555"/>
      <c r="U78" s="555"/>
      <c r="V78" s="555"/>
      <c r="W78" s="555"/>
      <c r="X78" s="555"/>
      <c r="Y78" s="555"/>
      <c r="Z78" s="555"/>
      <c r="AA78" s="555"/>
      <c r="AB78" s="555"/>
      <c r="AC78" s="555"/>
      <c r="AD78" s="555"/>
      <c r="AE78" s="555"/>
      <c r="AF78" s="555"/>
      <c r="AH78" s="556"/>
      <c r="AI78" s="556"/>
    </row>
    <row r="79" spans="1:43" ht="21.95" customHeight="1">
      <c r="A79" s="576"/>
      <c r="B79" s="23" t="s">
        <v>542</v>
      </c>
      <c r="C79" s="7"/>
      <c r="D79" s="522" t="s">
        <v>2</v>
      </c>
      <c r="E79" s="51"/>
      <c r="F79" s="548"/>
      <c r="G79" s="7"/>
      <c r="H79" s="522" t="s">
        <v>3</v>
      </c>
      <c r="I79" s="51"/>
      <c r="J79" s="548"/>
      <c r="K79" s="7"/>
      <c r="L79" s="522" t="s">
        <v>4</v>
      </c>
      <c r="M79" s="51"/>
      <c r="N79" s="548"/>
      <c r="O79" s="7"/>
      <c r="P79" s="522" t="s">
        <v>5</v>
      </c>
      <c r="Q79" s="51"/>
      <c r="R79" s="548"/>
      <c r="S79" s="7"/>
      <c r="T79" s="522" t="s">
        <v>6</v>
      </c>
      <c r="U79" s="51"/>
      <c r="V79" s="548"/>
      <c r="W79" s="27"/>
      <c r="X79" s="713" t="s">
        <v>7</v>
      </c>
      <c r="Y79" s="519"/>
      <c r="Z79" s="238"/>
      <c r="AA79" s="7"/>
      <c r="AB79" s="522" t="s">
        <v>8</v>
      </c>
      <c r="AC79" s="51"/>
      <c r="AD79" s="51"/>
      <c r="AE79" s="349" t="s">
        <v>9</v>
      </c>
      <c r="AF79" s="51"/>
      <c r="AG79" s="51"/>
      <c r="AH79" s="51"/>
      <c r="AI79" s="523"/>
    </row>
    <row r="80" spans="1:43" ht="21.95" customHeight="1">
      <c r="B80" s="129" t="s">
        <v>324</v>
      </c>
      <c r="C80" s="589" t="s">
        <v>560</v>
      </c>
      <c r="D80" s="157"/>
      <c r="E80" s="157"/>
      <c r="F80" s="564"/>
      <c r="G80" s="563" t="s">
        <v>561</v>
      </c>
      <c r="H80" s="483" t="s">
        <v>562</v>
      </c>
      <c r="I80" s="157"/>
      <c r="J80" s="564"/>
      <c r="K80" s="589" t="s">
        <v>560</v>
      </c>
      <c r="L80" s="483"/>
      <c r="M80" s="483"/>
      <c r="N80" s="588"/>
      <c r="O80" s="589" t="s">
        <v>563</v>
      </c>
      <c r="P80" s="483"/>
      <c r="Q80" s="483"/>
      <c r="R80" s="588"/>
      <c r="S80" s="589" t="s">
        <v>738</v>
      </c>
      <c r="T80" s="483"/>
      <c r="U80" s="483"/>
      <c r="V80" s="477"/>
      <c r="W80" s="714"/>
      <c r="X80" s="715"/>
      <c r="Y80" s="715"/>
      <c r="Z80" s="716"/>
      <c r="AA80" s="565"/>
      <c r="AB80" s="157"/>
      <c r="AC80" s="157"/>
      <c r="AD80" s="565"/>
      <c r="AE80" s="121">
        <v>37</v>
      </c>
      <c r="AG80" s="157"/>
      <c r="AH80" s="565"/>
      <c r="AI80" s="490"/>
    </row>
    <row r="81" spans="1:35" ht="21.95" customHeight="1">
      <c r="B81" s="129" t="s">
        <v>325</v>
      </c>
      <c r="C81" s="589" t="s">
        <v>565</v>
      </c>
      <c r="E81" s="157"/>
      <c r="F81" s="564"/>
      <c r="G81" s="589" t="s">
        <v>565</v>
      </c>
      <c r="I81" s="157"/>
      <c r="J81" s="564"/>
      <c r="K81" s="589" t="s">
        <v>565</v>
      </c>
      <c r="L81" s="157"/>
      <c r="M81" s="157"/>
      <c r="N81" s="564"/>
      <c r="O81" s="589" t="s">
        <v>566</v>
      </c>
      <c r="P81" s="157"/>
      <c r="Q81" s="157"/>
      <c r="R81" s="564"/>
      <c r="S81" s="563" t="s">
        <v>567</v>
      </c>
      <c r="T81" s="157"/>
      <c r="U81" s="157"/>
      <c r="V81" s="564"/>
      <c r="W81" s="604" t="s">
        <v>291</v>
      </c>
      <c r="X81" s="55"/>
      <c r="Y81" s="55"/>
      <c r="Z81" s="55"/>
      <c r="AA81" s="563" t="s">
        <v>28</v>
      </c>
      <c r="AB81" s="563"/>
      <c r="AC81" s="563"/>
      <c r="AD81" s="563"/>
      <c r="AE81" s="155">
        <v>37</v>
      </c>
      <c r="AF81" s="157"/>
      <c r="AG81" s="567"/>
      <c r="AH81" s="568"/>
      <c r="AI81" s="569"/>
    </row>
    <row r="82" spans="1:35" ht="21.95" customHeight="1">
      <c r="B82" s="129" t="s">
        <v>326</v>
      </c>
      <c r="C82" s="834" t="s">
        <v>568</v>
      </c>
      <c r="D82" s="157"/>
      <c r="E82" s="157"/>
      <c r="F82" s="564"/>
      <c r="G82" s="157" t="s">
        <v>569</v>
      </c>
      <c r="H82" s="157"/>
      <c r="I82" s="157"/>
      <c r="J82" s="564"/>
      <c r="K82" s="835" t="s">
        <v>570</v>
      </c>
      <c r="L82" s="157"/>
      <c r="M82" s="157"/>
      <c r="N82" s="564"/>
      <c r="O82" s="835" t="s">
        <v>571</v>
      </c>
      <c r="P82" s="157"/>
      <c r="Q82" s="157"/>
      <c r="R82" s="564"/>
      <c r="S82" s="835" t="s">
        <v>571</v>
      </c>
      <c r="T82" s="157"/>
      <c r="U82" s="157"/>
      <c r="V82" s="564"/>
      <c r="W82" s="563"/>
      <c r="X82" s="157"/>
      <c r="Y82" s="157"/>
      <c r="Z82" s="564"/>
      <c r="AA82" s="563"/>
      <c r="AB82" s="157"/>
      <c r="AC82" s="157"/>
      <c r="AD82" s="565"/>
      <c r="AE82" s="566">
        <v>36</v>
      </c>
      <c r="AF82" s="567"/>
      <c r="AG82" s="157"/>
      <c r="AH82" s="565"/>
      <c r="AI82" s="490"/>
    </row>
    <row r="83" spans="1:35" ht="21.95" customHeight="1" thickBot="1">
      <c r="B83" s="47"/>
      <c r="C83" s="570"/>
      <c r="D83" s="53"/>
      <c r="E83" s="53"/>
      <c r="F83" s="571"/>
      <c r="G83" s="570"/>
      <c r="H83" s="53"/>
      <c r="I83" s="53"/>
      <c r="J83" s="571"/>
      <c r="K83" s="570"/>
      <c r="L83" s="53"/>
      <c r="M83" s="53"/>
      <c r="N83" s="571"/>
      <c r="O83" s="570"/>
      <c r="P83" s="53"/>
      <c r="Q83" s="53"/>
      <c r="R83" s="571"/>
      <c r="S83" s="570"/>
      <c r="T83" s="53"/>
      <c r="U83" s="53"/>
      <c r="V83" s="571"/>
      <c r="W83" s="53"/>
      <c r="X83" s="53"/>
      <c r="Y83" s="53"/>
      <c r="Z83" s="53"/>
      <c r="AA83" s="53"/>
      <c r="AB83" s="53"/>
      <c r="AC83" s="53"/>
      <c r="AD83" s="53"/>
      <c r="AE83" s="572"/>
      <c r="AF83" s="53"/>
      <c r="AG83" s="53"/>
      <c r="AH83" s="573"/>
      <c r="AI83" s="536"/>
    </row>
    <row r="84" spans="1:35" ht="21.95" customHeight="1" thickBot="1"/>
    <row r="85" spans="1:35" ht="21.95" customHeight="1" thickBot="1">
      <c r="A85" s="595"/>
      <c r="B85" s="182" t="s">
        <v>476</v>
      </c>
      <c r="C85" s="863">
        <v>1</v>
      </c>
      <c r="D85" s="863">
        <v>2</v>
      </c>
      <c r="E85" s="863">
        <v>3</v>
      </c>
      <c r="F85" s="863">
        <v>4</v>
      </c>
      <c r="G85" s="863">
        <v>5</v>
      </c>
      <c r="H85" s="880">
        <v>6</v>
      </c>
      <c r="I85" s="880">
        <v>7</v>
      </c>
      <c r="J85" s="863">
        <v>8</v>
      </c>
      <c r="K85" s="863">
        <v>9</v>
      </c>
      <c r="L85" s="863">
        <v>10</v>
      </c>
      <c r="M85" s="863">
        <v>11</v>
      </c>
      <c r="N85" s="863">
        <v>12</v>
      </c>
      <c r="O85" s="880">
        <v>13</v>
      </c>
      <c r="P85" s="880">
        <v>14</v>
      </c>
      <c r="Q85" s="863">
        <v>15</v>
      </c>
      <c r="R85" s="863">
        <v>16</v>
      </c>
      <c r="S85" s="863">
        <v>17</v>
      </c>
      <c r="T85" s="863">
        <v>18</v>
      </c>
      <c r="U85" s="863">
        <v>19</v>
      </c>
      <c r="V85" s="880">
        <v>20</v>
      </c>
      <c r="W85" s="880">
        <v>21</v>
      </c>
      <c r="X85" s="863">
        <v>22</v>
      </c>
      <c r="Y85" s="863">
        <v>23</v>
      </c>
      <c r="Z85" s="880">
        <v>24</v>
      </c>
      <c r="AA85" s="880">
        <v>25</v>
      </c>
      <c r="AB85" s="880">
        <v>26</v>
      </c>
      <c r="AC85" s="880">
        <v>27</v>
      </c>
      <c r="AD85" s="880">
        <v>28</v>
      </c>
      <c r="AE85" s="863">
        <v>29</v>
      </c>
      <c r="AF85" s="863">
        <v>30</v>
      </c>
      <c r="AG85" s="949">
        <v>31</v>
      </c>
      <c r="AH85" s="864" t="s">
        <v>477</v>
      </c>
      <c r="AI85" s="865" t="s">
        <v>478</v>
      </c>
    </row>
    <row r="86" spans="1:35" ht="21.95" customHeight="1" thickBot="1">
      <c r="A86" s="1262">
        <v>1</v>
      </c>
      <c r="B86" s="793" t="s">
        <v>572</v>
      </c>
      <c r="C86" s="1261" t="s">
        <v>561</v>
      </c>
      <c r="D86" s="871" t="s">
        <v>561</v>
      </c>
      <c r="E86" s="871" t="s">
        <v>561</v>
      </c>
      <c r="F86" s="871" t="s">
        <v>561</v>
      </c>
      <c r="G86" s="871" t="s">
        <v>561</v>
      </c>
      <c r="H86" s="871"/>
      <c r="I86" s="1269" t="s">
        <v>555</v>
      </c>
      <c r="J86" s="871" t="s">
        <v>573</v>
      </c>
      <c r="K86" s="871" t="s">
        <v>573</v>
      </c>
      <c r="L86" s="871" t="s">
        <v>573</v>
      </c>
      <c r="M86" s="871" t="s">
        <v>573</v>
      </c>
      <c r="N86" s="871" t="s">
        <v>573</v>
      </c>
      <c r="O86" s="871"/>
      <c r="P86" s="871"/>
      <c r="Q86" s="871" t="s">
        <v>554</v>
      </c>
      <c r="R86" s="871" t="s">
        <v>554</v>
      </c>
      <c r="S86" s="871" t="s">
        <v>554</v>
      </c>
      <c r="T86" s="871" t="s">
        <v>553</v>
      </c>
      <c r="U86" s="871" t="s">
        <v>553</v>
      </c>
      <c r="V86" s="871"/>
      <c r="W86" s="871"/>
      <c r="X86" s="1253" t="s">
        <v>561</v>
      </c>
      <c r="Y86" s="1253" t="s">
        <v>561</v>
      </c>
      <c r="Z86" s="871" t="s">
        <v>561</v>
      </c>
      <c r="AA86" s="871" t="s">
        <v>561</v>
      </c>
      <c r="AB86" s="871" t="s">
        <v>561</v>
      </c>
      <c r="AC86" s="871"/>
      <c r="AD86" s="871"/>
      <c r="AE86" s="1014" t="s">
        <v>573</v>
      </c>
      <c r="AF86" s="1014" t="s">
        <v>573</v>
      </c>
      <c r="AG86" s="871" t="s">
        <v>573</v>
      </c>
      <c r="AH86" s="510">
        <v>104</v>
      </c>
      <c r="AI86" s="511">
        <v>37</v>
      </c>
    </row>
    <row r="87" spans="1:35" ht="21.95" customHeight="1" thickBot="1">
      <c r="A87" s="1262">
        <v>2</v>
      </c>
      <c r="B87" s="1153" t="s">
        <v>574</v>
      </c>
      <c r="C87" s="1222" t="s">
        <v>573</v>
      </c>
      <c r="D87" s="875" t="s">
        <v>573</v>
      </c>
      <c r="E87" s="875" t="s">
        <v>573</v>
      </c>
      <c r="F87" s="1178" t="s">
        <v>573</v>
      </c>
      <c r="G87" s="875" t="s">
        <v>553</v>
      </c>
      <c r="H87" s="875"/>
      <c r="I87" s="1268"/>
      <c r="J87" s="875" t="s">
        <v>554</v>
      </c>
      <c r="K87" s="875" t="s">
        <v>554</v>
      </c>
      <c r="L87" s="875" t="s">
        <v>573</v>
      </c>
      <c r="M87" s="875" t="s">
        <v>573</v>
      </c>
      <c r="N87" s="875" t="s">
        <v>553</v>
      </c>
      <c r="O87" s="875"/>
      <c r="P87" s="875" t="s">
        <v>555</v>
      </c>
      <c r="Q87" s="875" t="s">
        <v>561</v>
      </c>
      <c r="R87" s="875" t="s">
        <v>561</v>
      </c>
      <c r="S87" s="875" t="s">
        <v>561</v>
      </c>
      <c r="T87" s="875" t="s">
        <v>561</v>
      </c>
      <c r="U87" s="875" t="s">
        <v>561</v>
      </c>
      <c r="V87" s="875"/>
      <c r="W87" s="875"/>
      <c r="X87" s="875" t="s">
        <v>573</v>
      </c>
      <c r="Y87" s="875" t="s">
        <v>573</v>
      </c>
      <c r="Z87" s="875" t="s">
        <v>573</v>
      </c>
      <c r="AA87" s="875" t="s">
        <v>573</v>
      </c>
      <c r="AB87" s="875" t="s">
        <v>573</v>
      </c>
      <c r="AC87" s="875"/>
      <c r="AD87" s="1178" t="s">
        <v>555</v>
      </c>
      <c r="AE87" s="875" t="s">
        <v>554</v>
      </c>
      <c r="AF87" s="875" t="s">
        <v>554</v>
      </c>
      <c r="AG87" s="875" t="s">
        <v>554</v>
      </c>
      <c r="AH87" s="924">
        <v>85</v>
      </c>
      <c r="AI87" s="925">
        <v>37</v>
      </c>
    </row>
    <row r="88" spans="1:35" ht="21.95" customHeight="1" thickBot="1">
      <c r="A88" s="1262">
        <v>3</v>
      </c>
      <c r="B88" s="793" t="s">
        <v>657</v>
      </c>
      <c r="C88" s="1222" t="s">
        <v>554</v>
      </c>
      <c r="D88" s="875" t="s">
        <v>554</v>
      </c>
      <c r="E88" s="875" t="s">
        <v>554</v>
      </c>
      <c r="F88" s="1087" t="s">
        <v>553</v>
      </c>
      <c r="G88" s="1087" t="s">
        <v>745</v>
      </c>
      <c r="H88" s="875"/>
      <c r="I88" s="875"/>
      <c r="J88" s="875" t="s">
        <v>561</v>
      </c>
      <c r="K88" s="875" t="s">
        <v>561</v>
      </c>
      <c r="L88" s="875" t="s">
        <v>561</v>
      </c>
      <c r="M88" s="764" t="s">
        <v>561</v>
      </c>
      <c r="N88" s="1274" t="s">
        <v>561</v>
      </c>
      <c r="O88" s="875"/>
      <c r="P88" s="875"/>
      <c r="Q88" s="875" t="s">
        <v>573</v>
      </c>
      <c r="R88" s="875" t="s">
        <v>573</v>
      </c>
      <c r="S88" s="1131" t="s">
        <v>491</v>
      </c>
      <c r="T88" s="875" t="s">
        <v>573</v>
      </c>
      <c r="U88" s="875" t="s">
        <v>573</v>
      </c>
      <c r="V88" s="875"/>
      <c r="W88" s="875"/>
      <c r="X88" s="875" t="s">
        <v>554</v>
      </c>
      <c r="Y88" s="875" t="s">
        <v>554</v>
      </c>
      <c r="Z88" s="875" t="s">
        <v>554</v>
      </c>
      <c r="AA88" s="875" t="s">
        <v>553</v>
      </c>
      <c r="AB88" s="875" t="s">
        <v>553</v>
      </c>
      <c r="AC88" s="875"/>
      <c r="AD88" s="875"/>
      <c r="AE88" s="1045" t="s">
        <v>561</v>
      </c>
      <c r="AF88" s="1045" t="s">
        <v>561</v>
      </c>
      <c r="AG88" s="875" t="s">
        <v>561</v>
      </c>
      <c r="AH88" s="868">
        <v>128.69999999999999</v>
      </c>
      <c r="AI88" s="869">
        <v>37</v>
      </c>
    </row>
    <row r="89" spans="1:35" ht="21.95" customHeight="1">
      <c r="A89" s="576"/>
      <c r="B89" s="583"/>
      <c r="C89" s="583"/>
      <c r="D89" s="583"/>
      <c r="E89" s="583"/>
      <c r="F89" s="583"/>
      <c r="G89" s="583"/>
      <c r="H89" s="583"/>
      <c r="I89" s="555"/>
      <c r="J89" s="555"/>
      <c r="K89" s="555"/>
      <c r="L89" s="555"/>
      <c r="M89" s="555"/>
      <c r="N89" s="555"/>
      <c r="O89" s="555"/>
      <c r="P89" s="555"/>
      <c r="Q89" s="555"/>
      <c r="R89" s="555"/>
      <c r="S89" s="555"/>
      <c r="T89" s="555"/>
      <c r="U89" s="555"/>
      <c r="V89" s="555"/>
      <c r="W89" s="555"/>
      <c r="X89" s="555"/>
      <c r="Y89" s="555"/>
      <c r="Z89" s="555"/>
      <c r="AA89" s="555"/>
      <c r="AB89" s="555"/>
      <c r="AC89" s="555"/>
      <c r="AD89" s="555"/>
      <c r="AE89" s="555"/>
      <c r="AF89" s="555"/>
      <c r="AH89" s="556"/>
      <c r="AI89" s="556"/>
    </row>
    <row r="90" spans="1:35" ht="21.95" customHeight="1">
      <c r="A90" s="576"/>
      <c r="B90" s="583"/>
      <c r="C90" s="555"/>
      <c r="D90" s="555"/>
      <c r="E90" s="555"/>
      <c r="F90" s="555"/>
      <c r="G90" s="555"/>
      <c r="H90" s="555"/>
      <c r="I90" s="555"/>
      <c r="J90" s="555"/>
      <c r="K90" s="555"/>
      <c r="L90" s="555"/>
      <c r="M90" s="555"/>
      <c r="N90" s="555"/>
      <c r="O90" s="555"/>
      <c r="P90" s="555"/>
      <c r="Q90" s="555"/>
      <c r="R90" s="555"/>
      <c r="S90" s="555"/>
      <c r="T90" s="555"/>
      <c r="U90" s="555"/>
      <c r="V90" s="555"/>
      <c r="W90" s="555"/>
      <c r="X90" s="555"/>
      <c r="Y90" s="555"/>
      <c r="Z90" s="555"/>
      <c r="AA90" s="555"/>
      <c r="AB90" s="555"/>
      <c r="AC90" s="555"/>
      <c r="AD90" s="555"/>
      <c r="AE90" s="555"/>
      <c r="AF90" s="555"/>
      <c r="AG90" s="555"/>
      <c r="AH90" s="556"/>
      <c r="AI90" s="556"/>
    </row>
    <row r="91" spans="1:35" ht="21.95" customHeight="1" thickBot="1">
      <c r="A91" s="1" t="s">
        <v>576</v>
      </c>
      <c r="D91" s="361"/>
      <c r="E91" s="361"/>
      <c r="F91" s="361"/>
      <c r="G91" s="546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5" ht="21.95" customHeight="1">
      <c r="A92" s="1"/>
      <c r="B92" s="23" t="s">
        <v>577</v>
      </c>
      <c r="C92" s="7"/>
      <c r="D92" s="522" t="s">
        <v>2</v>
      </c>
      <c r="E92" s="51"/>
      <c r="F92" s="548"/>
      <c r="G92" s="7"/>
      <c r="H92" s="522" t="s">
        <v>3</v>
      </c>
      <c r="I92" s="51"/>
      <c r="J92" s="548"/>
      <c r="K92" s="7"/>
      <c r="L92" s="522" t="s">
        <v>4</v>
      </c>
      <c r="M92" s="51"/>
      <c r="N92" s="548"/>
      <c r="O92" s="7"/>
      <c r="P92" s="522" t="s">
        <v>5</v>
      </c>
      <c r="Q92" s="51"/>
      <c r="R92" s="548"/>
      <c r="S92" s="7"/>
      <c r="T92" s="522" t="s">
        <v>6</v>
      </c>
      <c r="U92" s="51"/>
      <c r="V92" s="548"/>
      <c r="W92" s="7"/>
      <c r="X92" s="522" t="s">
        <v>7</v>
      </c>
      <c r="Y92" s="51"/>
      <c r="Z92" s="548"/>
      <c r="AA92" s="7"/>
      <c r="AB92" s="522" t="s">
        <v>8</v>
      </c>
      <c r="AC92" s="51"/>
      <c r="AD92" s="51"/>
      <c r="AE92" s="425" t="s">
        <v>10</v>
      </c>
      <c r="AF92" s="51"/>
      <c r="AG92" s="51"/>
      <c r="AH92" s="51"/>
      <c r="AI92" s="523"/>
    </row>
    <row r="93" spans="1:35" ht="21.95" customHeight="1">
      <c r="A93" s="1"/>
      <c r="B93" s="129" t="s">
        <v>324</v>
      </c>
      <c r="C93" s="121" t="s">
        <v>578</v>
      </c>
      <c r="D93" s="157"/>
      <c r="E93" s="157"/>
      <c r="F93" s="564"/>
      <c r="G93" s="121" t="s">
        <v>578</v>
      </c>
      <c r="H93" s="157"/>
      <c r="I93" s="157"/>
      <c r="J93" s="564"/>
      <c r="K93" s="121" t="s">
        <v>578</v>
      </c>
      <c r="L93" s="157"/>
      <c r="M93" s="157"/>
      <c r="N93" s="564"/>
      <c r="O93" s="121" t="s">
        <v>579</v>
      </c>
      <c r="P93" s="157"/>
      <c r="Q93" s="157"/>
      <c r="R93" s="564"/>
      <c r="S93" s="121" t="s">
        <v>167</v>
      </c>
      <c r="T93" s="157"/>
      <c r="U93" s="157"/>
      <c r="V93" s="564"/>
      <c r="W93" s="795"/>
      <c r="X93" s="577"/>
      <c r="Y93" s="577"/>
      <c r="Z93" s="578"/>
      <c r="AA93" s="563"/>
      <c r="AB93" s="157"/>
      <c r="AC93" s="157"/>
      <c r="AD93" s="565"/>
      <c r="AE93" s="128">
        <v>27</v>
      </c>
      <c r="AF93" s="157"/>
      <c r="AG93" s="157" t="s">
        <v>28</v>
      </c>
      <c r="AH93" s="565"/>
      <c r="AI93" s="490"/>
    </row>
    <row r="94" spans="1:35" ht="21.95" customHeight="1">
      <c r="A94" s="1"/>
      <c r="B94" s="129" t="s">
        <v>325</v>
      </c>
      <c r="C94" s="121" t="s">
        <v>580</v>
      </c>
      <c r="D94" s="157"/>
      <c r="E94" s="157"/>
      <c r="F94" s="564"/>
      <c r="G94" s="121" t="s">
        <v>580</v>
      </c>
      <c r="H94" s="157"/>
      <c r="I94" s="157"/>
      <c r="J94" s="564"/>
      <c r="K94" s="121" t="s">
        <v>580</v>
      </c>
      <c r="L94" s="157"/>
      <c r="M94" s="157"/>
      <c r="N94" s="564"/>
      <c r="O94" s="121" t="s">
        <v>580</v>
      </c>
      <c r="P94" s="157"/>
      <c r="Q94" s="157"/>
      <c r="R94" s="564"/>
      <c r="S94" s="121" t="s">
        <v>578</v>
      </c>
      <c r="T94" s="157"/>
      <c r="U94" s="157"/>
      <c r="V94" s="564"/>
      <c r="W94" s="121"/>
      <c r="X94" s="157"/>
      <c r="Y94" s="157"/>
      <c r="Z94" s="564"/>
      <c r="AA94" s="157"/>
      <c r="AB94" s="157"/>
      <c r="AC94" s="157"/>
      <c r="AD94" s="565"/>
      <c r="AE94" s="128">
        <v>39</v>
      </c>
      <c r="AF94" s="157"/>
      <c r="AG94" s="157"/>
      <c r="AH94" s="565"/>
      <c r="AI94" s="490"/>
    </row>
    <row r="95" spans="1:35" ht="21.95" customHeight="1">
      <c r="A95" s="1"/>
      <c r="B95" s="129" t="s">
        <v>326</v>
      </c>
      <c r="C95" s="121" t="s">
        <v>580</v>
      </c>
      <c r="D95" s="157"/>
      <c r="E95" s="157"/>
      <c r="F95" s="564"/>
      <c r="G95" s="121" t="s">
        <v>580</v>
      </c>
      <c r="H95" s="157"/>
      <c r="I95" s="157"/>
      <c r="J95" s="564"/>
      <c r="K95" s="121" t="s">
        <v>580</v>
      </c>
      <c r="L95" s="157"/>
      <c r="M95" s="157"/>
      <c r="N95" s="564"/>
      <c r="O95" s="121" t="s">
        <v>580</v>
      </c>
      <c r="P95" s="157"/>
      <c r="Q95" s="157"/>
      <c r="R95" s="564"/>
      <c r="S95" s="121" t="s">
        <v>580</v>
      </c>
      <c r="T95" s="157"/>
      <c r="U95" s="157"/>
      <c r="V95" s="564"/>
      <c r="W95" s="584" t="s">
        <v>581</v>
      </c>
      <c r="X95" s="135"/>
      <c r="Y95" s="135"/>
      <c r="Z95" s="580"/>
      <c r="AA95" s="579"/>
      <c r="AB95" s="135"/>
      <c r="AC95" s="135"/>
      <c r="AD95" s="581"/>
      <c r="AE95" s="128">
        <v>45</v>
      </c>
      <c r="AF95" s="157"/>
      <c r="AG95" s="157"/>
      <c r="AH95" s="565"/>
      <c r="AI95" s="490"/>
    </row>
    <row r="96" spans="1:35" ht="21.95" customHeight="1" thickBot="1">
      <c r="A96" s="1"/>
      <c r="B96" s="16" t="s">
        <v>236</v>
      </c>
      <c r="C96" s="57"/>
      <c r="D96" s="53"/>
      <c r="E96" s="53"/>
      <c r="F96" s="571"/>
      <c r="G96" s="57"/>
      <c r="H96" s="53"/>
      <c r="I96" s="53"/>
      <c r="J96" s="571"/>
      <c r="K96" s="57"/>
      <c r="L96" s="53"/>
      <c r="M96" s="53"/>
      <c r="N96" s="571"/>
      <c r="O96" s="57"/>
      <c r="P96" s="53"/>
      <c r="Q96" s="53"/>
      <c r="R96" s="571"/>
      <c r="S96" s="57"/>
      <c r="T96" s="53"/>
      <c r="U96" s="53"/>
      <c r="V96" s="573"/>
      <c r="W96" s="57"/>
      <c r="X96" s="573"/>
      <c r="Y96" s="53"/>
      <c r="Z96" s="571"/>
      <c r="AA96" s="57"/>
      <c r="AB96" s="573"/>
      <c r="AC96" s="53"/>
      <c r="AD96" s="571"/>
      <c r="AE96" s="582"/>
      <c r="AF96" s="53"/>
      <c r="AG96" s="53"/>
      <c r="AH96" s="573"/>
      <c r="AI96" s="536"/>
    </row>
    <row r="97" spans="1:35" ht="21.95" customHeight="1" thickBot="1">
      <c r="A97" s="574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 thickBot="1">
      <c r="A98" s="861"/>
      <c r="B98" s="862" t="s">
        <v>476</v>
      </c>
      <c r="C98" s="863">
        <v>1</v>
      </c>
      <c r="D98" s="863">
        <v>2</v>
      </c>
      <c r="E98" s="863">
        <v>3</v>
      </c>
      <c r="F98" s="863">
        <v>4</v>
      </c>
      <c r="G98" s="863">
        <v>5</v>
      </c>
      <c r="H98" s="880">
        <v>6</v>
      </c>
      <c r="I98" s="880">
        <v>7</v>
      </c>
      <c r="J98" s="863">
        <v>8</v>
      </c>
      <c r="K98" s="863">
        <v>9</v>
      </c>
      <c r="L98" s="863">
        <v>10</v>
      </c>
      <c r="M98" s="863">
        <v>11</v>
      </c>
      <c r="N98" s="863">
        <v>12</v>
      </c>
      <c r="O98" s="880">
        <v>13</v>
      </c>
      <c r="P98" s="880">
        <v>14</v>
      </c>
      <c r="Q98" s="863">
        <v>15</v>
      </c>
      <c r="R98" s="863">
        <v>16</v>
      </c>
      <c r="S98" s="863">
        <v>17</v>
      </c>
      <c r="T98" s="863">
        <v>18</v>
      </c>
      <c r="U98" s="863">
        <v>19</v>
      </c>
      <c r="V98" s="880">
        <v>20</v>
      </c>
      <c r="W98" s="880">
        <v>21</v>
      </c>
      <c r="X98" s="863">
        <v>22</v>
      </c>
      <c r="Y98" s="863">
        <v>23</v>
      </c>
      <c r="Z98" s="880">
        <v>24</v>
      </c>
      <c r="AA98" s="880">
        <v>25</v>
      </c>
      <c r="AB98" s="880">
        <v>26</v>
      </c>
      <c r="AC98" s="880">
        <v>27</v>
      </c>
      <c r="AD98" s="880">
        <v>28</v>
      </c>
      <c r="AE98" s="863">
        <v>29</v>
      </c>
      <c r="AF98" s="863">
        <v>30</v>
      </c>
      <c r="AG98" s="949">
        <v>31</v>
      </c>
      <c r="AH98" s="864" t="s">
        <v>477</v>
      </c>
      <c r="AI98" s="865" t="s">
        <v>478</v>
      </c>
    </row>
    <row r="99" spans="1:35" ht="21.95" customHeight="1">
      <c r="A99" s="870">
        <v>1</v>
      </c>
      <c r="B99" s="879" t="s">
        <v>582</v>
      </c>
      <c r="C99" s="1000" t="s">
        <v>584</v>
      </c>
      <c r="D99" s="1000" t="s">
        <v>584</v>
      </c>
      <c r="E99" s="1000" t="s">
        <v>584</v>
      </c>
      <c r="F99" s="1233" t="s">
        <v>586</v>
      </c>
      <c r="G99" s="1000" t="s">
        <v>481</v>
      </c>
      <c r="H99" s="1000"/>
      <c r="I99" s="1000"/>
      <c r="J99" s="1233" t="s">
        <v>586</v>
      </c>
      <c r="K99" s="1000" t="s">
        <v>585</v>
      </c>
      <c r="L99" s="1000" t="s">
        <v>585</v>
      </c>
      <c r="M99" s="1000" t="s">
        <v>585</v>
      </c>
      <c r="N99" s="1000" t="s">
        <v>585</v>
      </c>
      <c r="O99" s="1000"/>
      <c r="P99" s="1000"/>
      <c r="Q99" s="1000" t="s">
        <v>583</v>
      </c>
      <c r="R99" s="1233" t="s">
        <v>586</v>
      </c>
      <c r="S99" s="1000" t="s">
        <v>583</v>
      </c>
      <c r="T99" s="1000" t="s">
        <v>583</v>
      </c>
      <c r="U99" s="1000" t="s">
        <v>583</v>
      </c>
      <c r="V99" s="1000" t="s">
        <v>583</v>
      </c>
      <c r="W99" s="1000"/>
      <c r="X99" s="1000" t="s">
        <v>584</v>
      </c>
      <c r="Y99" s="1000" t="s">
        <v>584</v>
      </c>
      <c r="Z99" s="1000" t="s">
        <v>584</v>
      </c>
      <c r="AA99" s="1000" t="s">
        <v>584</v>
      </c>
      <c r="AB99" s="1000" t="s">
        <v>481</v>
      </c>
      <c r="AC99" s="1000"/>
      <c r="AD99" s="1000"/>
      <c r="AE99" s="1000" t="s">
        <v>585</v>
      </c>
      <c r="AF99" s="1000" t="s">
        <v>585</v>
      </c>
      <c r="AG99" s="1000" t="s">
        <v>585</v>
      </c>
      <c r="AH99" s="510">
        <v>95</v>
      </c>
      <c r="AI99" s="511">
        <v>37</v>
      </c>
    </row>
    <row r="100" spans="1:35" ht="21.95" customHeight="1">
      <c r="A100" s="575">
        <v>2</v>
      </c>
      <c r="B100" s="857" t="s">
        <v>587</v>
      </c>
      <c r="C100" s="768" t="s">
        <v>585</v>
      </c>
      <c r="D100" s="768" t="s">
        <v>585</v>
      </c>
      <c r="E100" s="768" t="s">
        <v>585</v>
      </c>
      <c r="F100" s="768" t="s">
        <v>585</v>
      </c>
      <c r="G100" s="768" t="s">
        <v>585</v>
      </c>
      <c r="H100" s="768"/>
      <c r="I100" s="768"/>
      <c r="J100" s="1038" t="s">
        <v>753</v>
      </c>
      <c r="K100" s="987" t="s">
        <v>583</v>
      </c>
      <c r="L100" s="987" t="s">
        <v>583</v>
      </c>
      <c r="M100" s="985" t="s">
        <v>583</v>
      </c>
      <c r="N100" s="987" t="s">
        <v>583</v>
      </c>
      <c r="O100" s="987" t="s">
        <v>583</v>
      </c>
      <c r="P100" s="768"/>
      <c r="Q100" s="768" t="s">
        <v>584</v>
      </c>
      <c r="R100" s="768" t="s">
        <v>584</v>
      </c>
      <c r="S100" s="768" t="s">
        <v>584</v>
      </c>
      <c r="T100" s="768" t="s">
        <v>584</v>
      </c>
      <c r="U100" s="768" t="s">
        <v>481</v>
      </c>
      <c r="V100" s="768"/>
      <c r="W100" s="768"/>
      <c r="X100" s="768" t="s">
        <v>585</v>
      </c>
      <c r="Y100" s="768" t="s">
        <v>585</v>
      </c>
      <c r="Z100" s="768" t="s">
        <v>585</v>
      </c>
      <c r="AA100" s="768" t="s">
        <v>585</v>
      </c>
      <c r="AB100" s="768" t="s">
        <v>585</v>
      </c>
      <c r="AC100" s="768"/>
      <c r="AD100" s="768"/>
      <c r="AE100" s="768" t="s">
        <v>583</v>
      </c>
      <c r="AF100" s="768" t="s">
        <v>583</v>
      </c>
      <c r="AG100" s="768" t="s">
        <v>583</v>
      </c>
      <c r="AH100" s="924">
        <v>64</v>
      </c>
      <c r="AI100" s="925">
        <v>37</v>
      </c>
    </row>
    <row r="101" spans="1:35" ht="21.95" customHeight="1">
      <c r="A101" s="575">
        <v>3</v>
      </c>
      <c r="B101" s="857" t="s">
        <v>289</v>
      </c>
      <c r="C101" s="768" t="s">
        <v>583</v>
      </c>
      <c r="D101" s="768" t="s">
        <v>583</v>
      </c>
      <c r="E101" s="768" t="s">
        <v>583</v>
      </c>
      <c r="F101" s="768" t="s">
        <v>583</v>
      </c>
      <c r="G101" s="768" t="s">
        <v>583</v>
      </c>
      <c r="H101" s="768" t="s">
        <v>583</v>
      </c>
      <c r="I101" s="768"/>
      <c r="J101" s="768" t="s">
        <v>584</v>
      </c>
      <c r="K101" s="768" t="s">
        <v>584</v>
      </c>
      <c r="L101" s="768" t="s">
        <v>584</v>
      </c>
      <c r="M101" s="768" t="s">
        <v>584</v>
      </c>
      <c r="N101" s="768" t="s">
        <v>481</v>
      </c>
      <c r="O101" s="768"/>
      <c r="P101" s="768"/>
      <c r="Q101" s="768" t="s">
        <v>585</v>
      </c>
      <c r="R101" s="768" t="s">
        <v>585</v>
      </c>
      <c r="S101" s="768" t="s">
        <v>585</v>
      </c>
      <c r="T101" s="768" t="s">
        <v>585</v>
      </c>
      <c r="U101" s="768" t="s">
        <v>585</v>
      </c>
      <c r="V101" s="768"/>
      <c r="W101" s="768"/>
      <c r="X101" s="768" t="s">
        <v>583</v>
      </c>
      <c r="Y101" s="768" t="s">
        <v>583</v>
      </c>
      <c r="Z101" s="768" t="s">
        <v>583</v>
      </c>
      <c r="AA101" s="768" t="s">
        <v>583</v>
      </c>
      <c r="AB101" s="768" t="s">
        <v>583</v>
      </c>
      <c r="AC101" s="768" t="s">
        <v>583</v>
      </c>
      <c r="AD101" s="768"/>
      <c r="AE101" s="768" t="s">
        <v>584</v>
      </c>
      <c r="AF101" s="768" t="s">
        <v>584</v>
      </c>
      <c r="AG101" s="768" t="s">
        <v>584</v>
      </c>
      <c r="AH101" s="924">
        <v>90</v>
      </c>
      <c r="AI101" s="925">
        <v>37</v>
      </c>
    </row>
    <row r="102" spans="1:35" ht="21.95" customHeight="1">
      <c r="A102" s="575">
        <v>4</v>
      </c>
      <c r="B102" s="857"/>
      <c r="C102" s="768"/>
      <c r="D102" s="762"/>
      <c r="E102" s="768"/>
      <c r="F102" s="768"/>
      <c r="G102" s="768"/>
      <c r="H102" s="768"/>
      <c r="I102" s="768"/>
      <c r="J102" s="762"/>
      <c r="K102" s="762"/>
      <c r="L102" s="768"/>
      <c r="M102" s="768"/>
      <c r="N102" s="768"/>
      <c r="O102" s="768"/>
      <c r="P102" s="768"/>
      <c r="Q102" s="762"/>
      <c r="R102" s="762"/>
      <c r="S102" s="762"/>
      <c r="T102" s="762"/>
      <c r="U102" s="762"/>
      <c r="V102" s="762"/>
      <c r="W102" s="762"/>
      <c r="X102" s="768"/>
      <c r="Y102" s="762"/>
      <c r="Z102" s="768"/>
      <c r="AA102" s="768"/>
      <c r="AB102" s="768"/>
      <c r="AC102" s="768"/>
      <c r="AD102" s="768"/>
      <c r="AE102" s="768"/>
      <c r="AF102" s="762"/>
      <c r="AG102" s="768"/>
      <c r="AH102" s="924">
        <v>185</v>
      </c>
      <c r="AI102" s="925">
        <v>37</v>
      </c>
    </row>
    <row r="103" spans="1:35" ht="21.95" customHeight="1">
      <c r="A103" s="576"/>
      <c r="B103" s="583"/>
      <c r="C103" s="555"/>
      <c r="D103" s="538"/>
      <c r="E103" s="538"/>
      <c r="F103" s="538"/>
      <c r="G103" s="538"/>
      <c r="H103" s="538"/>
      <c r="I103" s="555"/>
      <c r="J103" s="555"/>
      <c r="K103" s="538"/>
      <c r="L103" s="538"/>
      <c r="M103" s="538"/>
      <c r="N103" s="538"/>
      <c r="O103" s="538"/>
      <c r="P103" s="538"/>
      <c r="Q103" s="555"/>
      <c r="R103" s="538"/>
      <c r="S103" s="817"/>
      <c r="T103" s="817"/>
      <c r="U103" s="817"/>
      <c r="V103" s="817"/>
      <c r="W103" s="555"/>
      <c r="X103" s="555"/>
      <c r="Y103" s="538"/>
      <c r="Z103" s="538"/>
      <c r="AA103" s="538"/>
      <c r="AB103" s="538"/>
      <c r="AC103" s="538"/>
      <c r="AD103" s="538"/>
      <c r="AE103" s="555"/>
      <c r="AF103" s="538"/>
      <c r="AG103" s="538"/>
      <c r="AH103" s="556"/>
      <c r="AI103" s="556"/>
    </row>
    <row r="104" spans="1:35" ht="21.95" customHeight="1" thickBot="1">
      <c r="A104" s="805" t="s">
        <v>588</v>
      </c>
      <c r="B104" s="538"/>
      <c r="C104" s="555"/>
      <c r="D104" s="538"/>
      <c r="E104" s="538"/>
      <c r="F104" s="538"/>
      <c r="G104" s="538"/>
      <c r="H104" s="538"/>
      <c r="I104" s="555"/>
      <c r="J104" s="555"/>
      <c r="K104" s="538"/>
      <c r="L104" s="538"/>
      <c r="M104" s="538"/>
      <c r="N104" s="538"/>
      <c r="O104" s="538"/>
      <c r="P104" s="538"/>
      <c r="Q104" s="555"/>
      <c r="R104" s="538"/>
      <c r="S104" s="538"/>
      <c r="T104" s="538"/>
      <c r="U104" s="538"/>
      <c r="V104" s="538"/>
      <c r="W104" s="555"/>
      <c r="X104" s="555"/>
      <c r="Y104" s="538"/>
      <c r="Z104" s="538"/>
      <c r="AA104" s="538"/>
      <c r="AB104" s="538"/>
      <c r="AC104" s="538"/>
      <c r="AD104" s="538"/>
      <c r="AE104" s="555"/>
      <c r="AF104" s="538"/>
      <c r="AG104" s="538"/>
      <c r="AH104" s="556"/>
      <c r="AI104" s="556"/>
    </row>
    <row r="105" spans="1:35" ht="21.95" customHeight="1">
      <c r="A105" s="576"/>
      <c r="B105" s="806" t="s">
        <v>589</v>
      </c>
      <c r="C105" s="814"/>
      <c r="D105" s="807" t="s">
        <v>2</v>
      </c>
      <c r="E105" s="808"/>
      <c r="F105" s="809"/>
      <c r="G105" s="810"/>
      <c r="H105" s="807" t="s">
        <v>3</v>
      </c>
      <c r="I105" s="808"/>
      <c r="J105" s="809"/>
      <c r="K105" s="810"/>
      <c r="L105" s="807" t="s">
        <v>4</v>
      </c>
      <c r="M105" s="808"/>
      <c r="N105" s="809"/>
      <c r="O105" s="810"/>
      <c r="P105" s="807" t="s">
        <v>5</v>
      </c>
      <c r="Q105" s="808"/>
      <c r="R105" s="809"/>
      <c r="S105" s="810"/>
      <c r="T105" s="807" t="s">
        <v>6</v>
      </c>
      <c r="U105" s="808"/>
      <c r="V105" s="809"/>
      <c r="W105" s="810"/>
      <c r="X105" s="807" t="s">
        <v>7</v>
      </c>
      <c r="Y105" s="808"/>
      <c r="Z105" s="809"/>
      <c r="AA105" s="810"/>
      <c r="AB105" s="807" t="s">
        <v>8</v>
      </c>
      <c r="AC105" s="808"/>
      <c r="AD105" s="808"/>
      <c r="AE105" s="811" t="s">
        <v>10</v>
      </c>
      <c r="AF105" s="808"/>
      <c r="AG105" s="808"/>
      <c r="AH105" s="808"/>
      <c r="AI105" s="812"/>
    </row>
    <row r="106" spans="1:35" ht="21.95" customHeight="1">
      <c r="A106" s="576"/>
      <c r="B106" s="832" t="s">
        <v>590</v>
      </c>
      <c r="C106" s="815" t="s">
        <v>591</v>
      </c>
      <c r="D106" s="831" t="s">
        <v>592</v>
      </c>
      <c r="E106" s="816"/>
      <c r="F106" s="813"/>
      <c r="G106" s="815"/>
      <c r="H106" s="831" t="s">
        <v>592</v>
      </c>
      <c r="I106" s="816"/>
      <c r="J106" s="813"/>
      <c r="K106" s="815"/>
      <c r="L106" s="831" t="s">
        <v>592</v>
      </c>
      <c r="M106" s="816"/>
      <c r="N106" s="813"/>
      <c r="O106" s="815"/>
      <c r="P106" s="831" t="s">
        <v>593</v>
      </c>
      <c r="Q106" s="816"/>
      <c r="R106" s="813"/>
      <c r="S106" s="815"/>
      <c r="T106" s="831" t="s">
        <v>594</v>
      </c>
      <c r="U106" s="816"/>
      <c r="V106" s="813"/>
      <c r="W106" s="815"/>
      <c r="X106" s="816"/>
      <c r="Y106" s="816"/>
      <c r="Z106" s="813"/>
      <c r="AA106" s="815"/>
      <c r="AB106" s="816"/>
      <c r="AC106" s="816"/>
      <c r="AD106" s="816"/>
      <c r="AE106" s="815"/>
      <c r="AF106" s="816"/>
      <c r="AG106" s="816"/>
      <c r="AH106" s="818"/>
      <c r="AI106" s="819"/>
    </row>
    <row r="107" spans="1:35" ht="21.95" customHeight="1">
      <c r="A107" s="576"/>
      <c r="B107" s="833" t="s">
        <v>595</v>
      </c>
      <c r="C107" s="815" t="s">
        <v>596</v>
      </c>
      <c r="D107" s="831" t="s">
        <v>592</v>
      </c>
      <c r="E107" s="816"/>
      <c r="F107" s="813"/>
      <c r="G107" s="815"/>
      <c r="H107" s="831" t="s">
        <v>592</v>
      </c>
      <c r="I107" s="816"/>
      <c r="J107" s="813"/>
      <c r="K107" s="815"/>
      <c r="L107" s="831" t="s">
        <v>592</v>
      </c>
      <c r="M107" s="816"/>
      <c r="N107" s="813"/>
      <c r="O107" s="815"/>
      <c r="P107" s="831" t="s">
        <v>593</v>
      </c>
      <c r="Q107" s="816"/>
      <c r="R107" s="813"/>
      <c r="S107" s="815"/>
      <c r="T107" s="831" t="s">
        <v>594</v>
      </c>
      <c r="U107" s="816"/>
      <c r="V107" s="813"/>
      <c r="W107" s="815"/>
      <c r="X107" s="816"/>
      <c r="Y107" s="816"/>
      <c r="Z107" s="813"/>
      <c r="AA107" s="815"/>
      <c r="AB107" s="816"/>
      <c r="AC107" s="816"/>
      <c r="AD107" s="816"/>
      <c r="AE107" s="815"/>
      <c r="AF107" s="816"/>
      <c r="AG107" s="816"/>
      <c r="AH107" s="818"/>
      <c r="AI107" s="819"/>
    </row>
    <row r="108" spans="1:35" ht="21.95" customHeight="1">
      <c r="A108" s="576"/>
      <c r="B108" s="833" t="s">
        <v>597</v>
      </c>
      <c r="C108" s="815" t="s">
        <v>598</v>
      </c>
      <c r="D108" s="831" t="s">
        <v>592</v>
      </c>
      <c r="E108" s="816"/>
      <c r="F108" s="813"/>
      <c r="G108" s="815"/>
      <c r="H108" s="831" t="s">
        <v>592</v>
      </c>
      <c r="I108" s="816"/>
      <c r="J108" s="813"/>
      <c r="K108" s="815"/>
      <c r="L108" s="831" t="s">
        <v>592</v>
      </c>
      <c r="M108" s="816"/>
      <c r="N108" s="813"/>
      <c r="O108" s="815"/>
      <c r="P108" s="831" t="s">
        <v>593</v>
      </c>
      <c r="Q108" s="816"/>
      <c r="R108" s="813"/>
      <c r="S108" s="815"/>
      <c r="T108" s="831" t="s">
        <v>594</v>
      </c>
      <c r="U108" s="816"/>
      <c r="V108" s="813"/>
      <c r="W108" s="815"/>
      <c r="X108" s="816"/>
      <c r="Y108" s="816"/>
      <c r="Z108" s="813"/>
      <c r="AA108" s="815"/>
      <c r="AB108" s="816"/>
      <c r="AC108" s="816"/>
      <c r="AD108" s="816"/>
      <c r="AE108" s="815"/>
      <c r="AF108" s="816"/>
      <c r="AG108" s="816"/>
      <c r="AH108" s="818"/>
      <c r="AI108" s="819"/>
    </row>
    <row r="109" spans="1:35" ht="21.95" customHeight="1">
      <c r="A109" s="576"/>
      <c r="B109" s="833" t="s">
        <v>599</v>
      </c>
      <c r="C109" s="815" t="s">
        <v>600</v>
      </c>
      <c r="D109" s="831" t="s">
        <v>592</v>
      </c>
      <c r="E109" s="816"/>
      <c r="F109" s="813"/>
      <c r="G109" s="815"/>
      <c r="H109" s="831" t="s">
        <v>592</v>
      </c>
      <c r="I109" s="816"/>
      <c r="J109" s="813"/>
      <c r="K109" s="815"/>
      <c r="L109" s="831" t="s">
        <v>592</v>
      </c>
      <c r="M109" s="816"/>
      <c r="N109" s="813"/>
      <c r="O109" s="815"/>
      <c r="P109" s="831" t="s">
        <v>593</v>
      </c>
      <c r="Q109" s="816"/>
      <c r="R109" s="813"/>
      <c r="S109" s="815"/>
      <c r="T109" s="831" t="s">
        <v>594</v>
      </c>
      <c r="U109" s="816"/>
      <c r="V109" s="813"/>
      <c r="W109" s="815"/>
      <c r="X109" s="816"/>
      <c r="Y109" s="816"/>
      <c r="Z109" s="813"/>
      <c r="AA109" s="815"/>
      <c r="AB109" s="816"/>
      <c r="AC109" s="816"/>
      <c r="AD109" s="816"/>
      <c r="AE109" s="815"/>
      <c r="AF109" s="816"/>
      <c r="AG109" s="816"/>
      <c r="AH109" s="818"/>
      <c r="AI109" s="819"/>
    </row>
    <row r="110" spans="1:35" ht="21.95" customHeight="1">
      <c r="A110" s="576"/>
      <c r="B110" s="833" t="s">
        <v>601</v>
      </c>
      <c r="C110" s="815" t="s">
        <v>602</v>
      </c>
      <c r="D110" s="831" t="s">
        <v>592</v>
      </c>
      <c r="E110" s="816"/>
      <c r="F110" s="813"/>
      <c r="G110" s="815"/>
      <c r="H110" s="831" t="s">
        <v>592</v>
      </c>
      <c r="I110" s="816"/>
      <c r="J110" s="813"/>
      <c r="K110" s="815"/>
      <c r="L110" s="831" t="s">
        <v>592</v>
      </c>
      <c r="M110" s="816"/>
      <c r="N110" s="813"/>
      <c r="O110" s="815"/>
      <c r="P110" s="831" t="s">
        <v>593</v>
      </c>
      <c r="Q110" s="816"/>
      <c r="R110" s="813"/>
      <c r="S110" s="815"/>
      <c r="T110" s="831" t="s">
        <v>594</v>
      </c>
      <c r="U110" s="816"/>
      <c r="V110" s="813"/>
      <c r="W110" s="815"/>
      <c r="X110" s="816"/>
      <c r="Y110" s="816"/>
      <c r="Z110" s="813"/>
      <c r="AA110" s="815"/>
      <c r="AB110" s="816"/>
      <c r="AC110" s="816"/>
      <c r="AD110" s="816"/>
      <c r="AE110" s="815"/>
      <c r="AF110" s="816"/>
      <c r="AG110" s="816"/>
      <c r="AH110" s="818"/>
      <c r="AI110" s="819"/>
    </row>
    <row r="111" spans="1:35" ht="21.95" customHeight="1">
      <c r="A111" s="576"/>
      <c r="B111" s="833" t="s">
        <v>603</v>
      </c>
      <c r="C111" s="815" t="s">
        <v>604</v>
      </c>
      <c r="D111" s="831" t="s">
        <v>592</v>
      </c>
      <c r="E111" s="816"/>
      <c r="F111" s="813"/>
      <c r="G111" s="815"/>
      <c r="H111" s="831" t="s">
        <v>592</v>
      </c>
      <c r="I111" s="816"/>
      <c r="J111" s="813"/>
      <c r="K111" s="815"/>
      <c r="L111" s="831" t="s">
        <v>592</v>
      </c>
      <c r="M111" s="816"/>
      <c r="N111" s="813"/>
      <c r="O111" s="815"/>
      <c r="P111" s="831" t="s">
        <v>593</v>
      </c>
      <c r="Q111" s="816"/>
      <c r="R111" s="813"/>
      <c r="S111" s="815"/>
      <c r="T111" s="831" t="s">
        <v>594</v>
      </c>
      <c r="U111" s="816"/>
      <c r="V111" s="813"/>
      <c r="W111" s="815"/>
      <c r="X111" s="816"/>
      <c r="Y111" s="816"/>
      <c r="Z111" s="813"/>
      <c r="AA111" s="815"/>
      <c r="AB111" s="816"/>
      <c r="AC111" s="816"/>
      <c r="AD111" s="816"/>
      <c r="AE111" s="815"/>
      <c r="AF111" s="816"/>
      <c r="AG111" s="816"/>
      <c r="AH111" s="818"/>
      <c r="AI111" s="819"/>
    </row>
    <row r="112" spans="1:35" ht="21.95" customHeight="1">
      <c r="A112" s="576"/>
      <c r="B112" s="833" t="s">
        <v>605</v>
      </c>
      <c r="C112" s="815" t="s">
        <v>606</v>
      </c>
      <c r="D112" s="831" t="s">
        <v>592</v>
      </c>
      <c r="E112" s="816"/>
      <c r="F112" s="813"/>
      <c r="G112" s="815"/>
      <c r="H112" s="831" t="s">
        <v>592</v>
      </c>
      <c r="I112" s="816"/>
      <c r="J112" s="813"/>
      <c r="K112" s="815"/>
      <c r="L112" s="831" t="s">
        <v>592</v>
      </c>
      <c r="M112" s="816"/>
      <c r="N112" s="813"/>
      <c r="O112" s="815"/>
      <c r="P112" s="831" t="s">
        <v>593</v>
      </c>
      <c r="Q112" s="816"/>
      <c r="R112" s="813"/>
      <c r="S112" s="815"/>
      <c r="T112" s="831" t="s">
        <v>594</v>
      </c>
      <c r="U112" s="816"/>
      <c r="V112" s="813"/>
      <c r="W112" s="815"/>
      <c r="X112" s="816"/>
      <c r="Y112" s="816"/>
      <c r="Z112" s="813"/>
      <c r="AA112" s="815"/>
      <c r="AB112" s="816"/>
      <c r="AC112" s="816"/>
      <c r="AD112" s="816"/>
      <c r="AE112" s="815"/>
      <c r="AF112" s="816"/>
      <c r="AG112" s="816"/>
      <c r="AH112" s="818"/>
      <c r="AI112" s="819"/>
    </row>
    <row r="113" spans="1:35" ht="21.95" customHeight="1">
      <c r="A113" s="576"/>
      <c r="B113" s="833" t="s">
        <v>605</v>
      </c>
      <c r="C113" s="815" t="s">
        <v>607</v>
      </c>
      <c r="D113" s="831" t="s">
        <v>592</v>
      </c>
      <c r="E113" s="816"/>
      <c r="F113" s="813"/>
      <c r="G113" s="815"/>
      <c r="H113" s="831" t="s">
        <v>592</v>
      </c>
      <c r="I113" s="816"/>
      <c r="J113" s="813"/>
      <c r="K113" s="815"/>
      <c r="L113" s="831" t="s">
        <v>592</v>
      </c>
      <c r="M113" s="816"/>
      <c r="N113" s="813"/>
      <c r="O113" s="815"/>
      <c r="P113" s="831" t="s">
        <v>593</v>
      </c>
      <c r="Q113" s="816"/>
      <c r="R113" s="813"/>
      <c r="S113" s="815"/>
      <c r="T113" s="831" t="s">
        <v>594</v>
      </c>
      <c r="U113" s="816"/>
      <c r="V113" s="813"/>
      <c r="W113" s="815"/>
      <c r="X113" s="816"/>
      <c r="Y113" s="816"/>
      <c r="Z113" s="813"/>
      <c r="AA113" s="815"/>
      <c r="AB113" s="816"/>
      <c r="AC113" s="816"/>
      <c r="AD113" s="816"/>
      <c r="AE113" s="815"/>
      <c r="AF113" s="816"/>
      <c r="AG113" s="816"/>
      <c r="AH113" s="818"/>
      <c r="AI113" s="819"/>
    </row>
    <row r="114" spans="1:35" ht="21.95" customHeight="1">
      <c r="A114" s="576"/>
      <c r="B114" s="833" t="s">
        <v>608</v>
      </c>
      <c r="C114" s="815" t="s">
        <v>609</v>
      </c>
      <c r="D114" s="831" t="s">
        <v>592</v>
      </c>
      <c r="E114" s="816"/>
      <c r="F114" s="813"/>
      <c r="G114" s="815"/>
      <c r="H114" s="831" t="s">
        <v>592</v>
      </c>
      <c r="I114" s="816"/>
      <c r="J114" s="813"/>
      <c r="K114" s="815"/>
      <c r="L114" s="831" t="s">
        <v>592</v>
      </c>
      <c r="M114" s="816"/>
      <c r="N114" s="813"/>
      <c r="O114" s="815"/>
      <c r="P114" s="831" t="s">
        <v>593</v>
      </c>
      <c r="Q114" s="816"/>
      <c r="R114" s="813"/>
      <c r="S114" s="815"/>
      <c r="T114" s="831" t="s">
        <v>594</v>
      </c>
      <c r="U114" s="816"/>
      <c r="V114" s="813"/>
      <c r="W114" s="815"/>
      <c r="X114" s="816"/>
      <c r="Y114" s="816"/>
      <c r="Z114" s="813"/>
      <c r="AA114" s="815"/>
      <c r="AB114" s="816"/>
      <c r="AC114" s="816"/>
      <c r="AD114" s="816"/>
      <c r="AE114" s="815"/>
      <c r="AF114" s="816"/>
      <c r="AG114" s="816"/>
      <c r="AH114" s="818"/>
      <c r="AI114" s="819"/>
    </row>
    <row r="115" spans="1:35" ht="21.95" customHeight="1">
      <c r="A115" s="576"/>
      <c r="B115" s="833" t="s">
        <v>610</v>
      </c>
      <c r="C115" s="815" t="s">
        <v>611</v>
      </c>
      <c r="D115" s="831" t="s">
        <v>592</v>
      </c>
      <c r="E115" s="816"/>
      <c r="F115" s="813"/>
      <c r="G115" s="815"/>
      <c r="H115" s="831" t="s">
        <v>592</v>
      </c>
      <c r="I115" s="816"/>
      <c r="J115" s="813"/>
      <c r="K115" s="815"/>
      <c r="L115" s="831" t="s">
        <v>592</v>
      </c>
      <c r="M115" s="816"/>
      <c r="N115" s="813"/>
      <c r="O115" s="815"/>
      <c r="P115" s="831" t="s">
        <v>593</v>
      </c>
      <c r="Q115" s="816"/>
      <c r="R115" s="813"/>
      <c r="S115" s="815"/>
      <c r="T115" s="831" t="s">
        <v>594</v>
      </c>
      <c r="U115" s="816"/>
      <c r="V115" s="813"/>
      <c r="W115" s="815"/>
      <c r="X115" s="816"/>
      <c r="Y115" s="816"/>
      <c r="Z115" s="813"/>
      <c r="AA115" s="815"/>
      <c r="AB115" s="816"/>
      <c r="AC115" s="816"/>
      <c r="AD115" s="816"/>
      <c r="AE115" s="815"/>
      <c r="AF115" s="816"/>
      <c r="AG115" s="816"/>
      <c r="AH115" s="818"/>
      <c r="AI115" s="819"/>
    </row>
    <row r="116" spans="1:35" ht="21.95" customHeight="1">
      <c r="A116" s="576"/>
      <c r="B116" s="833" t="s">
        <v>612</v>
      </c>
      <c r="C116" s="815" t="s">
        <v>613</v>
      </c>
      <c r="D116" s="831" t="s">
        <v>592</v>
      </c>
      <c r="E116" s="816"/>
      <c r="F116" s="813"/>
      <c r="G116" s="815"/>
      <c r="H116" s="831" t="s">
        <v>592</v>
      </c>
      <c r="I116" s="816"/>
      <c r="J116" s="813"/>
      <c r="K116" s="815"/>
      <c r="L116" s="831" t="s">
        <v>592</v>
      </c>
      <c r="M116" s="816"/>
      <c r="N116" s="813"/>
      <c r="O116" s="815"/>
      <c r="P116" s="831" t="s">
        <v>593</v>
      </c>
      <c r="Q116" s="816"/>
      <c r="R116" s="813"/>
      <c r="S116" s="815"/>
      <c r="T116" s="831" t="s">
        <v>594</v>
      </c>
      <c r="U116" s="816"/>
      <c r="V116" s="813"/>
      <c r="W116" s="815"/>
      <c r="X116" s="816"/>
      <c r="Y116" s="816"/>
      <c r="Z116" s="813"/>
      <c r="AA116" s="815"/>
      <c r="AB116" s="816"/>
      <c r="AC116" s="816"/>
      <c r="AD116" s="816"/>
      <c r="AE116" s="815"/>
      <c r="AF116" s="816"/>
      <c r="AG116" s="816"/>
      <c r="AH116" s="818"/>
      <c r="AI116" s="819"/>
    </row>
    <row r="117" spans="1:35" ht="21.95" customHeight="1" thickBot="1">
      <c r="A117" s="576"/>
      <c r="B117" s="583"/>
      <c r="C117" s="555"/>
      <c r="D117" s="538"/>
      <c r="E117" s="538"/>
      <c r="F117" s="538"/>
      <c r="G117" s="538"/>
      <c r="H117" s="538"/>
      <c r="I117" s="555"/>
      <c r="J117" s="555"/>
      <c r="K117" s="538"/>
      <c r="L117" s="538"/>
      <c r="M117" s="538"/>
      <c r="N117" s="538"/>
      <c r="O117" s="538"/>
      <c r="P117" s="538"/>
      <c r="Q117" s="555"/>
      <c r="R117" s="538"/>
      <c r="S117" s="538"/>
      <c r="T117" s="538"/>
      <c r="U117" s="538"/>
      <c r="V117" s="538"/>
      <c r="W117" s="555"/>
      <c r="X117" s="555"/>
      <c r="Y117" s="538"/>
      <c r="Z117" s="538"/>
      <c r="AA117" s="538"/>
      <c r="AB117" s="538"/>
      <c r="AC117" s="538"/>
      <c r="AD117" s="538"/>
      <c r="AE117" s="555"/>
      <c r="AF117" s="538"/>
      <c r="AG117" s="538"/>
      <c r="AH117" s="556"/>
      <c r="AI117" s="556"/>
    </row>
    <row r="118" spans="1:35" ht="21.95" customHeight="1" thickBot="1">
      <c r="A118" s="785"/>
      <c r="B118" s="883" t="s">
        <v>476</v>
      </c>
      <c r="C118" s="946">
        <v>1</v>
      </c>
      <c r="D118" s="863">
        <v>2</v>
      </c>
      <c r="E118" s="863">
        <v>3</v>
      </c>
      <c r="F118" s="863">
        <v>4</v>
      </c>
      <c r="G118" s="863">
        <v>5</v>
      </c>
      <c r="H118" s="880">
        <v>6</v>
      </c>
      <c r="I118" s="880">
        <v>7</v>
      </c>
      <c r="J118" s="863">
        <v>8</v>
      </c>
      <c r="K118" s="863">
        <v>9</v>
      </c>
      <c r="L118" s="863">
        <v>10</v>
      </c>
      <c r="M118" s="863">
        <v>11</v>
      </c>
      <c r="N118" s="863">
        <v>12</v>
      </c>
      <c r="O118" s="880">
        <v>13</v>
      </c>
      <c r="P118" s="880">
        <v>14</v>
      </c>
      <c r="Q118" s="863">
        <v>15</v>
      </c>
      <c r="R118" s="863">
        <v>16</v>
      </c>
      <c r="S118" s="863">
        <v>17</v>
      </c>
      <c r="T118" s="863">
        <v>18</v>
      </c>
      <c r="U118" s="863">
        <v>19</v>
      </c>
      <c r="V118" s="880">
        <v>20</v>
      </c>
      <c r="W118" s="880">
        <v>21</v>
      </c>
      <c r="X118" s="863">
        <v>22</v>
      </c>
      <c r="Y118" s="863">
        <v>23</v>
      </c>
      <c r="Z118" s="880">
        <v>24</v>
      </c>
      <c r="AA118" s="880">
        <v>25</v>
      </c>
      <c r="AB118" s="880">
        <v>26</v>
      </c>
      <c r="AC118" s="880">
        <v>27</v>
      </c>
      <c r="AD118" s="880">
        <v>28</v>
      </c>
      <c r="AE118" s="863">
        <v>29</v>
      </c>
      <c r="AF118" s="863">
        <v>30</v>
      </c>
      <c r="AG118" s="954">
        <v>31</v>
      </c>
      <c r="AH118" s="884" t="s">
        <v>477</v>
      </c>
      <c r="AI118" s="885" t="s">
        <v>478</v>
      </c>
    </row>
    <row r="119" spans="1:35" ht="21.95" customHeight="1">
      <c r="A119" s="576"/>
      <c r="B119" s="881" t="s">
        <v>614</v>
      </c>
      <c r="C119" s="882" t="s">
        <v>591</v>
      </c>
      <c r="D119" s="882" t="s">
        <v>591</v>
      </c>
      <c r="E119" s="882" t="s">
        <v>591</v>
      </c>
      <c r="F119" s="882" t="s">
        <v>591</v>
      </c>
      <c r="G119" s="882" t="s">
        <v>591</v>
      </c>
      <c r="H119" s="882"/>
      <c r="I119" s="882"/>
      <c r="J119" s="882" t="s">
        <v>591</v>
      </c>
      <c r="K119" s="882" t="s">
        <v>591</v>
      </c>
      <c r="L119" s="882" t="s">
        <v>591</v>
      </c>
      <c r="M119" s="882" t="s">
        <v>591</v>
      </c>
      <c r="N119" s="882" t="s">
        <v>591</v>
      </c>
      <c r="O119" s="882"/>
      <c r="P119" s="882"/>
      <c r="Q119" s="882" t="s">
        <v>591</v>
      </c>
      <c r="R119" s="882" t="s">
        <v>591</v>
      </c>
      <c r="S119" s="882" t="s">
        <v>591</v>
      </c>
      <c r="T119" s="882" t="s">
        <v>591</v>
      </c>
      <c r="U119" s="882" t="s">
        <v>591</v>
      </c>
      <c r="V119" s="882"/>
      <c r="W119" s="882"/>
      <c r="X119" s="882" t="s">
        <v>591</v>
      </c>
      <c r="Y119" s="882" t="s">
        <v>591</v>
      </c>
      <c r="Z119" s="882"/>
      <c r="AA119" s="882"/>
      <c r="AB119" s="882"/>
      <c r="AC119" s="882"/>
      <c r="AD119" s="882"/>
      <c r="AE119" s="882" t="s">
        <v>591</v>
      </c>
      <c r="AF119" s="999" t="s">
        <v>591</v>
      </c>
      <c r="AG119" s="882"/>
      <c r="AH119" s="510">
        <v>84</v>
      </c>
      <c r="AI119" s="511">
        <v>37</v>
      </c>
    </row>
    <row r="120" spans="1:35" ht="21.95" customHeight="1">
      <c r="A120" s="576"/>
      <c r="B120" s="804" t="s">
        <v>615</v>
      </c>
      <c r="C120" s="837" t="s">
        <v>591</v>
      </c>
      <c r="D120" s="837" t="s">
        <v>591</v>
      </c>
      <c r="E120" s="837" t="s">
        <v>591</v>
      </c>
      <c r="F120" s="837" t="s">
        <v>591</v>
      </c>
      <c r="G120" s="837" t="s">
        <v>591</v>
      </c>
      <c r="H120" s="837"/>
      <c r="I120" s="837"/>
      <c r="J120" s="837" t="s">
        <v>591</v>
      </c>
      <c r="K120" s="837" t="s">
        <v>591</v>
      </c>
      <c r="L120" s="837" t="s">
        <v>591</v>
      </c>
      <c r="M120" s="837" t="s">
        <v>591</v>
      </c>
      <c r="N120" s="837" t="s">
        <v>591</v>
      </c>
      <c r="O120" s="837"/>
      <c r="P120" s="837"/>
      <c r="Q120" s="837" t="s">
        <v>591</v>
      </c>
      <c r="R120" s="837" t="s">
        <v>591</v>
      </c>
      <c r="S120" s="837" t="s">
        <v>591</v>
      </c>
      <c r="T120" s="837" t="s">
        <v>591</v>
      </c>
      <c r="U120" s="837" t="s">
        <v>591</v>
      </c>
      <c r="V120" s="837"/>
      <c r="W120" s="837"/>
      <c r="X120" s="837" t="s">
        <v>591</v>
      </c>
      <c r="Y120" s="837" t="s">
        <v>591</v>
      </c>
      <c r="Z120" s="837"/>
      <c r="AA120" s="837"/>
      <c r="AB120" s="837"/>
      <c r="AC120" s="837"/>
      <c r="AD120" s="837"/>
      <c r="AE120" s="969" t="s">
        <v>591</v>
      </c>
      <c r="AF120" s="969" t="s">
        <v>591</v>
      </c>
      <c r="AG120" s="837"/>
      <c r="AH120" s="924">
        <v>52</v>
      </c>
      <c r="AI120" s="925">
        <v>37</v>
      </c>
    </row>
    <row r="121" spans="1:35" ht="21.95" customHeight="1">
      <c r="A121" s="576"/>
      <c r="B121" s="804" t="s">
        <v>616</v>
      </c>
      <c r="C121" s="837" t="s">
        <v>596</v>
      </c>
      <c r="D121" s="837" t="s">
        <v>596</v>
      </c>
      <c r="E121" s="837" t="s">
        <v>596</v>
      </c>
      <c r="F121" s="837" t="s">
        <v>596</v>
      </c>
      <c r="G121" s="837" t="s">
        <v>596</v>
      </c>
      <c r="H121" s="837"/>
      <c r="I121" s="837"/>
      <c r="J121" s="837" t="s">
        <v>596</v>
      </c>
      <c r="K121" s="837" t="s">
        <v>596</v>
      </c>
      <c r="L121" s="837" t="s">
        <v>596</v>
      </c>
      <c r="M121" s="837" t="s">
        <v>596</v>
      </c>
      <c r="N121" s="837" t="s">
        <v>596</v>
      </c>
      <c r="O121" s="837"/>
      <c r="P121" s="837"/>
      <c r="Q121" s="837" t="s">
        <v>596</v>
      </c>
      <c r="R121" s="837" t="s">
        <v>596</v>
      </c>
      <c r="S121" s="837" t="s">
        <v>596</v>
      </c>
      <c r="T121" s="837" t="s">
        <v>596</v>
      </c>
      <c r="U121" s="837" t="s">
        <v>596</v>
      </c>
      <c r="V121" s="837"/>
      <c r="W121" s="837"/>
      <c r="X121" s="837" t="s">
        <v>596</v>
      </c>
      <c r="Y121" s="837" t="s">
        <v>596</v>
      </c>
      <c r="Z121" s="837"/>
      <c r="AA121" s="837"/>
      <c r="AB121" s="837"/>
      <c r="AC121" s="837"/>
      <c r="AD121" s="837"/>
      <c r="AE121" s="969" t="s">
        <v>596</v>
      </c>
      <c r="AF121" s="969" t="s">
        <v>596</v>
      </c>
      <c r="AG121" s="837"/>
      <c r="AH121" s="924">
        <v>39</v>
      </c>
      <c r="AI121" s="925">
        <v>37</v>
      </c>
    </row>
    <row r="122" spans="1:35" ht="21.95" customHeight="1">
      <c r="A122" s="576"/>
      <c r="B122" s="804" t="s">
        <v>617</v>
      </c>
      <c r="C122" s="837" t="s">
        <v>598</v>
      </c>
      <c r="D122" s="837" t="s">
        <v>598</v>
      </c>
      <c r="E122" s="837" t="s">
        <v>598</v>
      </c>
      <c r="F122" s="837" t="s">
        <v>598</v>
      </c>
      <c r="G122" s="837" t="s">
        <v>598</v>
      </c>
      <c r="H122" s="837"/>
      <c r="I122" s="837"/>
      <c r="J122" s="837" t="s">
        <v>598</v>
      </c>
      <c r="K122" s="1275" t="s">
        <v>598</v>
      </c>
      <c r="L122" s="837" t="s">
        <v>598</v>
      </c>
      <c r="M122" s="837" t="s">
        <v>598</v>
      </c>
      <c r="N122" s="837" t="s">
        <v>598</v>
      </c>
      <c r="O122" s="837"/>
      <c r="P122" s="837"/>
      <c r="Q122" s="815" t="s">
        <v>598</v>
      </c>
      <c r="R122" s="815" t="s">
        <v>598</v>
      </c>
      <c r="S122" s="815" t="s">
        <v>598</v>
      </c>
      <c r="T122" s="815" t="s">
        <v>598</v>
      </c>
      <c r="U122" s="815" t="s">
        <v>598</v>
      </c>
      <c r="V122" s="815"/>
      <c r="W122" s="815"/>
      <c r="X122" s="969" t="s">
        <v>598</v>
      </c>
      <c r="Y122" s="969" t="s">
        <v>598</v>
      </c>
      <c r="Z122" s="837"/>
      <c r="AA122" s="837"/>
      <c r="AB122" s="837"/>
      <c r="AC122" s="837"/>
      <c r="AD122" s="837"/>
      <c r="AE122" s="969" t="s">
        <v>598</v>
      </c>
      <c r="AF122" s="969" t="s">
        <v>598</v>
      </c>
      <c r="AG122" s="837"/>
      <c r="AH122" s="924">
        <v>50</v>
      </c>
      <c r="AI122" s="925">
        <v>37</v>
      </c>
    </row>
    <row r="123" spans="1:35" ht="21.95" customHeight="1">
      <c r="A123" s="576"/>
      <c r="B123" s="804" t="s">
        <v>619</v>
      </c>
      <c r="C123" s="837" t="s">
        <v>600</v>
      </c>
      <c r="D123" s="837" t="s">
        <v>600</v>
      </c>
      <c r="E123" s="837" t="s">
        <v>600</v>
      </c>
      <c r="F123" s="837" t="s">
        <v>600</v>
      </c>
      <c r="G123" s="837" t="s">
        <v>600</v>
      </c>
      <c r="H123" s="837"/>
      <c r="I123" s="837"/>
      <c r="J123" s="837" t="s">
        <v>600</v>
      </c>
      <c r="K123" s="837" t="s">
        <v>600</v>
      </c>
      <c r="L123" s="837" t="s">
        <v>600</v>
      </c>
      <c r="M123" s="837" t="s">
        <v>600</v>
      </c>
      <c r="N123" s="837" t="s">
        <v>600</v>
      </c>
      <c r="O123" s="837"/>
      <c r="P123" s="837"/>
      <c r="Q123" s="837" t="s">
        <v>600</v>
      </c>
      <c r="R123" s="837" t="s">
        <v>600</v>
      </c>
      <c r="S123" s="837" t="s">
        <v>600</v>
      </c>
      <c r="T123" s="837" t="s">
        <v>600</v>
      </c>
      <c r="U123" s="837" t="s">
        <v>600</v>
      </c>
      <c r="V123" s="837"/>
      <c r="W123" s="837"/>
      <c r="X123" s="1005" t="s">
        <v>600</v>
      </c>
      <c r="Y123" s="1005" t="s">
        <v>600</v>
      </c>
      <c r="Z123" s="837"/>
      <c r="AA123" s="837"/>
      <c r="AB123" s="837"/>
      <c r="AC123" s="837"/>
      <c r="AD123" s="837"/>
      <c r="AE123" s="969" t="s">
        <v>600</v>
      </c>
      <c r="AF123" s="969" t="s">
        <v>600</v>
      </c>
      <c r="AG123" s="837"/>
      <c r="AH123" s="924">
        <v>5</v>
      </c>
      <c r="AI123" s="925">
        <v>37</v>
      </c>
    </row>
    <row r="124" spans="1:35" ht="21.95" customHeight="1">
      <c r="A124" s="576"/>
      <c r="B124" s="804" t="s">
        <v>621</v>
      </c>
      <c r="C124" s="837" t="s">
        <v>602</v>
      </c>
      <c r="D124" s="837" t="s">
        <v>602</v>
      </c>
      <c r="E124" s="837" t="s">
        <v>602</v>
      </c>
      <c r="F124" s="837" t="s">
        <v>602</v>
      </c>
      <c r="G124" s="837" t="s">
        <v>602</v>
      </c>
      <c r="H124" s="837"/>
      <c r="I124" s="837"/>
      <c r="J124" s="837" t="s">
        <v>602</v>
      </c>
      <c r="K124" s="837" t="s">
        <v>602</v>
      </c>
      <c r="L124" s="837" t="s">
        <v>602</v>
      </c>
      <c r="M124" s="837" t="s">
        <v>602</v>
      </c>
      <c r="N124" s="837" t="s">
        <v>602</v>
      </c>
      <c r="O124" s="837"/>
      <c r="P124" s="837"/>
      <c r="Q124" s="837" t="s">
        <v>602</v>
      </c>
      <c r="R124" s="837" t="s">
        <v>602</v>
      </c>
      <c r="S124" s="1131" t="s">
        <v>491</v>
      </c>
      <c r="T124" s="837" t="s">
        <v>602</v>
      </c>
      <c r="U124" s="837" t="s">
        <v>602</v>
      </c>
      <c r="V124" s="837"/>
      <c r="W124" s="837"/>
      <c r="X124" s="837" t="s">
        <v>602</v>
      </c>
      <c r="Y124" s="837" t="s">
        <v>602</v>
      </c>
      <c r="Z124" s="837"/>
      <c r="AA124" s="837"/>
      <c r="AB124" s="837"/>
      <c r="AC124" s="837"/>
      <c r="AD124" s="837"/>
      <c r="AE124" s="969" t="s">
        <v>602</v>
      </c>
      <c r="AF124" s="969" t="s">
        <v>602</v>
      </c>
      <c r="AG124" s="837"/>
      <c r="AH124" s="924">
        <v>55</v>
      </c>
      <c r="AI124" s="925">
        <v>37</v>
      </c>
    </row>
    <row r="125" spans="1:35" ht="21.95" customHeight="1">
      <c r="A125" s="576"/>
      <c r="B125" s="804" t="s">
        <v>622</v>
      </c>
      <c r="C125" s="837" t="s">
        <v>604</v>
      </c>
      <c r="D125" s="837" t="s">
        <v>604</v>
      </c>
      <c r="E125" s="837" t="s">
        <v>604</v>
      </c>
      <c r="F125" s="837" t="s">
        <v>604</v>
      </c>
      <c r="G125" s="837" t="s">
        <v>604</v>
      </c>
      <c r="H125" s="837"/>
      <c r="I125" s="837"/>
      <c r="J125" s="837" t="s">
        <v>604</v>
      </c>
      <c r="K125" s="837" t="s">
        <v>604</v>
      </c>
      <c r="L125" s="837" t="s">
        <v>604</v>
      </c>
      <c r="M125" s="837" t="s">
        <v>604</v>
      </c>
      <c r="N125" s="837" t="s">
        <v>604</v>
      </c>
      <c r="O125" s="837"/>
      <c r="P125" s="837"/>
      <c r="Q125" s="837" t="s">
        <v>604</v>
      </c>
      <c r="R125" s="837" t="s">
        <v>604</v>
      </c>
      <c r="S125" s="837" t="s">
        <v>604</v>
      </c>
      <c r="T125" s="837" t="s">
        <v>604</v>
      </c>
      <c r="U125" s="837" t="s">
        <v>604</v>
      </c>
      <c r="V125" s="837"/>
      <c r="W125" s="837"/>
      <c r="X125" s="1005" t="s">
        <v>604</v>
      </c>
      <c r="Y125" s="1005" t="s">
        <v>604</v>
      </c>
      <c r="Z125" s="837"/>
      <c r="AA125" s="837"/>
      <c r="AB125" s="837"/>
      <c r="AC125" s="837"/>
      <c r="AD125" s="837"/>
      <c r="AE125" s="969" t="s">
        <v>604</v>
      </c>
      <c r="AF125" s="969" t="s">
        <v>604</v>
      </c>
      <c r="AG125" s="837"/>
      <c r="AH125" s="924">
        <v>37</v>
      </c>
      <c r="AI125" s="925">
        <v>37</v>
      </c>
    </row>
    <row r="126" spans="1:35" ht="21.95" customHeight="1">
      <c r="A126" s="576"/>
      <c r="B126" s="804" t="s">
        <v>623</v>
      </c>
      <c r="C126" s="837" t="s">
        <v>606</v>
      </c>
      <c r="D126" s="837" t="s">
        <v>606</v>
      </c>
      <c r="E126" s="837" t="s">
        <v>606</v>
      </c>
      <c r="F126" s="837" t="s">
        <v>606</v>
      </c>
      <c r="G126" s="837" t="s">
        <v>606</v>
      </c>
      <c r="H126" s="837"/>
      <c r="I126" s="837"/>
      <c r="J126" s="837" t="s">
        <v>606</v>
      </c>
      <c r="K126" s="837" t="s">
        <v>606</v>
      </c>
      <c r="L126" s="837" t="s">
        <v>606</v>
      </c>
      <c r="M126" s="837" t="s">
        <v>606</v>
      </c>
      <c r="N126" s="837" t="s">
        <v>606</v>
      </c>
      <c r="O126" s="837"/>
      <c r="P126" s="837"/>
      <c r="Q126" s="837" t="s">
        <v>606</v>
      </c>
      <c r="R126" s="837" t="s">
        <v>606</v>
      </c>
      <c r="S126" s="837" t="s">
        <v>606</v>
      </c>
      <c r="T126" s="837" t="s">
        <v>606</v>
      </c>
      <c r="U126" s="837" t="s">
        <v>606</v>
      </c>
      <c r="V126" s="837"/>
      <c r="W126" s="837"/>
      <c r="X126" s="837" t="s">
        <v>606</v>
      </c>
      <c r="Y126" s="837" t="s">
        <v>606</v>
      </c>
      <c r="Z126" s="837"/>
      <c r="AA126" s="837"/>
      <c r="AB126" s="837"/>
      <c r="AC126" s="837"/>
      <c r="AD126" s="837"/>
      <c r="AE126" s="837" t="s">
        <v>606</v>
      </c>
      <c r="AF126" s="837" t="s">
        <v>606</v>
      </c>
      <c r="AG126" s="837" t="s">
        <v>606</v>
      </c>
      <c r="AH126" s="924">
        <v>74</v>
      </c>
      <c r="AI126" s="925">
        <v>37</v>
      </c>
    </row>
    <row r="127" spans="1:35" ht="21.95" customHeight="1">
      <c r="A127" s="576"/>
      <c r="B127" s="804" t="s">
        <v>624</v>
      </c>
      <c r="C127" s="837" t="s">
        <v>607</v>
      </c>
      <c r="D127" s="837" t="s">
        <v>607</v>
      </c>
      <c r="E127" s="837" t="s">
        <v>607</v>
      </c>
      <c r="F127" s="837" t="s">
        <v>607</v>
      </c>
      <c r="G127" s="837" t="s">
        <v>607</v>
      </c>
      <c r="H127" s="837"/>
      <c r="I127" s="837"/>
      <c r="J127" s="837" t="s">
        <v>607</v>
      </c>
      <c r="K127" s="837" t="s">
        <v>607</v>
      </c>
      <c r="L127" s="837" t="s">
        <v>607</v>
      </c>
      <c r="M127" s="837" t="s">
        <v>607</v>
      </c>
      <c r="N127" s="837" t="s">
        <v>607</v>
      </c>
      <c r="O127" s="837"/>
      <c r="P127" s="837"/>
      <c r="Q127" s="837" t="s">
        <v>607</v>
      </c>
      <c r="R127" s="837" t="s">
        <v>607</v>
      </c>
      <c r="S127" s="837" t="s">
        <v>607</v>
      </c>
      <c r="T127" s="837" t="s">
        <v>607</v>
      </c>
      <c r="U127" s="837" t="s">
        <v>607</v>
      </c>
      <c r="V127" s="837"/>
      <c r="W127" s="837"/>
      <c r="X127" s="1005" t="s">
        <v>607</v>
      </c>
      <c r="Y127" s="1005" t="s">
        <v>607</v>
      </c>
      <c r="Z127" s="837"/>
      <c r="AA127" s="837"/>
      <c r="AB127" s="837"/>
      <c r="AC127" s="837"/>
      <c r="AD127" s="837"/>
      <c r="AE127" s="969" t="s">
        <v>607</v>
      </c>
      <c r="AF127" s="969" t="s">
        <v>607</v>
      </c>
      <c r="AG127" s="837"/>
      <c r="AH127" s="924">
        <v>7</v>
      </c>
      <c r="AI127" s="925">
        <v>37</v>
      </c>
    </row>
    <row r="128" spans="1:35" ht="21.95" customHeight="1">
      <c r="A128" s="576"/>
      <c r="B128" s="804" t="s">
        <v>626</v>
      </c>
      <c r="C128" s="837" t="s">
        <v>609</v>
      </c>
      <c r="D128" s="837" t="s">
        <v>609</v>
      </c>
      <c r="E128" s="837" t="s">
        <v>609</v>
      </c>
      <c r="F128" s="837" t="s">
        <v>609</v>
      </c>
      <c r="G128" s="837" t="s">
        <v>609</v>
      </c>
      <c r="H128" s="837"/>
      <c r="I128" s="837"/>
      <c r="J128" s="837" t="s">
        <v>609</v>
      </c>
      <c r="K128" s="837" t="s">
        <v>609</v>
      </c>
      <c r="L128" s="837" t="s">
        <v>609</v>
      </c>
      <c r="M128" s="837" t="s">
        <v>609</v>
      </c>
      <c r="N128" s="837" t="s">
        <v>609</v>
      </c>
      <c r="O128" s="837"/>
      <c r="P128" s="837"/>
      <c r="Q128" s="837" t="s">
        <v>609</v>
      </c>
      <c r="R128" s="837" t="s">
        <v>609</v>
      </c>
      <c r="S128" s="837" t="s">
        <v>609</v>
      </c>
      <c r="T128" s="837" t="s">
        <v>609</v>
      </c>
      <c r="U128" s="837" t="s">
        <v>609</v>
      </c>
      <c r="V128" s="837"/>
      <c r="W128" s="837"/>
      <c r="X128" s="837" t="s">
        <v>609</v>
      </c>
      <c r="Y128" s="837" t="s">
        <v>609</v>
      </c>
      <c r="Z128" s="837"/>
      <c r="AA128" s="837"/>
      <c r="AB128" s="837"/>
      <c r="AC128" s="837"/>
      <c r="AD128" s="837"/>
      <c r="AE128" s="969" t="s">
        <v>609</v>
      </c>
      <c r="AF128" s="969" t="s">
        <v>609</v>
      </c>
      <c r="AG128" s="837"/>
      <c r="AH128" s="924">
        <v>49</v>
      </c>
      <c r="AI128" s="925">
        <v>37</v>
      </c>
    </row>
    <row r="129" spans="1:35" ht="21.95" customHeight="1">
      <c r="A129" s="576"/>
      <c r="B129" s="804" t="s">
        <v>627</v>
      </c>
      <c r="C129" s="837" t="s">
        <v>611</v>
      </c>
      <c r="D129" s="837" t="s">
        <v>611</v>
      </c>
      <c r="E129" s="837" t="s">
        <v>611</v>
      </c>
      <c r="F129" s="837" t="s">
        <v>611</v>
      </c>
      <c r="G129" s="837" t="s">
        <v>611</v>
      </c>
      <c r="H129" s="837"/>
      <c r="I129" s="837"/>
      <c r="J129" s="837" t="s">
        <v>611</v>
      </c>
      <c r="K129" s="837" t="s">
        <v>611</v>
      </c>
      <c r="L129" s="837" t="s">
        <v>611</v>
      </c>
      <c r="M129" s="837" t="s">
        <v>611</v>
      </c>
      <c r="N129" s="837" t="s">
        <v>611</v>
      </c>
      <c r="O129" s="837"/>
      <c r="P129" s="837"/>
      <c r="Q129" s="837" t="s">
        <v>611</v>
      </c>
      <c r="R129" s="837" t="s">
        <v>611</v>
      </c>
      <c r="S129" s="1283" t="s">
        <v>611</v>
      </c>
      <c r="T129" s="837" t="s">
        <v>611</v>
      </c>
      <c r="U129" s="837" t="s">
        <v>611</v>
      </c>
      <c r="V129" s="837"/>
      <c r="W129" s="837"/>
      <c r="X129" s="837" t="s">
        <v>611</v>
      </c>
      <c r="Y129" s="837" t="s">
        <v>611</v>
      </c>
      <c r="Z129" s="837"/>
      <c r="AA129" s="837"/>
      <c r="AB129" s="837"/>
      <c r="AC129" s="837"/>
      <c r="AD129" s="837"/>
      <c r="AE129" s="969" t="s">
        <v>611</v>
      </c>
      <c r="AF129" s="969" t="s">
        <v>611</v>
      </c>
      <c r="AG129" s="837"/>
      <c r="AH129" s="924">
        <v>113</v>
      </c>
      <c r="AI129" s="925">
        <v>32</v>
      </c>
    </row>
    <row r="130" spans="1:35" ht="21.95" customHeight="1" thickBot="1">
      <c r="A130" s="576"/>
      <c r="B130" s="886" t="s">
        <v>629</v>
      </c>
      <c r="C130" s="887" t="s">
        <v>613</v>
      </c>
      <c r="D130" s="887" t="s">
        <v>613</v>
      </c>
      <c r="E130" s="887" t="s">
        <v>613</v>
      </c>
      <c r="F130" s="887" t="s">
        <v>613</v>
      </c>
      <c r="G130" s="887" t="s">
        <v>613</v>
      </c>
      <c r="H130" s="887"/>
      <c r="I130" s="887"/>
      <c r="J130" s="887" t="s">
        <v>613</v>
      </c>
      <c r="K130" s="887" t="s">
        <v>613</v>
      </c>
      <c r="L130" s="887" t="s">
        <v>613</v>
      </c>
      <c r="M130" s="837" t="s">
        <v>613</v>
      </c>
      <c r="N130" s="887" t="s">
        <v>613</v>
      </c>
      <c r="O130" s="887"/>
      <c r="P130" s="887"/>
      <c r="Q130" s="887" t="s">
        <v>613</v>
      </c>
      <c r="R130" s="887" t="s">
        <v>613</v>
      </c>
      <c r="S130" s="887" t="s">
        <v>613</v>
      </c>
      <c r="T130" s="887" t="s">
        <v>613</v>
      </c>
      <c r="U130" s="887" t="s">
        <v>613</v>
      </c>
      <c r="V130" s="887"/>
      <c r="W130" s="887"/>
      <c r="X130" s="887" t="s">
        <v>613</v>
      </c>
      <c r="Y130" s="887" t="s">
        <v>613</v>
      </c>
      <c r="Z130" s="887"/>
      <c r="AA130" s="887"/>
      <c r="AB130" s="887"/>
      <c r="AC130" s="887"/>
      <c r="AD130" s="887"/>
      <c r="AE130" s="1278" t="s">
        <v>613</v>
      </c>
      <c r="AF130" s="1278" t="s">
        <v>613</v>
      </c>
      <c r="AG130" s="887"/>
      <c r="AH130" s="868">
        <v>74</v>
      </c>
      <c r="AI130" s="869">
        <v>37</v>
      </c>
    </row>
    <row r="131" spans="1:35" ht="21.95" customHeight="1">
      <c r="A131" s="576"/>
      <c r="B131" s="847"/>
      <c r="C131" s="555"/>
      <c r="D131" s="555"/>
      <c r="E131" s="555"/>
      <c r="F131" s="555"/>
      <c r="G131" s="555"/>
      <c r="H131" s="555"/>
      <c r="I131" s="555"/>
      <c r="J131" s="555"/>
      <c r="K131" s="555"/>
      <c r="L131" s="555"/>
      <c r="M131" s="555"/>
      <c r="N131" s="555"/>
      <c r="O131" s="555"/>
      <c r="P131" s="555"/>
      <c r="Q131" s="555"/>
      <c r="R131" s="555"/>
      <c r="S131" s="555"/>
      <c r="T131" s="555"/>
      <c r="U131" s="555"/>
      <c r="V131" s="555"/>
      <c r="W131" s="555"/>
      <c r="X131" s="555"/>
      <c r="Y131" s="555"/>
      <c r="Z131" s="555"/>
      <c r="AA131" s="555"/>
      <c r="AB131" s="555"/>
      <c r="AC131" s="555"/>
      <c r="AD131" s="555"/>
      <c r="AE131" s="555"/>
      <c r="AF131" s="555"/>
      <c r="AG131" s="555"/>
      <c r="AH131" s="556"/>
      <c r="AI131" s="556"/>
    </row>
    <row r="132" spans="1:35" ht="21.95" customHeight="1" thickBot="1">
      <c r="A132" s="805" t="s">
        <v>630</v>
      </c>
      <c r="B132" s="538" t="s">
        <v>631</v>
      </c>
      <c r="C132" s="555"/>
      <c r="D132" s="538"/>
      <c r="E132" s="538"/>
      <c r="F132" s="538"/>
      <c r="G132" s="538"/>
      <c r="H132" s="538"/>
      <c r="I132" s="555"/>
      <c r="J132" s="555"/>
      <c r="K132" s="538"/>
      <c r="L132" s="538"/>
      <c r="M132" s="538"/>
      <c r="N132" s="538"/>
      <c r="O132" s="538"/>
      <c r="P132" s="538"/>
      <c r="Q132" s="555"/>
      <c r="R132" s="538"/>
      <c r="S132" s="538"/>
      <c r="T132" s="538"/>
      <c r="U132" s="538"/>
      <c r="V132" s="538"/>
      <c r="W132" s="555"/>
      <c r="X132" s="555"/>
      <c r="Y132" s="538"/>
      <c r="Z132" s="538"/>
      <c r="AA132" s="538"/>
      <c r="AB132" s="538"/>
      <c r="AC132" s="538"/>
      <c r="AD132" s="538"/>
      <c r="AE132" s="555"/>
      <c r="AF132" s="538"/>
      <c r="AG132" s="538"/>
      <c r="AH132" s="556"/>
      <c r="AI132" s="556"/>
    </row>
    <row r="133" spans="1:35" ht="21.95" customHeight="1">
      <c r="A133" s="576"/>
      <c r="B133" s="806" t="s">
        <v>589</v>
      </c>
      <c r="C133" s="814"/>
      <c r="D133" s="807" t="s">
        <v>2</v>
      </c>
      <c r="E133" s="808"/>
      <c r="F133" s="809"/>
      <c r="G133" s="810"/>
      <c r="H133" s="807" t="s">
        <v>3</v>
      </c>
      <c r="I133" s="808"/>
      <c r="J133" s="809"/>
      <c r="K133" s="810"/>
      <c r="L133" s="807" t="s">
        <v>4</v>
      </c>
      <c r="M133" s="808"/>
      <c r="N133" s="809"/>
      <c r="O133" s="810"/>
      <c r="P133" s="807" t="s">
        <v>5</v>
      </c>
      <c r="Q133" s="808"/>
      <c r="R133" s="809"/>
      <c r="S133" s="810"/>
      <c r="T133" s="807" t="s">
        <v>6</v>
      </c>
      <c r="U133" s="808"/>
      <c r="V133" s="809"/>
      <c r="W133" s="810"/>
      <c r="X133" s="807" t="s">
        <v>7</v>
      </c>
      <c r="Y133" s="808"/>
      <c r="Z133" s="809"/>
      <c r="AA133" s="810"/>
      <c r="AB133" s="807" t="s">
        <v>8</v>
      </c>
      <c r="AC133" s="808"/>
      <c r="AD133" s="808"/>
      <c r="AE133" s="811" t="s">
        <v>10</v>
      </c>
      <c r="AF133" s="808"/>
      <c r="AG133" s="808"/>
      <c r="AH133" s="808"/>
      <c r="AI133" s="812"/>
    </row>
    <row r="134" spans="1:35" ht="21.95" customHeight="1">
      <c r="A134" s="576"/>
      <c r="B134" s="832"/>
      <c r="C134" s="815"/>
      <c r="D134" s="831"/>
      <c r="E134" s="816"/>
      <c r="F134" s="813"/>
      <c r="G134" s="815"/>
      <c r="H134" s="831"/>
      <c r="I134" s="816"/>
      <c r="J134" s="813"/>
      <c r="K134" s="815"/>
      <c r="L134" s="831"/>
      <c r="M134" s="816"/>
      <c r="N134" s="813"/>
      <c r="O134" s="815"/>
      <c r="P134" s="831"/>
      <c r="Q134" s="816"/>
      <c r="R134" s="813"/>
      <c r="S134" s="815"/>
      <c r="T134" s="831"/>
      <c r="U134" s="816"/>
      <c r="V134" s="813"/>
      <c r="W134" s="815"/>
      <c r="X134" s="816"/>
      <c r="Y134" s="816"/>
      <c r="Z134" s="813"/>
      <c r="AA134" s="815"/>
      <c r="AB134" s="816"/>
      <c r="AC134" s="816"/>
      <c r="AD134" s="816"/>
      <c r="AE134" s="815"/>
      <c r="AF134" s="816"/>
      <c r="AG134" s="816"/>
      <c r="AH134" s="818"/>
      <c r="AI134" s="819"/>
    </row>
    <row r="135" spans="1:35" ht="21.95" customHeight="1">
      <c r="A135" s="576"/>
      <c r="B135" s="833"/>
      <c r="C135" s="815"/>
      <c r="D135" s="831"/>
      <c r="E135" s="816"/>
      <c r="F135" s="813"/>
      <c r="G135" s="815"/>
      <c r="H135" s="831"/>
      <c r="I135" s="816"/>
      <c r="J135" s="813"/>
      <c r="K135" s="815"/>
      <c r="L135" s="831"/>
      <c r="M135" s="816"/>
      <c r="N135" s="813"/>
      <c r="O135" s="815"/>
      <c r="P135" s="831"/>
      <c r="Q135" s="816"/>
      <c r="R135" s="813"/>
      <c r="S135" s="815"/>
      <c r="T135" s="831"/>
      <c r="U135" s="816"/>
      <c r="V135" s="813"/>
      <c r="W135" s="815"/>
      <c r="X135" s="816"/>
      <c r="Y135" s="816"/>
      <c r="Z135" s="813"/>
      <c r="AA135" s="815"/>
      <c r="AB135" s="816"/>
      <c r="AC135" s="816"/>
      <c r="AD135" s="816"/>
      <c r="AE135" s="815"/>
      <c r="AF135" s="816"/>
      <c r="AG135" s="816"/>
      <c r="AH135" s="818"/>
      <c r="AI135" s="819"/>
    </row>
    <row r="136" spans="1:35" ht="21.95" customHeight="1">
      <c r="A136" s="576"/>
      <c r="B136" s="833"/>
      <c r="C136" s="815"/>
      <c r="D136" s="831"/>
      <c r="E136" s="816"/>
      <c r="F136" s="813"/>
      <c r="G136" s="815"/>
      <c r="H136" s="831"/>
      <c r="I136" s="816"/>
      <c r="J136" s="813"/>
      <c r="K136" s="815"/>
      <c r="L136" s="831"/>
      <c r="M136" s="816"/>
      <c r="N136" s="813"/>
      <c r="O136" s="815"/>
      <c r="P136" s="831"/>
      <c r="Q136" s="816"/>
      <c r="R136" s="813"/>
      <c r="S136" s="815"/>
      <c r="T136" s="831"/>
      <c r="U136" s="816"/>
      <c r="V136" s="813"/>
      <c r="W136" s="815"/>
      <c r="X136" s="816"/>
      <c r="Y136" s="816"/>
      <c r="Z136" s="813"/>
      <c r="AA136" s="815"/>
      <c r="AB136" s="816"/>
      <c r="AC136" s="816"/>
      <c r="AD136" s="816"/>
      <c r="AE136" s="815"/>
      <c r="AF136" s="816"/>
      <c r="AG136" s="816"/>
      <c r="AH136" s="818"/>
      <c r="AI136" s="819"/>
    </row>
    <row r="137" spans="1:35" ht="21.75" customHeight="1" thickBot="1">
      <c r="A137" s="576"/>
      <c r="B137" s="847"/>
      <c r="C137" s="555"/>
      <c r="D137" s="555"/>
      <c r="E137" s="555"/>
      <c r="F137" s="555"/>
      <c r="G137" s="555"/>
      <c r="H137" s="555"/>
      <c r="I137" s="555"/>
      <c r="J137" s="555"/>
      <c r="K137" s="555"/>
      <c r="L137" s="555"/>
      <c r="M137" s="555"/>
      <c r="N137" s="555"/>
      <c r="O137" s="555"/>
      <c r="P137" s="555"/>
      <c r="Q137" s="555"/>
      <c r="R137" s="555"/>
      <c r="S137" s="555"/>
      <c r="T137" s="555"/>
      <c r="U137" s="555"/>
      <c r="V137" s="555"/>
      <c r="W137" s="555"/>
      <c r="X137" s="555"/>
      <c r="Y137" s="555"/>
      <c r="Z137" s="555"/>
      <c r="AA137" s="555"/>
      <c r="AB137" s="555"/>
      <c r="AC137" s="555"/>
      <c r="AD137" s="555"/>
      <c r="AE137" s="555"/>
      <c r="AF137" s="555"/>
      <c r="AG137" s="555"/>
      <c r="AH137" s="556"/>
      <c r="AI137" s="556"/>
    </row>
    <row r="138" spans="1:35" ht="21.95" customHeight="1" thickBot="1">
      <c r="A138" s="785"/>
      <c r="B138" s="883" t="s">
        <v>476</v>
      </c>
      <c r="C138" s="946">
        <v>1</v>
      </c>
      <c r="D138" s="863">
        <v>2</v>
      </c>
      <c r="E138" s="863">
        <v>3</v>
      </c>
      <c r="F138" s="863">
        <v>4</v>
      </c>
      <c r="G138" s="863">
        <v>5</v>
      </c>
      <c r="H138" s="880">
        <v>6</v>
      </c>
      <c r="I138" s="880">
        <v>7</v>
      </c>
      <c r="J138" s="863">
        <v>8</v>
      </c>
      <c r="K138" s="863">
        <v>9</v>
      </c>
      <c r="L138" s="863">
        <v>10</v>
      </c>
      <c r="M138" s="863">
        <v>11</v>
      </c>
      <c r="N138" s="863">
        <v>12</v>
      </c>
      <c r="O138" s="880">
        <v>13</v>
      </c>
      <c r="P138" s="880">
        <v>14</v>
      </c>
      <c r="Q138" s="863">
        <v>15</v>
      </c>
      <c r="R138" s="863">
        <v>16</v>
      </c>
      <c r="S138" s="863">
        <v>17</v>
      </c>
      <c r="T138" s="863">
        <v>18</v>
      </c>
      <c r="U138" s="863">
        <v>19</v>
      </c>
      <c r="V138" s="880">
        <v>20</v>
      </c>
      <c r="W138" s="880">
        <v>21</v>
      </c>
      <c r="X138" s="863">
        <v>22</v>
      </c>
      <c r="Y138" s="863">
        <v>23</v>
      </c>
      <c r="Z138" s="880">
        <v>24</v>
      </c>
      <c r="AA138" s="880">
        <v>25</v>
      </c>
      <c r="AB138" s="880">
        <v>26</v>
      </c>
      <c r="AC138" s="880">
        <v>27</v>
      </c>
      <c r="AD138" s="880">
        <v>28</v>
      </c>
      <c r="AE138" s="863">
        <v>29</v>
      </c>
      <c r="AF138" s="863">
        <v>30</v>
      </c>
      <c r="AG138" s="954">
        <v>31</v>
      </c>
      <c r="AH138" s="884" t="s">
        <v>477</v>
      </c>
      <c r="AI138" s="885" t="s">
        <v>478</v>
      </c>
    </row>
    <row r="139" spans="1:35" ht="21.95" customHeight="1">
      <c r="A139" s="576"/>
      <c r="B139" s="888" t="s">
        <v>632</v>
      </c>
      <c r="C139" s="768" t="s">
        <v>491</v>
      </c>
      <c r="D139" s="768" t="s">
        <v>491</v>
      </c>
      <c r="E139" s="768" t="s">
        <v>491</v>
      </c>
      <c r="F139" s="768" t="s">
        <v>491</v>
      </c>
      <c r="G139" s="768" t="s">
        <v>491</v>
      </c>
      <c r="H139" s="768"/>
      <c r="I139" s="768"/>
      <c r="J139" s="768" t="s">
        <v>491</v>
      </c>
      <c r="K139" s="768" t="s">
        <v>491</v>
      </c>
      <c r="L139" s="768" t="s">
        <v>491</v>
      </c>
      <c r="M139" s="768" t="s">
        <v>491</v>
      </c>
      <c r="N139" s="768" t="s">
        <v>491</v>
      </c>
      <c r="O139" s="768"/>
      <c r="P139" s="768"/>
      <c r="Q139" s="768" t="s">
        <v>491</v>
      </c>
      <c r="R139" s="768" t="s">
        <v>491</v>
      </c>
      <c r="S139" s="768" t="s">
        <v>491</v>
      </c>
      <c r="T139" s="768" t="s">
        <v>491</v>
      </c>
      <c r="U139" s="768" t="s">
        <v>491</v>
      </c>
      <c r="V139" s="768"/>
      <c r="W139" s="768"/>
      <c r="X139" s="768" t="s">
        <v>491</v>
      </c>
      <c r="Y139" s="768" t="s">
        <v>491</v>
      </c>
      <c r="Z139" s="768"/>
      <c r="AA139" s="768"/>
      <c r="AB139" s="768"/>
      <c r="AC139" s="768"/>
      <c r="AD139" s="768"/>
      <c r="AE139" s="768" t="s">
        <v>491</v>
      </c>
      <c r="AF139" s="768" t="s">
        <v>491</v>
      </c>
      <c r="AG139" s="768"/>
      <c r="AH139" s="510">
        <v>83</v>
      </c>
      <c r="AI139" s="511">
        <v>37</v>
      </c>
    </row>
    <row r="140" spans="1:35" ht="21.95" customHeight="1">
      <c r="A140" s="576"/>
      <c r="B140" s="858" t="s">
        <v>633</v>
      </c>
      <c r="C140" s="768" t="s">
        <v>491</v>
      </c>
      <c r="D140" s="768" t="s">
        <v>491</v>
      </c>
      <c r="E140" s="768" t="s">
        <v>491</v>
      </c>
      <c r="F140" s="768" t="s">
        <v>491</v>
      </c>
      <c r="G140" s="768" t="s">
        <v>491</v>
      </c>
      <c r="H140" s="768"/>
      <c r="I140" s="768"/>
      <c r="J140" s="768" t="s">
        <v>491</v>
      </c>
      <c r="K140" s="768" t="s">
        <v>491</v>
      </c>
      <c r="L140" s="768" t="s">
        <v>491</v>
      </c>
      <c r="M140" s="768" t="s">
        <v>491</v>
      </c>
      <c r="N140" s="768" t="s">
        <v>491</v>
      </c>
      <c r="O140" s="768"/>
      <c r="P140" s="768"/>
      <c r="Q140" s="768" t="s">
        <v>491</v>
      </c>
      <c r="R140" s="768" t="s">
        <v>491</v>
      </c>
      <c r="S140" s="768" t="s">
        <v>491</v>
      </c>
      <c r="T140" s="768" t="s">
        <v>491</v>
      </c>
      <c r="U140" s="768" t="s">
        <v>491</v>
      </c>
      <c r="V140" s="768"/>
      <c r="W140" s="768"/>
      <c r="X140" s="768" t="s">
        <v>491</v>
      </c>
      <c r="Y140" s="768" t="s">
        <v>491</v>
      </c>
      <c r="Z140" s="768"/>
      <c r="AA140" s="768"/>
      <c r="AB140" s="768"/>
      <c r="AC140" s="768"/>
      <c r="AD140" s="768"/>
      <c r="AE140" s="768" t="s">
        <v>491</v>
      </c>
      <c r="AF140" s="768" t="s">
        <v>491</v>
      </c>
      <c r="AG140" s="837"/>
      <c r="AH140" s="924">
        <v>37</v>
      </c>
      <c r="AI140" s="925">
        <v>37</v>
      </c>
    </row>
    <row r="141" spans="1:35" ht="21.95" customHeight="1">
      <c r="A141" s="576"/>
      <c r="B141" s="858" t="s">
        <v>634</v>
      </c>
      <c r="C141" s="768" t="s">
        <v>491</v>
      </c>
      <c r="D141" s="768" t="s">
        <v>491</v>
      </c>
      <c r="E141" s="768" t="s">
        <v>491</v>
      </c>
      <c r="F141" s="768" t="s">
        <v>491</v>
      </c>
      <c r="G141" s="768" t="s">
        <v>491</v>
      </c>
      <c r="H141" s="768"/>
      <c r="I141" s="768"/>
      <c r="J141" s="768" t="s">
        <v>491</v>
      </c>
      <c r="K141" s="768" t="s">
        <v>491</v>
      </c>
      <c r="L141" s="768" t="s">
        <v>491</v>
      </c>
      <c r="M141" s="768" t="s">
        <v>491</v>
      </c>
      <c r="N141" s="768" t="s">
        <v>491</v>
      </c>
      <c r="O141" s="768"/>
      <c r="P141" s="768"/>
      <c r="Q141" s="768" t="s">
        <v>491</v>
      </c>
      <c r="R141" s="768" t="s">
        <v>491</v>
      </c>
      <c r="S141" s="768" t="s">
        <v>491</v>
      </c>
      <c r="T141" s="768" t="s">
        <v>491</v>
      </c>
      <c r="U141" s="768" t="s">
        <v>491</v>
      </c>
      <c r="V141" s="768"/>
      <c r="W141" s="768"/>
      <c r="X141" s="768" t="s">
        <v>491</v>
      </c>
      <c r="Y141" s="768" t="s">
        <v>491</v>
      </c>
      <c r="Z141" s="768"/>
      <c r="AA141" s="768"/>
      <c r="AB141" s="768"/>
      <c r="AC141" s="768"/>
      <c r="AD141" s="768"/>
      <c r="AE141" s="768" t="s">
        <v>491</v>
      </c>
      <c r="AF141" s="768" t="s">
        <v>491</v>
      </c>
      <c r="AG141" s="837"/>
      <c r="AH141" s="924">
        <v>53</v>
      </c>
      <c r="AI141" s="925">
        <v>37</v>
      </c>
    </row>
    <row r="142" spans="1:35" ht="21.95" customHeight="1">
      <c r="A142" s="576"/>
      <c r="B142" s="859" t="s">
        <v>638</v>
      </c>
      <c r="C142" s="768" t="s">
        <v>491</v>
      </c>
      <c r="D142" s="768" t="s">
        <v>491</v>
      </c>
      <c r="E142" s="768" t="s">
        <v>491</v>
      </c>
      <c r="F142" s="768" t="s">
        <v>491</v>
      </c>
      <c r="G142" s="768" t="s">
        <v>491</v>
      </c>
      <c r="H142" s="768"/>
      <c r="I142" s="768"/>
      <c r="J142" s="768" t="s">
        <v>491</v>
      </c>
      <c r="K142" s="768" t="s">
        <v>491</v>
      </c>
      <c r="L142" s="768" t="s">
        <v>491</v>
      </c>
      <c r="M142" s="768" t="s">
        <v>491</v>
      </c>
      <c r="N142" s="768" t="s">
        <v>491</v>
      </c>
      <c r="O142" s="768"/>
      <c r="P142" s="768"/>
      <c r="Q142" s="768" t="s">
        <v>491</v>
      </c>
      <c r="R142" s="768" t="s">
        <v>491</v>
      </c>
      <c r="S142" s="768" t="s">
        <v>491</v>
      </c>
      <c r="T142" s="768" t="s">
        <v>491</v>
      </c>
      <c r="U142" s="768" t="s">
        <v>491</v>
      </c>
      <c r="V142" s="768"/>
      <c r="W142" s="768"/>
      <c r="X142" s="768" t="s">
        <v>491</v>
      </c>
      <c r="Y142" s="768" t="s">
        <v>491</v>
      </c>
      <c r="Z142" s="768"/>
      <c r="AA142" s="768"/>
      <c r="AB142" s="768"/>
      <c r="AC142" s="768"/>
      <c r="AD142" s="768"/>
      <c r="AE142" s="768" t="s">
        <v>491</v>
      </c>
      <c r="AF142" s="977" t="s">
        <v>491</v>
      </c>
      <c r="AG142" s="837"/>
      <c r="AH142" s="924">
        <v>74</v>
      </c>
      <c r="AI142" s="925">
        <v>37</v>
      </c>
    </row>
    <row r="143" spans="1:35" ht="21.95" customHeight="1">
      <c r="A143" s="576"/>
      <c r="B143" s="994" t="s">
        <v>635</v>
      </c>
      <c r="C143" s="768" t="s">
        <v>491</v>
      </c>
      <c r="D143" s="768" t="s">
        <v>491</v>
      </c>
      <c r="E143" s="768" t="s">
        <v>491</v>
      </c>
      <c r="F143" s="768" t="s">
        <v>491</v>
      </c>
      <c r="G143" s="768" t="s">
        <v>491</v>
      </c>
      <c r="H143" s="768"/>
      <c r="I143" s="768"/>
      <c r="J143" s="768" t="s">
        <v>491</v>
      </c>
      <c r="K143" s="768" t="s">
        <v>491</v>
      </c>
      <c r="L143" s="768" t="s">
        <v>491</v>
      </c>
      <c r="M143" s="768" t="s">
        <v>491</v>
      </c>
      <c r="N143" s="768" t="s">
        <v>491</v>
      </c>
      <c r="O143" s="768"/>
      <c r="P143" s="768"/>
      <c r="Q143" s="768" t="s">
        <v>491</v>
      </c>
      <c r="R143" s="768" t="s">
        <v>491</v>
      </c>
      <c r="S143" s="1131" t="s">
        <v>491</v>
      </c>
      <c r="T143" s="768" t="s">
        <v>491</v>
      </c>
      <c r="U143" s="768" t="s">
        <v>491</v>
      </c>
      <c r="V143" s="768"/>
      <c r="W143" s="768"/>
      <c r="X143" s="768" t="s">
        <v>491</v>
      </c>
      <c r="Y143" s="1043" t="s">
        <v>491</v>
      </c>
      <c r="Z143" s="768"/>
      <c r="AA143" s="768"/>
      <c r="AB143" s="768"/>
      <c r="AC143" s="768"/>
      <c r="AD143" s="768"/>
      <c r="AE143" s="768" t="s">
        <v>491</v>
      </c>
      <c r="AF143" s="1043" t="s">
        <v>491</v>
      </c>
      <c r="AG143" s="837"/>
      <c r="AH143" s="924">
        <v>103.5</v>
      </c>
      <c r="AI143" s="925">
        <v>37</v>
      </c>
    </row>
    <row r="144" spans="1:35" ht="21.95" customHeight="1" thickBot="1">
      <c r="A144" s="576"/>
      <c r="B144" s="889" t="s">
        <v>637</v>
      </c>
      <c r="C144" s="867" t="s">
        <v>491</v>
      </c>
      <c r="D144" s="867" t="s">
        <v>491</v>
      </c>
      <c r="E144" s="867" t="s">
        <v>491</v>
      </c>
      <c r="F144" s="867" t="s">
        <v>491</v>
      </c>
      <c r="G144" s="867" t="s">
        <v>491</v>
      </c>
      <c r="H144" s="867"/>
      <c r="I144" s="867"/>
      <c r="J144" s="867" t="s">
        <v>491</v>
      </c>
      <c r="K144" s="867" t="s">
        <v>491</v>
      </c>
      <c r="L144" s="867" t="s">
        <v>491</v>
      </c>
      <c r="M144" s="867" t="s">
        <v>491</v>
      </c>
      <c r="N144" s="867" t="s">
        <v>491</v>
      </c>
      <c r="O144" s="867"/>
      <c r="P144" s="867"/>
      <c r="Q144" s="768" t="s">
        <v>491</v>
      </c>
      <c r="R144" s="867" t="s">
        <v>491</v>
      </c>
      <c r="S144" s="1131" t="s">
        <v>491</v>
      </c>
      <c r="T144" s="867" t="s">
        <v>491</v>
      </c>
      <c r="U144" s="867" t="s">
        <v>491</v>
      </c>
      <c r="V144" s="867"/>
      <c r="W144" s="867"/>
      <c r="X144" s="867" t="s">
        <v>491</v>
      </c>
      <c r="Y144" s="1259" t="s">
        <v>491</v>
      </c>
      <c r="Z144" s="867"/>
      <c r="AA144" s="867"/>
      <c r="AB144" s="867"/>
      <c r="AC144" s="867"/>
      <c r="AD144" s="867"/>
      <c r="AE144" s="867" t="s">
        <v>491</v>
      </c>
      <c r="AF144" s="867" t="s">
        <v>491</v>
      </c>
      <c r="AG144" s="887"/>
      <c r="AH144" s="1270">
        <v>141</v>
      </c>
      <c r="AI144" s="1271">
        <v>37</v>
      </c>
    </row>
    <row r="145" spans="1:36" ht="21.95" customHeight="1">
      <c r="A145" s="576"/>
      <c r="B145" s="847"/>
      <c r="C145" s="555"/>
      <c r="D145" s="555"/>
      <c r="E145" s="555"/>
      <c r="F145" s="555"/>
      <c r="G145" s="555"/>
      <c r="H145" s="555"/>
      <c r="I145" s="555"/>
      <c r="J145" s="555"/>
      <c r="K145" s="555"/>
      <c r="L145" s="555"/>
      <c r="M145" s="555"/>
      <c r="N145" s="555"/>
      <c r="O145" s="555"/>
      <c r="P145" s="555"/>
      <c r="Q145" s="555"/>
      <c r="R145" s="555"/>
      <c r="S145" s="555"/>
      <c r="T145" s="555"/>
      <c r="U145" s="555"/>
      <c r="V145" s="555"/>
      <c r="W145" s="555"/>
      <c r="X145" s="555"/>
      <c r="Y145" s="555"/>
      <c r="Z145" s="555"/>
      <c r="AA145" s="555"/>
      <c r="AB145" s="555"/>
      <c r="AC145" s="555"/>
      <c r="AD145" s="555"/>
      <c r="AE145" s="555"/>
      <c r="AF145" s="555"/>
      <c r="AG145" s="555"/>
      <c r="AH145" s="556"/>
      <c r="AI145" s="556"/>
    </row>
    <row r="146" spans="1:36" ht="21.95" customHeight="1" thickBot="1">
      <c r="A146" s="805" t="s">
        <v>639</v>
      </c>
      <c r="B146" s="538"/>
      <c r="C146" s="555"/>
      <c r="D146" s="538"/>
      <c r="E146" s="538"/>
      <c r="F146" s="538"/>
      <c r="G146" s="538"/>
      <c r="H146" s="538"/>
      <c r="I146" s="555"/>
      <c r="J146" s="555"/>
      <c r="K146" s="538"/>
      <c r="L146" s="538"/>
      <c r="M146" s="538"/>
      <c r="N146" s="538"/>
      <c r="O146" s="538"/>
      <c r="P146" s="538"/>
      <c r="Q146" s="555"/>
      <c r="R146" s="538"/>
      <c r="S146" s="538"/>
      <c r="T146" s="538"/>
      <c r="U146" s="538"/>
      <c r="V146" s="538"/>
      <c r="W146" s="555"/>
      <c r="X146" s="555"/>
      <c r="Y146" s="538"/>
      <c r="Z146" s="538"/>
      <c r="AA146" s="538"/>
      <c r="AB146" s="538"/>
      <c r="AC146" s="538"/>
      <c r="AD146" s="538"/>
      <c r="AE146" s="555"/>
      <c r="AF146" s="538"/>
      <c r="AG146" s="538"/>
      <c r="AH146" s="556"/>
      <c r="AI146" s="556"/>
    </row>
    <row r="147" spans="1:36" ht="21.95" customHeight="1">
      <c r="A147" s="576"/>
      <c r="B147" s="806" t="s">
        <v>589</v>
      </c>
      <c r="C147" s="814"/>
      <c r="D147" s="807" t="s">
        <v>2</v>
      </c>
      <c r="E147" s="808"/>
      <c r="F147" s="809"/>
      <c r="G147" s="810"/>
      <c r="H147" s="807" t="s">
        <v>3</v>
      </c>
      <c r="I147" s="808"/>
      <c r="J147" s="809"/>
      <c r="K147" s="810"/>
      <c r="L147" s="807" t="s">
        <v>4</v>
      </c>
      <c r="M147" s="808"/>
      <c r="N147" s="809"/>
      <c r="O147" s="810"/>
      <c r="P147" s="807" t="s">
        <v>5</v>
      </c>
      <c r="Q147" s="808"/>
      <c r="R147" s="809"/>
      <c r="S147" s="810"/>
      <c r="T147" s="807" t="s">
        <v>6</v>
      </c>
      <c r="U147" s="808"/>
      <c r="V147" s="809"/>
      <c r="W147" s="810"/>
      <c r="X147" s="807" t="s">
        <v>7</v>
      </c>
      <c r="Y147" s="808"/>
      <c r="Z147" s="809"/>
      <c r="AA147" s="810"/>
      <c r="AB147" s="807" t="s">
        <v>8</v>
      </c>
      <c r="AC147" s="808"/>
      <c r="AD147" s="808"/>
      <c r="AE147" s="811" t="s">
        <v>10</v>
      </c>
      <c r="AF147" s="808"/>
      <c r="AG147" s="808"/>
      <c r="AH147" s="808"/>
      <c r="AI147" s="812"/>
    </row>
    <row r="148" spans="1:36" ht="21.95" customHeight="1">
      <c r="A148" s="576"/>
      <c r="B148" s="832"/>
      <c r="C148" s="815"/>
      <c r="D148" s="831"/>
      <c r="E148" s="816"/>
      <c r="F148" s="813"/>
      <c r="G148" s="815"/>
      <c r="H148" s="831"/>
      <c r="I148" s="816"/>
      <c r="J148" s="813"/>
      <c r="K148" s="815"/>
      <c r="L148" s="831"/>
      <c r="M148" s="816"/>
      <c r="N148" s="813"/>
      <c r="O148" s="815"/>
      <c r="P148" s="831"/>
      <c r="Q148" s="816"/>
      <c r="R148" s="813"/>
      <c r="S148" s="815"/>
      <c r="T148" s="831"/>
      <c r="U148" s="816"/>
      <c r="V148" s="813"/>
      <c r="W148" s="815"/>
      <c r="X148" s="816"/>
      <c r="Y148" s="816"/>
      <c r="Z148" s="813"/>
      <c r="AA148" s="815"/>
      <c r="AB148" s="816"/>
      <c r="AC148" s="816"/>
      <c r="AD148" s="816"/>
      <c r="AE148" s="815"/>
      <c r="AF148" s="816"/>
      <c r="AG148" s="816"/>
      <c r="AH148" s="818"/>
      <c r="AI148" s="819"/>
    </row>
    <row r="149" spans="1:36" ht="21.95" customHeight="1">
      <c r="A149" s="576"/>
      <c r="B149" s="833"/>
      <c r="C149" s="815"/>
      <c r="D149" s="831"/>
      <c r="E149" s="816"/>
      <c r="F149" s="813"/>
      <c r="G149" s="815"/>
      <c r="H149" s="831"/>
      <c r="I149" s="816"/>
      <c r="J149" s="813"/>
      <c r="K149" s="815"/>
      <c r="L149" s="831"/>
      <c r="M149" s="816"/>
      <c r="N149" s="813"/>
      <c r="O149" s="815"/>
      <c r="P149" s="831"/>
      <c r="Q149" s="816"/>
      <c r="R149" s="813"/>
      <c r="S149" s="815"/>
      <c r="T149" s="831"/>
      <c r="U149" s="816"/>
      <c r="V149" s="813"/>
      <c r="W149" s="815"/>
      <c r="X149" s="816"/>
      <c r="Y149" s="816"/>
      <c r="Z149" s="813"/>
      <c r="AA149" s="815"/>
      <c r="AB149" s="816"/>
      <c r="AC149" s="816"/>
      <c r="AD149" s="816"/>
      <c r="AE149" s="815"/>
      <c r="AF149" s="816"/>
      <c r="AG149" s="816"/>
      <c r="AH149" s="818"/>
      <c r="AI149" s="819"/>
    </row>
    <row r="150" spans="1:36" ht="21.95" customHeight="1">
      <c r="A150" s="576"/>
      <c r="B150" s="833"/>
      <c r="C150" s="815"/>
      <c r="D150" s="831"/>
      <c r="E150" s="816"/>
      <c r="F150" s="813"/>
      <c r="G150" s="815"/>
      <c r="H150" s="831"/>
      <c r="I150" s="816"/>
      <c r="J150" s="813"/>
      <c r="K150" s="815"/>
      <c r="L150" s="831"/>
      <c r="M150" s="816"/>
      <c r="N150" s="813"/>
      <c r="O150" s="815"/>
      <c r="P150" s="831"/>
      <c r="Q150" s="816"/>
      <c r="R150" s="813"/>
      <c r="S150" s="815"/>
      <c r="T150" s="831"/>
      <c r="U150" s="816"/>
      <c r="V150" s="813"/>
      <c r="W150" s="815"/>
      <c r="X150" s="816"/>
      <c r="Y150" s="816"/>
      <c r="Z150" s="813"/>
      <c r="AA150" s="815"/>
      <c r="AB150" s="816"/>
      <c r="AC150" s="816"/>
      <c r="AD150" s="816"/>
      <c r="AE150" s="815"/>
      <c r="AF150" s="816"/>
      <c r="AG150" s="816"/>
      <c r="AH150" s="818"/>
      <c r="AI150" s="819"/>
    </row>
    <row r="151" spans="1:36" ht="21.95" customHeight="1" thickBot="1">
      <c r="A151" s="576"/>
      <c r="B151" s="847"/>
      <c r="C151" s="555"/>
      <c r="D151" s="555"/>
      <c r="E151" s="555"/>
      <c r="F151" s="555"/>
      <c r="G151" s="555"/>
      <c r="H151" s="555"/>
      <c r="I151" s="555"/>
      <c r="J151" s="555"/>
      <c r="K151" s="555"/>
      <c r="L151" s="555"/>
      <c r="M151" s="555"/>
      <c r="N151" s="555"/>
      <c r="O151" s="555"/>
      <c r="P151" s="555"/>
      <c r="Q151" s="555"/>
      <c r="R151" s="555"/>
      <c r="S151" s="555"/>
      <c r="T151" s="555"/>
      <c r="U151" s="555"/>
      <c r="V151" s="555"/>
      <c r="W151" s="555"/>
      <c r="X151" s="555"/>
      <c r="Y151" s="555"/>
      <c r="Z151" s="555"/>
      <c r="AA151" s="555"/>
      <c r="AB151" s="555"/>
      <c r="AC151" s="555"/>
      <c r="AD151" s="555"/>
      <c r="AE151" s="555"/>
      <c r="AF151" s="555"/>
      <c r="AG151" s="555"/>
      <c r="AH151" s="556"/>
      <c r="AI151" s="556"/>
    </row>
    <row r="152" spans="1:36" ht="21.95" customHeight="1" thickBot="1">
      <c r="A152" s="785"/>
      <c r="B152" s="883" t="s">
        <v>476</v>
      </c>
      <c r="C152" s="946">
        <v>1</v>
      </c>
      <c r="D152" s="863">
        <v>2</v>
      </c>
      <c r="E152" s="863">
        <v>3</v>
      </c>
      <c r="F152" s="863">
        <v>4</v>
      </c>
      <c r="G152" s="863">
        <v>5</v>
      </c>
      <c r="H152" s="880">
        <v>6</v>
      </c>
      <c r="I152" s="880">
        <v>7</v>
      </c>
      <c r="J152" s="863">
        <v>8</v>
      </c>
      <c r="K152" s="863">
        <v>9</v>
      </c>
      <c r="L152" s="863">
        <v>10</v>
      </c>
      <c r="M152" s="863">
        <v>11</v>
      </c>
      <c r="N152" s="863">
        <v>12</v>
      </c>
      <c r="O152" s="880">
        <v>13</v>
      </c>
      <c r="P152" s="880">
        <v>14</v>
      </c>
      <c r="Q152" s="863">
        <v>15</v>
      </c>
      <c r="R152" s="863">
        <v>16</v>
      </c>
      <c r="S152" s="863">
        <v>17</v>
      </c>
      <c r="T152" s="863">
        <v>18</v>
      </c>
      <c r="U152" s="863">
        <v>19</v>
      </c>
      <c r="V152" s="880">
        <v>20</v>
      </c>
      <c r="W152" s="880">
        <v>21</v>
      </c>
      <c r="X152" s="863">
        <v>22</v>
      </c>
      <c r="Y152" s="863">
        <v>23</v>
      </c>
      <c r="Z152" s="880">
        <v>24</v>
      </c>
      <c r="AA152" s="880">
        <v>25</v>
      </c>
      <c r="AB152" s="880">
        <v>26</v>
      </c>
      <c r="AC152" s="880">
        <v>27</v>
      </c>
      <c r="AD152" s="880">
        <v>28</v>
      </c>
      <c r="AE152" s="863">
        <v>29</v>
      </c>
      <c r="AF152" s="863">
        <v>30</v>
      </c>
      <c r="AG152" s="954">
        <v>31</v>
      </c>
      <c r="AH152" s="884" t="s">
        <v>477</v>
      </c>
      <c r="AI152" s="885" t="s">
        <v>478</v>
      </c>
    </row>
    <row r="153" spans="1:36" ht="21.95" customHeight="1">
      <c r="A153" s="576"/>
      <c r="B153" s="890" t="s">
        <v>640</v>
      </c>
      <c r="C153" s="768" t="s">
        <v>491</v>
      </c>
      <c r="D153" s="768" t="s">
        <v>491</v>
      </c>
      <c r="E153" s="768" t="s">
        <v>491</v>
      </c>
      <c r="F153" s="768" t="s">
        <v>491</v>
      </c>
      <c r="G153" s="768" t="s">
        <v>491</v>
      </c>
      <c r="H153" s="768"/>
      <c r="I153" s="768"/>
      <c r="J153" s="768" t="s">
        <v>491</v>
      </c>
      <c r="K153" s="768" t="s">
        <v>491</v>
      </c>
      <c r="L153" s="768" t="s">
        <v>491</v>
      </c>
      <c r="M153" s="768" t="s">
        <v>491</v>
      </c>
      <c r="N153" s="768" t="s">
        <v>491</v>
      </c>
      <c r="O153" s="768"/>
      <c r="P153" s="768"/>
      <c r="Q153" s="768" t="s">
        <v>491</v>
      </c>
      <c r="R153" s="768" t="s">
        <v>491</v>
      </c>
      <c r="S153" s="768" t="s">
        <v>491</v>
      </c>
      <c r="T153" s="768" t="s">
        <v>491</v>
      </c>
      <c r="U153" s="768" t="s">
        <v>491</v>
      </c>
      <c r="V153" s="768"/>
      <c r="W153" s="768"/>
      <c r="X153" s="768" t="s">
        <v>491</v>
      </c>
      <c r="Y153" s="768" t="s">
        <v>491</v>
      </c>
      <c r="Z153" s="768"/>
      <c r="AA153" s="768"/>
      <c r="AB153" s="768"/>
      <c r="AC153" s="768"/>
      <c r="AD153" s="768"/>
      <c r="AE153" s="768" t="s">
        <v>491</v>
      </c>
      <c r="AF153" s="768" t="s">
        <v>491</v>
      </c>
      <c r="AG153" s="768"/>
      <c r="AH153" s="510">
        <v>0</v>
      </c>
      <c r="AI153" s="511">
        <v>0</v>
      </c>
    </row>
    <row r="154" spans="1:36" ht="21.95" customHeight="1">
      <c r="A154" s="576"/>
      <c r="B154" s="859" t="s">
        <v>742</v>
      </c>
      <c r="C154" s="768" t="s">
        <v>491</v>
      </c>
      <c r="D154" s="768" t="s">
        <v>491</v>
      </c>
      <c r="E154" s="768" t="s">
        <v>491</v>
      </c>
      <c r="F154" s="768" t="s">
        <v>491</v>
      </c>
      <c r="G154" s="768" t="s">
        <v>491</v>
      </c>
      <c r="H154" s="768"/>
      <c r="I154" s="768"/>
      <c r="J154" s="768" t="s">
        <v>491</v>
      </c>
      <c r="K154" s="768" t="s">
        <v>491</v>
      </c>
      <c r="L154" s="768" t="s">
        <v>491</v>
      </c>
      <c r="M154" s="768" t="s">
        <v>491</v>
      </c>
      <c r="N154" s="768" t="s">
        <v>491</v>
      </c>
      <c r="O154" s="768"/>
      <c r="P154" s="768"/>
      <c r="Q154" s="768" t="s">
        <v>491</v>
      </c>
      <c r="R154" s="768" t="s">
        <v>491</v>
      </c>
      <c r="S154" s="768" t="s">
        <v>491</v>
      </c>
      <c r="T154" s="768" t="s">
        <v>491</v>
      </c>
      <c r="U154" s="768" t="s">
        <v>491</v>
      </c>
      <c r="V154" s="768"/>
      <c r="W154" s="768"/>
      <c r="X154" s="768" t="s">
        <v>491</v>
      </c>
      <c r="Y154" s="768" t="s">
        <v>491</v>
      </c>
      <c r="Z154" s="768"/>
      <c r="AA154" s="768"/>
      <c r="AB154" s="768"/>
      <c r="AC154" s="768"/>
      <c r="AD154" s="768"/>
      <c r="AE154" s="970" t="s">
        <v>491</v>
      </c>
      <c r="AF154" s="970" t="s">
        <v>491</v>
      </c>
      <c r="AG154" s="837"/>
      <c r="AH154" s="924">
        <v>185</v>
      </c>
      <c r="AI154" s="925">
        <v>37</v>
      </c>
    </row>
    <row r="155" spans="1:36" ht="21.95" customHeight="1">
      <c r="A155" s="576"/>
      <c r="B155" s="821" t="s">
        <v>641</v>
      </c>
      <c r="C155" s="768" t="s">
        <v>491</v>
      </c>
      <c r="D155" s="768" t="s">
        <v>491</v>
      </c>
      <c r="E155" s="768" t="s">
        <v>491</v>
      </c>
      <c r="F155" s="768" t="s">
        <v>491</v>
      </c>
      <c r="G155" s="768" t="s">
        <v>491</v>
      </c>
      <c r="H155" s="768"/>
      <c r="I155" s="768"/>
      <c r="J155" s="768" t="s">
        <v>491</v>
      </c>
      <c r="K155" s="768" t="s">
        <v>491</v>
      </c>
      <c r="L155" s="768" t="s">
        <v>491</v>
      </c>
      <c r="M155" s="768" t="s">
        <v>491</v>
      </c>
      <c r="N155" s="768" t="s">
        <v>491</v>
      </c>
      <c r="O155" s="768"/>
      <c r="P155" s="768"/>
      <c r="Q155" s="768" t="s">
        <v>491</v>
      </c>
      <c r="R155" s="768" t="s">
        <v>491</v>
      </c>
      <c r="S155" s="768" t="s">
        <v>491</v>
      </c>
      <c r="T155" s="768" t="s">
        <v>491</v>
      </c>
      <c r="U155" s="768" t="s">
        <v>491</v>
      </c>
      <c r="V155" s="768"/>
      <c r="W155" s="768"/>
      <c r="X155" s="970" t="s">
        <v>491</v>
      </c>
      <c r="Y155" s="970" t="s">
        <v>491</v>
      </c>
      <c r="Z155" s="768"/>
      <c r="AA155" s="768"/>
      <c r="AB155" s="768"/>
      <c r="AC155" s="768"/>
      <c r="AD155" s="768"/>
      <c r="AE155" s="768" t="s">
        <v>491</v>
      </c>
      <c r="AF155" s="768" t="s">
        <v>491</v>
      </c>
      <c r="AG155" s="837"/>
      <c r="AH155" s="924">
        <v>75</v>
      </c>
      <c r="AI155" s="925">
        <v>37</v>
      </c>
    </row>
    <row r="156" spans="1:36" ht="21.95" customHeight="1">
      <c r="A156" s="576"/>
      <c r="B156" s="821" t="s">
        <v>642</v>
      </c>
      <c r="C156" s="768" t="s">
        <v>491</v>
      </c>
      <c r="D156" s="768" t="s">
        <v>491</v>
      </c>
      <c r="E156" s="768" t="s">
        <v>491</v>
      </c>
      <c r="F156" s="768" t="s">
        <v>491</v>
      </c>
      <c r="G156" s="768" t="s">
        <v>491</v>
      </c>
      <c r="H156" s="768"/>
      <c r="I156" s="768"/>
      <c r="J156" s="768" t="s">
        <v>491</v>
      </c>
      <c r="K156" s="768" t="s">
        <v>491</v>
      </c>
      <c r="L156" s="768" t="s">
        <v>491</v>
      </c>
      <c r="M156" s="768" t="s">
        <v>491</v>
      </c>
      <c r="N156" s="768" t="s">
        <v>491</v>
      </c>
      <c r="O156" s="768"/>
      <c r="P156" s="768"/>
      <c r="Q156" s="768" t="s">
        <v>491</v>
      </c>
      <c r="R156" s="768" t="s">
        <v>491</v>
      </c>
      <c r="S156" s="768" t="s">
        <v>491</v>
      </c>
      <c r="T156" s="768" t="s">
        <v>491</v>
      </c>
      <c r="U156" s="768" t="s">
        <v>491</v>
      </c>
      <c r="V156" s="768"/>
      <c r="W156" s="768"/>
      <c r="X156" s="987" t="s">
        <v>491</v>
      </c>
      <c r="Y156" s="987" t="s">
        <v>491</v>
      </c>
      <c r="Z156" s="768"/>
      <c r="AA156" s="768"/>
      <c r="AB156" s="768"/>
      <c r="AC156" s="768"/>
      <c r="AD156" s="768"/>
      <c r="AE156" s="970" t="s">
        <v>491</v>
      </c>
      <c r="AF156" s="970" t="s">
        <v>491</v>
      </c>
      <c r="AG156" s="837"/>
      <c r="AH156" s="924">
        <v>73</v>
      </c>
      <c r="AI156" s="925">
        <v>37</v>
      </c>
    </row>
    <row r="157" spans="1:36" ht="21.95" customHeight="1">
      <c r="A157" s="576"/>
      <c r="B157" s="821" t="s">
        <v>643</v>
      </c>
      <c r="C157" s="768" t="s">
        <v>491</v>
      </c>
      <c r="D157" s="768" t="s">
        <v>491</v>
      </c>
      <c r="E157" s="768" t="s">
        <v>491</v>
      </c>
      <c r="F157" s="768" t="s">
        <v>491</v>
      </c>
      <c r="G157" s="768" t="s">
        <v>491</v>
      </c>
      <c r="H157" s="768"/>
      <c r="I157" s="768"/>
      <c r="J157" s="768" t="s">
        <v>491</v>
      </c>
      <c r="K157" s="768" t="s">
        <v>491</v>
      </c>
      <c r="L157" s="768" t="s">
        <v>491</v>
      </c>
      <c r="M157" s="768" t="s">
        <v>491</v>
      </c>
      <c r="N157" s="768" t="s">
        <v>491</v>
      </c>
      <c r="O157" s="768"/>
      <c r="P157" s="768"/>
      <c r="Q157" s="768" t="s">
        <v>491</v>
      </c>
      <c r="R157" s="768" t="s">
        <v>491</v>
      </c>
      <c r="S157" s="768" t="s">
        <v>491</v>
      </c>
      <c r="T157" s="768" t="s">
        <v>491</v>
      </c>
      <c r="U157" s="768" t="s">
        <v>491</v>
      </c>
      <c r="V157" s="768"/>
      <c r="W157" s="768"/>
      <c r="X157" s="970" t="s">
        <v>491</v>
      </c>
      <c r="Y157" s="970" t="s">
        <v>491</v>
      </c>
      <c r="Z157" s="768"/>
      <c r="AA157" s="768"/>
      <c r="AB157" s="768"/>
      <c r="AC157" s="768"/>
      <c r="AD157" s="768"/>
      <c r="AE157" s="768" t="s">
        <v>491</v>
      </c>
      <c r="AF157" s="768" t="s">
        <v>491</v>
      </c>
      <c r="AG157" s="837"/>
      <c r="AH157" s="924">
        <v>22</v>
      </c>
      <c r="AI157" s="925">
        <v>37</v>
      </c>
    </row>
    <row r="158" spans="1:36" ht="21.95" customHeight="1" thickBot="1">
      <c r="A158" s="576"/>
      <c r="B158" s="891"/>
      <c r="C158" s="867" t="s">
        <v>491</v>
      </c>
      <c r="D158" s="867" t="s">
        <v>491</v>
      </c>
      <c r="E158" s="867" t="s">
        <v>491</v>
      </c>
      <c r="F158" s="867" t="s">
        <v>491</v>
      </c>
      <c r="G158" s="867" t="s">
        <v>491</v>
      </c>
      <c r="H158" s="867"/>
      <c r="I158" s="867"/>
      <c r="J158" s="867" t="s">
        <v>491</v>
      </c>
      <c r="K158" s="867" t="s">
        <v>491</v>
      </c>
      <c r="L158" s="867" t="s">
        <v>491</v>
      </c>
      <c r="M158" s="867" t="s">
        <v>491</v>
      </c>
      <c r="N158" s="867" t="s">
        <v>491</v>
      </c>
      <c r="O158" s="867"/>
      <c r="P158" s="867"/>
      <c r="Q158" s="867" t="s">
        <v>491</v>
      </c>
      <c r="R158" s="867" t="s">
        <v>491</v>
      </c>
      <c r="S158" s="867" t="s">
        <v>491</v>
      </c>
      <c r="T158" s="867" t="s">
        <v>491</v>
      </c>
      <c r="U158" s="867" t="s">
        <v>491</v>
      </c>
      <c r="V158" s="867"/>
      <c r="W158" s="867"/>
      <c r="X158" s="867" t="s">
        <v>491</v>
      </c>
      <c r="Y158" s="867" t="s">
        <v>491</v>
      </c>
      <c r="Z158" s="867"/>
      <c r="AA158" s="867"/>
      <c r="AB158" s="867"/>
      <c r="AC158" s="867"/>
      <c r="AD158" s="867"/>
      <c r="AE158" s="867" t="s">
        <v>491</v>
      </c>
      <c r="AF158" s="867" t="s">
        <v>491</v>
      </c>
      <c r="AG158" s="887"/>
      <c r="AH158" s="868"/>
      <c r="AI158" s="869"/>
    </row>
    <row r="159" spans="1:36" ht="21.95" customHeight="1">
      <c r="A159" s="576"/>
      <c r="B159" s="847"/>
      <c r="C159" s="555"/>
      <c r="D159" s="555"/>
      <c r="E159" s="555"/>
      <c r="F159" s="555"/>
      <c r="G159" s="555"/>
      <c r="H159" s="555"/>
      <c r="I159" s="555"/>
      <c r="J159" s="555"/>
      <c r="K159" s="555"/>
      <c r="L159" s="555"/>
      <c r="M159" s="555"/>
      <c r="N159" s="555"/>
      <c r="O159" s="555"/>
      <c r="P159" s="555"/>
      <c r="Q159" s="555"/>
      <c r="R159" s="555"/>
      <c r="S159" s="555"/>
      <c r="T159" s="555"/>
      <c r="U159" s="555"/>
      <c r="V159" s="555"/>
      <c r="W159" s="555"/>
      <c r="X159" s="555"/>
      <c r="Y159" s="555"/>
      <c r="Z159" s="555"/>
      <c r="AA159" s="555"/>
      <c r="AB159" s="555"/>
      <c r="AC159" s="555"/>
      <c r="AD159" s="555"/>
      <c r="AE159" s="555"/>
      <c r="AF159" s="555"/>
      <c r="AG159" s="555"/>
      <c r="AH159" s="556"/>
      <c r="AI159" s="556"/>
    </row>
    <row r="160" spans="1:36" ht="21.95" customHeight="1">
      <c r="A160" s="312" t="s">
        <v>644</v>
      </c>
      <c r="C160" s="555"/>
      <c r="D160" s="555"/>
      <c r="E160" s="555"/>
      <c r="F160" s="555"/>
      <c r="G160" s="555"/>
      <c r="H160" s="555"/>
      <c r="I160" s="555"/>
      <c r="J160" s="555"/>
      <c r="K160" s="555"/>
      <c r="L160" s="555"/>
      <c r="M160" s="555"/>
      <c r="N160" s="555"/>
      <c r="O160" s="555"/>
      <c r="P160" s="555"/>
      <c r="Q160" s="555"/>
      <c r="R160" s="555"/>
      <c r="S160" s="555"/>
      <c r="T160" s="555"/>
      <c r="U160" s="555"/>
      <c r="V160" s="555"/>
      <c r="W160" s="555"/>
      <c r="X160" s="555"/>
      <c r="Y160" s="555"/>
      <c r="Z160" s="555"/>
      <c r="AA160" s="555"/>
      <c r="AB160" s="555"/>
      <c r="AC160" s="555"/>
      <c r="AD160" s="555"/>
      <c r="AE160" s="555"/>
      <c r="AF160" s="555"/>
      <c r="AG160" s="555"/>
      <c r="AH160" s="556"/>
      <c r="AI160" s="556"/>
      <c r="AJ160" s="361"/>
    </row>
    <row r="161" spans="1:36" ht="21.95" customHeight="1">
      <c r="A161" s="299" t="s">
        <v>475</v>
      </c>
      <c r="B161" s="299"/>
      <c r="C161" s="153"/>
      <c r="D161" s="299" t="s">
        <v>2</v>
      </c>
      <c r="E161" s="186"/>
      <c r="F161" s="153"/>
      <c r="G161" s="299" t="s">
        <v>3</v>
      </c>
      <c r="H161" s="186"/>
      <c r="I161" s="153"/>
      <c r="J161" s="299" t="s">
        <v>4</v>
      </c>
      <c r="K161" s="186"/>
      <c r="L161" s="153"/>
      <c r="M161" s="299" t="s">
        <v>5</v>
      </c>
      <c r="N161" s="186"/>
      <c r="O161" s="153"/>
      <c r="P161" s="299" t="s">
        <v>6</v>
      </c>
      <c r="Q161" s="186"/>
      <c r="R161" s="134"/>
      <c r="S161" s="199" t="s">
        <v>7</v>
      </c>
      <c r="T161" s="186"/>
      <c r="U161" s="153"/>
      <c r="V161" s="299" t="s">
        <v>8</v>
      </c>
      <c r="W161" s="186"/>
      <c r="X161" s="585" t="s">
        <v>10</v>
      </c>
      <c r="Y161" s="186"/>
      <c r="Z161" s="186"/>
      <c r="AA161" s="561"/>
      <c r="AB161" s="483"/>
      <c r="AC161" s="483"/>
      <c r="AD161" s="483"/>
      <c r="AE161" s="483"/>
      <c r="AF161" s="483"/>
      <c r="AG161" s="484"/>
      <c r="AH161" s="361"/>
      <c r="AI161" s="361"/>
      <c r="AJ161" s="361"/>
    </row>
    <row r="162" spans="1:36" ht="21.95" customHeight="1">
      <c r="A162" s="130">
        <v>8517</v>
      </c>
      <c r="B162" s="500" t="s">
        <v>645</v>
      </c>
      <c r="C162" s="584" t="s">
        <v>124</v>
      </c>
      <c r="D162" s="581"/>
      <c r="E162" s="586"/>
      <c r="F162" s="584" t="s">
        <v>124</v>
      </c>
      <c r="G162" s="587"/>
      <c r="H162" s="586"/>
      <c r="I162" s="121" t="s">
        <v>124</v>
      </c>
      <c r="J162" s="565"/>
      <c r="K162" s="588"/>
      <c r="L162" s="121" t="s">
        <v>124</v>
      </c>
      <c r="M162" s="565"/>
      <c r="N162" s="588"/>
      <c r="O162" s="121" t="s">
        <v>125</v>
      </c>
      <c r="P162" s="565"/>
      <c r="Q162" s="477"/>
      <c r="R162" s="589" t="s">
        <v>28</v>
      </c>
      <c r="S162" s="565"/>
      <c r="T162" s="588"/>
      <c r="U162" s="565" t="s">
        <v>28</v>
      </c>
      <c r="V162" s="565"/>
      <c r="W162" s="477"/>
      <c r="X162" s="145" t="s">
        <v>28</v>
      </c>
      <c r="Y162" s="361"/>
      <c r="Z162" s="361"/>
      <c r="AA162" s="361"/>
      <c r="AB162" s="361"/>
      <c r="AC162" s="361"/>
      <c r="AD162" s="361"/>
      <c r="AE162" s="361"/>
      <c r="AF162" s="361"/>
      <c r="AG162" s="590"/>
      <c r="AH162" s="361"/>
      <c r="AI162" s="361"/>
      <c r="AJ162" s="361"/>
    </row>
    <row r="163" spans="1:36" ht="21.95" customHeight="1">
      <c r="A163" s="591">
        <v>8502</v>
      </c>
      <c r="B163" s="592" t="s">
        <v>646</v>
      </c>
      <c r="C163" s="121" t="s">
        <v>11</v>
      </c>
      <c r="D163" s="565"/>
      <c r="E163" s="477"/>
      <c r="F163" s="121" t="s">
        <v>11</v>
      </c>
      <c r="G163" s="565"/>
      <c r="H163" s="588"/>
      <c r="I163" s="121" t="s">
        <v>11</v>
      </c>
      <c r="J163" s="565"/>
      <c r="K163" s="588"/>
      <c r="L163" s="121" t="s">
        <v>11</v>
      </c>
      <c r="M163" s="565"/>
      <c r="N163" s="588"/>
      <c r="O163" s="121" t="s">
        <v>12</v>
      </c>
      <c r="P163" s="565"/>
      <c r="Q163" s="477"/>
      <c r="R163" s="593"/>
      <c r="S163" s="594"/>
      <c r="T163" s="588"/>
      <c r="U163" s="565"/>
      <c r="V163" s="565"/>
      <c r="W163" s="477"/>
      <c r="X163" s="476"/>
      <c r="Y163" s="483"/>
      <c r="Z163" s="483"/>
      <c r="AA163" s="483"/>
      <c r="AB163" s="483"/>
      <c r="AC163" s="483"/>
      <c r="AD163" s="483"/>
      <c r="AE163" s="483"/>
      <c r="AF163" s="483"/>
      <c r="AG163" s="484"/>
      <c r="AH163" s="361"/>
      <c r="AI163" s="361"/>
      <c r="AJ163" s="361"/>
    </row>
    <row r="164" spans="1:36" ht="21.95" customHeight="1" thickBot="1">
      <c r="A164" s="274"/>
      <c r="B164" s="516"/>
      <c r="C164" s="354"/>
      <c r="D164" s="354"/>
      <c r="E164" s="73"/>
      <c r="F164" s="354"/>
      <c r="G164" s="354"/>
      <c r="H164" s="73"/>
      <c r="I164" s="354"/>
      <c r="J164" s="354"/>
      <c r="K164" s="73"/>
      <c r="L164" s="354"/>
      <c r="M164" s="354"/>
      <c r="N164" s="73"/>
      <c r="O164" s="354"/>
      <c r="P164" s="354"/>
      <c r="Q164" s="73"/>
      <c r="R164" s="168"/>
      <c r="S164" s="354"/>
      <c r="T164" s="73"/>
      <c r="U164" s="354"/>
      <c r="V164" s="354"/>
      <c r="W164" s="73"/>
      <c r="X164" s="73"/>
      <c r="Y164" s="361"/>
      <c r="Z164" s="361"/>
      <c r="AA164" s="361"/>
      <c r="AB164" s="361"/>
      <c r="AC164" s="361"/>
      <c r="AD164" s="361"/>
      <c r="AE164" s="361"/>
      <c r="AF164" s="361"/>
      <c r="AG164" s="361"/>
      <c r="AH164" s="361"/>
      <c r="AI164" s="361"/>
    </row>
    <row r="165" spans="1:36" ht="21.95" customHeight="1" thickBot="1">
      <c r="A165" s="595"/>
      <c r="B165" s="862" t="s">
        <v>476</v>
      </c>
      <c r="C165" s="863">
        <v>1</v>
      </c>
      <c r="D165" s="863">
        <v>2</v>
      </c>
      <c r="E165" s="863">
        <v>3</v>
      </c>
      <c r="F165" s="863">
        <v>4</v>
      </c>
      <c r="G165" s="863">
        <v>5</v>
      </c>
      <c r="H165" s="880">
        <v>6</v>
      </c>
      <c r="I165" s="880">
        <v>7</v>
      </c>
      <c r="J165" s="863">
        <v>8</v>
      </c>
      <c r="K165" s="863">
        <v>9</v>
      </c>
      <c r="L165" s="863">
        <v>10</v>
      </c>
      <c r="M165" s="863">
        <v>11</v>
      </c>
      <c r="N165" s="863">
        <v>12</v>
      </c>
      <c r="O165" s="880">
        <v>13</v>
      </c>
      <c r="P165" s="880">
        <v>14</v>
      </c>
      <c r="Q165" s="863">
        <v>15</v>
      </c>
      <c r="R165" s="863">
        <v>16</v>
      </c>
      <c r="S165" s="863">
        <v>17</v>
      </c>
      <c r="T165" s="863">
        <v>18</v>
      </c>
      <c r="U165" s="863">
        <v>19</v>
      </c>
      <c r="V165" s="880">
        <v>20</v>
      </c>
      <c r="W165" s="880">
        <v>21</v>
      </c>
      <c r="X165" s="863">
        <v>22</v>
      </c>
      <c r="Y165" s="863">
        <v>23</v>
      </c>
      <c r="Z165" s="880">
        <v>24</v>
      </c>
      <c r="AA165" s="880">
        <v>25</v>
      </c>
      <c r="AB165" s="880">
        <v>26</v>
      </c>
      <c r="AC165" s="880">
        <v>27</v>
      </c>
      <c r="AD165" s="880">
        <v>28</v>
      </c>
      <c r="AE165" s="863">
        <v>29</v>
      </c>
      <c r="AF165" s="863">
        <v>30</v>
      </c>
      <c r="AG165" s="949">
        <v>31</v>
      </c>
      <c r="AH165" s="864" t="s">
        <v>477</v>
      </c>
      <c r="AI165" s="865" t="s">
        <v>478</v>
      </c>
    </row>
    <row r="166" spans="1:36" ht="21.95" customHeight="1">
      <c r="A166" s="596">
        <v>1</v>
      </c>
      <c r="B166" s="542" t="s">
        <v>516</v>
      </c>
      <c r="C166" s="1038" t="s">
        <v>481</v>
      </c>
      <c r="D166" s="1038" t="s">
        <v>481</v>
      </c>
      <c r="E166" s="1038" t="s">
        <v>481</v>
      </c>
      <c r="F166" s="1038" t="s">
        <v>481</v>
      </c>
      <c r="G166" s="1038" t="s">
        <v>481</v>
      </c>
      <c r="H166" s="1038"/>
      <c r="I166" s="1038"/>
      <c r="J166" s="1038" t="s">
        <v>553</v>
      </c>
      <c r="K166" s="1038" t="s">
        <v>553</v>
      </c>
      <c r="L166" s="1038" t="s">
        <v>553</v>
      </c>
      <c r="M166" s="1038" t="s">
        <v>553</v>
      </c>
      <c r="N166" s="1038" t="s">
        <v>553</v>
      </c>
      <c r="O166" s="1038" t="s">
        <v>555</v>
      </c>
      <c r="P166" s="1038" t="s">
        <v>555</v>
      </c>
      <c r="Q166" s="1038" t="s">
        <v>481</v>
      </c>
      <c r="R166" s="1038" t="s">
        <v>481</v>
      </c>
      <c r="S166" s="1038" t="s">
        <v>481</v>
      </c>
      <c r="T166" s="1038" t="s">
        <v>553</v>
      </c>
      <c r="U166" s="1038" t="s">
        <v>553</v>
      </c>
      <c r="V166" s="1038"/>
      <c r="W166" s="1038"/>
      <c r="X166" s="1038" t="s">
        <v>791</v>
      </c>
      <c r="Y166" s="768"/>
      <c r="Z166" s="768"/>
      <c r="AA166" s="768"/>
      <c r="AB166" s="768"/>
      <c r="AC166" s="768"/>
      <c r="AD166" s="768"/>
      <c r="AE166" s="768"/>
      <c r="AF166" s="768"/>
      <c r="AG166" s="768"/>
      <c r="AH166" s="892">
        <v>161.75</v>
      </c>
      <c r="AI166" s="893">
        <v>37</v>
      </c>
    </row>
    <row r="167" spans="1:36" ht="21.95" customHeight="1">
      <c r="A167" s="596">
        <v>2</v>
      </c>
      <c r="B167" s="153" t="s">
        <v>648</v>
      </c>
      <c r="C167" s="764" t="s">
        <v>584</v>
      </c>
      <c r="D167" s="764" t="s">
        <v>584</v>
      </c>
      <c r="E167" s="764" t="s">
        <v>584</v>
      </c>
      <c r="F167" s="762" t="s">
        <v>584</v>
      </c>
      <c r="G167" s="764" t="s">
        <v>481</v>
      </c>
      <c r="H167" s="764"/>
      <c r="I167" s="764"/>
      <c r="J167" s="1240" t="s">
        <v>585</v>
      </c>
      <c r="K167" s="764" t="s">
        <v>585</v>
      </c>
      <c r="L167" s="764" t="s">
        <v>585</v>
      </c>
      <c r="M167" s="764" t="s">
        <v>585</v>
      </c>
      <c r="N167" s="764" t="s">
        <v>585</v>
      </c>
      <c r="O167" s="764"/>
      <c r="P167" s="764"/>
      <c r="Q167" s="764" t="s">
        <v>583</v>
      </c>
      <c r="R167" s="762" t="s">
        <v>583</v>
      </c>
      <c r="S167" s="764" t="s">
        <v>583</v>
      </c>
      <c r="T167" s="764" t="s">
        <v>583</v>
      </c>
      <c r="U167" s="764" t="s">
        <v>583</v>
      </c>
      <c r="V167" s="764" t="s">
        <v>583</v>
      </c>
      <c r="W167" s="764"/>
      <c r="X167" s="985" t="s">
        <v>584</v>
      </c>
      <c r="Y167" s="985" t="s">
        <v>584</v>
      </c>
      <c r="Z167" s="764" t="s">
        <v>584</v>
      </c>
      <c r="AA167" s="764" t="s">
        <v>584</v>
      </c>
      <c r="AB167" s="764" t="s">
        <v>481</v>
      </c>
      <c r="AC167" s="764"/>
      <c r="AD167" s="764"/>
      <c r="AE167" s="985" t="s">
        <v>585</v>
      </c>
      <c r="AF167" s="985" t="s">
        <v>585</v>
      </c>
      <c r="AG167" s="764" t="s">
        <v>585</v>
      </c>
      <c r="AH167" s="822">
        <v>74</v>
      </c>
      <c r="AI167" s="823">
        <v>37</v>
      </c>
    </row>
    <row r="168" spans="1:36" ht="21.95" customHeight="1">
      <c r="A168" s="596">
        <v>3</v>
      </c>
      <c r="B168" s="601" t="s">
        <v>651</v>
      </c>
      <c r="C168" s="768" t="s">
        <v>540</v>
      </c>
      <c r="D168" s="768" t="s">
        <v>540</v>
      </c>
      <c r="E168" s="768" t="s">
        <v>540</v>
      </c>
      <c r="F168" s="768" t="s">
        <v>540</v>
      </c>
      <c r="G168" s="768" t="s">
        <v>540</v>
      </c>
      <c r="H168" s="768"/>
      <c r="I168" s="768"/>
      <c r="J168" s="768" t="s">
        <v>540</v>
      </c>
      <c r="K168" s="768" t="s">
        <v>540</v>
      </c>
      <c r="L168" s="768" t="s">
        <v>540</v>
      </c>
      <c r="M168" s="768" t="s">
        <v>540</v>
      </c>
      <c r="N168" s="768" t="s">
        <v>540</v>
      </c>
      <c r="O168" s="768"/>
      <c r="P168" s="768"/>
      <c r="Q168" s="768" t="s">
        <v>540</v>
      </c>
      <c r="R168" s="768" t="s">
        <v>540</v>
      </c>
      <c r="S168" s="768" t="s">
        <v>540</v>
      </c>
      <c r="T168" s="768" t="s">
        <v>540</v>
      </c>
      <c r="U168" s="768" t="s">
        <v>540</v>
      </c>
      <c r="V168" s="768"/>
      <c r="W168" s="768"/>
      <c r="X168" s="768" t="s">
        <v>540</v>
      </c>
      <c r="Y168" s="768" t="s">
        <v>540</v>
      </c>
      <c r="Z168" s="768"/>
      <c r="AA168" s="768"/>
      <c r="AB168" s="768"/>
      <c r="AC168" s="768"/>
      <c r="AD168" s="768"/>
      <c r="AE168" s="977" t="s">
        <v>540</v>
      </c>
      <c r="AF168" s="977" t="s">
        <v>540</v>
      </c>
      <c r="AG168" s="769"/>
      <c r="AH168" s="822">
        <v>74.5</v>
      </c>
      <c r="AI168" s="823">
        <v>37</v>
      </c>
    </row>
    <row r="169" spans="1:36" ht="21.95" customHeight="1">
      <c r="A169" s="596">
        <v>4</v>
      </c>
      <c r="B169" s="319" t="s">
        <v>654</v>
      </c>
      <c r="C169" s="768">
        <v>5</v>
      </c>
      <c r="D169" s="768">
        <v>5</v>
      </c>
      <c r="E169" s="768">
        <v>5</v>
      </c>
      <c r="F169" s="1044">
        <v>5</v>
      </c>
      <c r="G169" s="768" t="s">
        <v>481</v>
      </c>
      <c r="H169" s="768" t="s">
        <v>490</v>
      </c>
      <c r="I169" s="768" t="s">
        <v>490</v>
      </c>
      <c r="J169" s="768" t="s">
        <v>481</v>
      </c>
      <c r="K169" s="768" t="s">
        <v>481</v>
      </c>
      <c r="L169" s="768" t="s">
        <v>481</v>
      </c>
      <c r="M169" s="768" t="s">
        <v>481</v>
      </c>
      <c r="N169" s="768" t="s">
        <v>481</v>
      </c>
      <c r="O169" s="768" t="s">
        <v>512</v>
      </c>
      <c r="P169" s="768" t="s">
        <v>513</v>
      </c>
      <c r="Q169" s="768" t="s">
        <v>481</v>
      </c>
      <c r="R169" s="977" t="s">
        <v>491</v>
      </c>
      <c r="S169" s="768">
        <v>3</v>
      </c>
      <c r="T169" s="768" t="s">
        <v>481</v>
      </c>
      <c r="U169" s="768" t="s">
        <v>481</v>
      </c>
      <c r="V169" s="768"/>
      <c r="W169" s="768"/>
      <c r="X169" s="768">
        <v>5</v>
      </c>
      <c r="Y169" s="768" t="s">
        <v>553</v>
      </c>
      <c r="Z169" s="768"/>
      <c r="AA169" s="768"/>
      <c r="AB169" s="768"/>
      <c r="AC169" s="768"/>
      <c r="AD169" s="1038" t="s">
        <v>555</v>
      </c>
      <c r="AE169" s="1038" t="s">
        <v>553</v>
      </c>
      <c r="AF169" s="1038" t="s">
        <v>745</v>
      </c>
      <c r="AG169" s="769"/>
      <c r="AH169" s="822">
        <v>74</v>
      </c>
      <c r="AI169" s="823">
        <v>37</v>
      </c>
    </row>
    <row r="170" spans="1:36" ht="21.95" customHeight="1">
      <c r="A170" s="596">
        <v>5</v>
      </c>
      <c r="B170" s="153" t="s">
        <v>655</v>
      </c>
      <c r="C170" s="768" t="s">
        <v>553</v>
      </c>
      <c r="D170" s="768" t="s">
        <v>553</v>
      </c>
      <c r="E170" s="768" t="s">
        <v>553</v>
      </c>
      <c r="F170" s="768" t="s">
        <v>554</v>
      </c>
      <c r="G170" s="768" t="s">
        <v>554</v>
      </c>
      <c r="H170" s="768" t="s">
        <v>490</v>
      </c>
      <c r="I170" s="768" t="s">
        <v>490</v>
      </c>
      <c r="J170" s="768" t="s">
        <v>481</v>
      </c>
      <c r="K170" s="768" t="s">
        <v>481</v>
      </c>
      <c r="L170" s="768" t="s">
        <v>481</v>
      </c>
      <c r="M170" s="768" t="s">
        <v>481</v>
      </c>
      <c r="N170" s="768" t="s">
        <v>481</v>
      </c>
      <c r="O170" s="768"/>
      <c r="P170" s="768"/>
      <c r="Q170" s="768" t="s">
        <v>553</v>
      </c>
      <c r="R170" s="768" t="s">
        <v>553</v>
      </c>
      <c r="S170" s="768">
        <v>5</v>
      </c>
      <c r="T170" s="768">
        <v>5</v>
      </c>
      <c r="U170" s="768">
        <v>5</v>
      </c>
      <c r="V170" s="768" t="s">
        <v>513</v>
      </c>
      <c r="W170" s="768" t="s">
        <v>513</v>
      </c>
      <c r="X170" s="977" t="s">
        <v>491</v>
      </c>
      <c r="Y170" s="977" t="s">
        <v>491</v>
      </c>
      <c r="Z170" s="768"/>
      <c r="AA170" s="768"/>
      <c r="AB170" s="768"/>
      <c r="AC170" s="768"/>
      <c r="AD170" s="768"/>
      <c r="AE170" s="977" t="s">
        <v>491</v>
      </c>
      <c r="AF170" s="977" t="s">
        <v>491</v>
      </c>
      <c r="AG170" s="769"/>
      <c r="AH170" s="824">
        <v>74</v>
      </c>
      <c r="AI170" s="825">
        <v>37</v>
      </c>
    </row>
    <row r="171" spans="1:36" ht="21.95" customHeight="1">
      <c r="A171" s="596">
        <v>6</v>
      </c>
      <c r="B171" s="793" t="s">
        <v>656</v>
      </c>
      <c r="C171" s="768" t="s">
        <v>481</v>
      </c>
      <c r="D171" s="768" t="s">
        <v>481</v>
      </c>
      <c r="E171" s="768" t="s">
        <v>481</v>
      </c>
      <c r="F171" s="768" t="s">
        <v>481</v>
      </c>
      <c r="G171" s="768" t="s">
        <v>481</v>
      </c>
      <c r="H171" s="768" t="s">
        <v>515</v>
      </c>
      <c r="I171" s="768"/>
      <c r="J171" s="768" t="s">
        <v>491</v>
      </c>
      <c r="K171" s="768" t="s">
        <v>491</v>
      </c>
      <c r="L171" s="768" t="s">
        <v>491</v>
      </c>
      <c r="M171" s="1038" t="s">
        <v>491</v>
      </c>
      <c r="N171" s="1038" t="s">
        <v>491</v>
      </c>
      <c r="O171" s="1038"/>
      <c r="P171" s="1038"/>
      <c r="Q171" s="1038" t="s">
        <v>491</v>
      </c>
      <c r="R171" s="1038" t="s">
        <v>493</v>
      </c>
      <c r="S171" s="970" t="s">
        <v>491</v>
      </c>
      <c r="T171" s="970" t="s">
        <v>491</v>
      </c>
      <c r="U171" s="970" t="s">
        <v>491</v>
      </c>
      <c r="V171" s="970"/>
      <c r="W171" s="970"/>
      <c r="X171" s="768" t="s">
        <v>491</v>
      </c>
      <c r="Y171" s="768">
        <v>5</v>
      </c>
      <c r="Z171" s="768"/>
      <c r="AA171" s="768"/>
      <c r="AB171" s="768"/>
      <c r="AC171" s="768"/>
      <c r="AD171" s="768"/>
      <c r="AE171" s="768">
        <v>5</v>
      </c>
      <c r="AF171" s="768">
        <v>5</v>
      </c>
      <c r="AG171" s="769"/>
      <c r="AH171" s="826">
        <v>30.25</v>
      </c>
      <c r="AI171" s="827">
        <v>37</v>
      </c>
    </row>
    <row r="172" spans="1:36" ht="21.95" customHeight="1" thickBot="1">
      <c r="A172" s="596">
        <v>7</v>
      </c>
      <c r="B172" s="878" t="s">
        <v>575</v>
      </c>
      <c r="C172" s="764">
        <v>10</v>
      </c>
      <c r="D172" s="764">
        <v>10</v>
      </c>
      <c r="E172" s="764">
        <v>10</v>
      </c>
      <c r="F172" s="764">
        <v>10</v>
      </c>
      <c r="G172" s="764">
        <v>10</v>
      </c>
      <c r="H172" s="764" t="s">
        <v>514</v>
      </c>
      <c r="I172" s="764" t="s">
        <v>514</v>
      </c>
      <c r="J172" s="764" t="s">
        <v>481</v>
      </c>
      <c r="K172" s="764" t="s">
        <v>481</v>
      </c>
      <c r="L172" s="764" t="s">
        <v>481</v>
      </c>
      <c r="M172" s="764" t="s">
        <v>481</v>
      </c>
      <c r="N172" s="764" t="s">
        <v>481</v>
      </c>
      <c r="O172" s="764" t="s">
        <v>515</v>
      </c>
      <c r="P172" s="764" t="s">
        <v>515</v>
      </c>
      <c r="Q172" s="764">
        <v>7</v>
      </c>
      <c r="R172" s="767">
        <v>7</v>
      </c>
      <c r="S172" s="764">
        <v>7</v>
      </c>
      <c r="T172" s="764">
        <v>7</v>
      </c>
      <c r="U172" s="764">
        <v>7</v>
      </c>
      <c r="V172" s="764"/>
      <c r="W172" s="764"/>
      <c r="X172" s="764">
        <v>4</v>
      </c>
      <c r="Y172" s="764">
        <v>4</v>
      </c>
      <c r="Z172" s="764">
        <v>4</v>
      </c>
      <c r="AA172" s="764">
        <v>4</v>
      </c>
      <c r="AB172" s="764">
        <v>4</v>
      </c>
      <c r="AC172" s="764"/>
      <c r="AD172" s="764"/>
      <c r="AE172" s="764">
        <v>3</v>
      </c>
      <c r="AF172" s="764">
        <v>3</v>
      </c>
      <c r="AG172" s="764">
        <v>3</v>
      </c>
      <c r="AH172" s="826">
        <v>148</v>
      </c>
      <c r="AI172" s="827">
        <v>37</v>
      </c>
    </row>
    <row r="173" spans="1:36" ht="21.95" customHeight="1">
      <c r="A173" s="596">
        <v>8</v>
      </c>
      <c r="C173" s="768"/>
      <c r="D173" s="768"/>
      <c r="E173" s="768"/>
      <c r="F173" s="768"/>
      <c r="G173" s="768"/>
      <c r="H173" s="768"/>
      <c r="I173" s="768"/>
      <c r="J173" s="768"/>
      <c r="K173" s="768"/>
      <c r="L173" s="768"/>
      <c r="M173" s="768"/>
      <c r="N173" s="768"/>
      <c r="O173" s="768"/>
      <c r="P173" s="768"/>
      <c r="Q173" s="768"/>
      <c r="R173" s="768"/>
      <c r="S173" s="768"/>
      <c r="T173" s="768"/>
      <c r="U173" s="768"/>
      <c r="V173" s="768"/>
      <c r="W173" s="768"/>
      <c r="X173" s="768"/>
      <c r="Y173" s="768"/>
      <c r="Z173" s="768"/>
      <c r="AA173" s="768"/>
      <c r="AB173" s="768"/>
      <c r="AC173" s="768"/>
      <c r="AD173" s="768"/>
      <c r="AE173" s="768"/>
      <c r="AF173" s="768"/>
      <c r="AG173" s="769"/>
      <c r="AH173" s="826">
        <v>185</v>
      </c>
      <c r="AI173" s="827">
        <v>37</v>
      </c>
    </row>
    <row r="174" spans="1:36" ht="21.95" customHeight="1">
      <c r="A174" s="596">
        <v>9</v>
      </c>
      <c r="B174" s="153"/>
      <c r="C174" s="766"/>
      <c r="D174" s="766"/>
      <c r="E174" s="766"/>
      <c r="F174" s="766"/>
      <c r="G174" s="766"/>
      <c r="H174" s="766"/>
      <c r="I174" s="766"/>
      <c r="J174" s="766"/>
      <c r="K174" s="766"/>
      <c r="L174" s="766"/>
      <c r="M174" s="766"/>
      <c r="N174" s="766"/>
      <c r="O174" s="766"/>
      <c r="P174" s="766"/>
      <c r="Q174" s="766"/>
      <c r="R174" s="766"/>
      <c r="S174" s="766"/>
      <c r="T174" s="766"/>
      <c r="U174" s="766"/>
      <c r="V174" s="766"/>
      <c r="W174" s="768"/>
      <c r="X174" s="766"/>
      <c r="Y174" s="766"/>
      <c r="Z174" s="766"/>
      <c r="AA174" s="766"/>
      <c r="AB174" s="766"/>
      <c r="AC174" s="766"/>
      <c r="AD174" s="766"/>
      <c r="AE174" s="766"/>
      <c r="AF174" s="766"/>
      <c r="AG174" s="769"/>
      <c r="AH174" s="826">
        <v>185</v>
      </c>
      <c r="AI174" s="827">
        <v>37</v>
      </c>
    </row>
    <row r="175" spans="1:36" ht="21.95" customHeight="1">
      <c r="A175" s="596">
        <v>10</v>
      </c>
      <c r="B175" s="153"/>
      <c r="C175" s="766"/>
      <c r="D175" s="766"/>
      <c r="E175" s="766"/>
      <c r="F175" s="766"/>
      <c r="G175" s="766"/>
      <c r="H175" s="766"/>
      <c r="I175" s="766"/>
      <c r="J175" s="766"/>
      <c r="K175" s="766"/>
      <c r="L175" s="766"/>
      <c r="M175" s="766"/>
      <c r="N175" s="766"/>
      <c r="O175" s="766"/>
      <c r="P175" s="766"/>
      <c r="Q175" s="766"/>
      <c r="R175" s="766"/>
      <c r="S175" s="766"/>
      <c r="T175" s="766"/>
      <c r="U175" s="766"/>
      <c r="V175" s="766"/>
      <c r="W175" s="768"/>
      <c r="X175" s="766"/>
      <c r="Y175" s="766"/>
      <c r="Z175" s="766"/>
      <c r="AA175" s="766"/>
      <c r="AB175" s="766"/>
      <c r="AC175" s="766"/>
      <c r="AD175" s="766"/>
      <c r="AE175" s="766"/>
      <c r="AF175" s="766"/>
      <c r="AG175" s="783"/>
      <c r="AH175" s="826">
        <v>185</v>
      </c>
      <c r="AI175" s="827">
        <v>37</v>
      </c>
    </row>
    <row r="176" spans="1:36" ht="21.95" customHeight="1" thickBot="1">
      <c r="A176" s="596">
        <v>11</v>
      </c>
      <c r="B176" s="895"/>
      <c r="C176" s="863"/>
      <c r="D176" s="863"/>
      <c r="E176" s="863"/>
      <c r="F176" s="863"/>
      <c r="G176" s="863"/>
      <c r="H176" s="863"/>
      <c r="I176" s="863"/>
      <c r="J176" s="863"/>
      <c r="K176" s="863"/>
      <c r="L176" s="863"/>
      <c r="M176" s="863"/>
      <c r="N176" s="863"/>
      <c r="O176" s="863"/>
      <c r="P176" s="863"/>
      <c r="Q176" s="863"/>
      <c r="R176" s="863"/>
      <c r="S176" s="863"/>
      <c r="T176" s="863"/>
      <c r="U176" s="863"/>
      <c r="V176" s="863"/>
      <c r="W176" s="867"/>
      <c r="X176" s="863"/>
      <c r="Y176" s="863"/>
      <c r="Z176" s="863"/>
      <c r="AA176" s="863"/>
      <c r="AB176" s="863"/>
      <c r="AC176" s="863"/>
      <c r="AD176" s="863"/>
      <c r="AE176" s="863"/>
      <c r="AF176" s="863"/>
      <c r="AG176" s="1273"/>
      <c r="AH176" s="826">
        <v>185</v>
      </c>
      <c r="AI176" s="827">
        <v>37</v>
      </c>
    </row>
    <row r="177" spans="1:35" ht="21.95" customHeight="1" thickBot="1">
      <c r="A177" s="894">
        <v>12</v>
      </c>
      <c r="AG177" s="1272"/>
      <c r="AH177" s="1242"/>
      <c r="AI177" s="1242"/>
    </row>
    <row r="178" spans="1:35" ht="21" customHeight="1">
      <c r="A178" s="312" t="s">
        <v>659</v>
      </c>
    </row>
    <row r="179" spans="1:35" ht="21" customHeight="1" thickBot="1">
      <c r="A179" s="861"/>
      <c r="B179" s="862" t="s">
        <v>476</v>
      </c>
      <c r="C179" s="863">
        <v>1</v>
      </c>
      <c r="D179" s="863">
        <v>2</v>
      </c>
      <c r="E179" s="863">
        <v>3</v>
      </c>
      <c r="F179" s="863">
        <v>4</v>
      </c>
      <c r="G179" s="863">
        <v>5</v>
      </c>
      <c r="H179" s="880">
        <v>6</v>
      </c>
      <c r="I179" s="880">
        <v>7</v>
      </c>
      <c r="J179" s="863">
        <v>8</v>
      </c>
      <c r="K179" s="863">
        <v>9</v>
      </c>
      <c r="L179" s="863">
        <v>10</v>
      </c>
      <c r="M179" s="863">
        <v>11</v>
      </c>
      <c r="N179" s="863">
        <v>12</v>
      </c>
      <c r="O179" s="880">
        <v>13</v>
      </c>
      <c r="P179" s="880">
        <v>14</v>
      </c>
      <c r="Q179" s="863">
        <v>15</v>
      </c>
      <c r="R179" s="863">
        <v>16</v>
      </c>
      <c r="S179" s="863">
        <v>17</v>
      </c>
      <c r="T179" s="863">
        <v>18</v>
      </c>
      <c r="U179" s="863">
        <v>19</v>
      </c>
      <c r="V179" s="880">
        <v>20</v>
      </c>
      <c r="W179" s="880">
        <v>21</v>
      </c>
      <c r="X179" s="863">
        <v>22</v>
      </c>
      <c r="Y179" s="863">
        <v>23</v>
      </c>
      <c r="Z179" s="880">
        <v>24</v>
      </c>
      <c r="AA179" s="880">
        <v>25</v>
      </c>
      <c r="AB179" s="880">
        <v>26</v>
      </c>
      <c r="AC179" s="880">
        <v>27</v>
      </c>
      <c r="AD179" s="880">
        <v>28</v>
      </c>
      <c r="AE179" s="863">
        <v>29</v>
      </c>
      <c r="AF179" s="863">
        <v>30</v>
      </c>
      <c r="AG179" s="880">
        <v>31</v>
      </c>
      <c r="AH179" s="600"/>
    </row>
    <row r="180" spans="1:35" ht="21" customHeight="1">
      <c r="A180" s="897">
        <v>1</v>
      </c>
      <c r="B180" s="601" t="s">
        <v>660</v>
      </c>
      <c r="C180" s="898">
        <v>11</v>
      </c>
      <c r="D180" s="898">
        <v>11</v>
      </c>
      <c r="E180" s="898">
        <v>11</v>
      </c>
      <c r="F180" s="898">
        <v>11</v>
      </c>
      <c r="G180" s="898">
        <v>11</v>
      </c>
      <c r="H180" s="898" t="s">
        <v>517</v>
      </c>
      <c r="I180" s="898" t="s">
        <v>517</v>
      </c>
      <c r="J180" s="898" t="s">
        <v>481</v>
      </c>
      <c r="K180" s="898" t="s">
        <v>481</v>
      </c>
      <c r="L180" s="898" t="s">
        <v>481</v>
      </c>
      <c r="M180" s="898" t="s">
        <v>481</v>
      </c>
      <c r="N180" s="898" t="s">
        <v>481</v>
      </c>
      <c r="O180" s="898"/>
      <c r="P180" s="898"/>
      <c r="Q180" s="1053">
        <v>6</v>
      </c>
      <c r="R180" s="1053">
        <v>6</v>
      </c>
      <c r="S180" s="1053">
        <v>6</v>
      </c>
      <c r="T180" s="1297" t="s">
        <v>485</v>
      </c>
      <c r="U180" s="1297" t="s">
        <v>485</v>
      </c>
      <c r="V180" s="898"/>
      <c r="W180" s="898"/>
      <c r="X180" s="898" t="s">
        <v>600</v>
      </c>
      <c r="Y180" s="898" t="s">
        <v>600</v>
      </c>
      <c r="Z180" s="898"/>
      <c r="AA180" s="898"/>
      <c r="AB180" s="898"/>
      <c r="AC180" s="898"/>
      <c r="AD180" s="898"/>
      <c r="AE180" s="898">
        <v>1</v>
      </c>
      <c r="AF180" s="1292" t="s">
        <v>485</v>
      </c>
      <c r="AG180" s="898"/>
      <c r="AH180" s="600"/>
    </row>
    <row r="181" spans="1:35" ht="21" customHeight="1" thickBot="1">
      <c r="A181" s="552">
        <v>2</v>
      </c>
      <c r="B181" s="1153" t="s">
        <v>661</v>
      </c>
      <c r="C181" s="768" t="s">
        <v>481</v>
      </c>
      <c r="D181" s="987" t="s">
        <v>481</v>
      </c>
      <c r="E181" s="768" t="s">
        <v>481</v>
      </c>
      <c r="F181" s="768" t="s">
        <v>481</v>
      </c>
      <c r="G181" s="1044">
        <v>5</v>
      </c>
      <c r="H181" s="768" t="s">
        <v>555</v>
      </c>
      <c r="I181" s="768" t="s">
        <v>490</v>
      </c>
      <c r="J181" s="768" t="s">
        <v>553</v>
      </c>
      <c r="K181" s="768" t="s">
        <v>553</v>
      </c>
      <c r="L181" s="768" t="s">
        <v>553</v>
      </c>
      <c r="M181" s="768" t="s">
        <v>554</v>
      </c>
      <c r="N181" s="768" t="s">
        <v>554</v>
      </c>
      <c r="O181" s="768" t="s">
        <v>555</v>
      </c>
      <c r="P181" s="768"/>
      <c r="Q181" s="867">
        <v>5</v>
      </c>
      <c r="R181" s="768">
        <v>5</v>
      </c>
      <c r="S181" s="768">
        <v>8</v>
      </c>
      <c r="T181" s="768">
        <v>8</v>
      </c>
      <c r="U181" s="768">
        <v>8</v>
      </c>
      <c r="V181" s="768"/>
      <c r="W181" s="768"/>
      <c r="X181" s="768" t="s">
        <v>604</v>
      </c>
      <c r="Y181" s="768" t="s">
        <v>604</v>
      </c>
      <c r="Z181" s="768"/>
      <c r="AA181" s="768"/>
      <c r="AB181" s="768"/>
      <c r="AC181" s="768" t="s">
        <v>555</v>
      </c>
      <c r="AD181" s="768"/>
      <c r="AE181" s="768">
        <v>1</v>
      </c>
      <c r="AF181" s="768">
        <v>1</v>
      </c>
      <c r="AG181" s="987">
        <v>1</v>
      </c>
      <c r="AH181" s="600"/>
    </row>
    <row r="182" spans="1:35" ht="21" customHeight="1">
      <c r="A182" s="552">
        <v>3</v>
      </c>
      <c r="B182" s="542" t="s">
        <v>774</v>
      </c>
      <c r="C182" s="768" t="s">
        <v>481</v>
      </c>
      <c r="D182" s="768" t="s">
        <v>481</v>
      </c>
      <c r="E182" s="768" t="s">
        <v>481</v>
      </c>
      <c r="F182" s="768" t="s">
        <v>481</v>
      </c>
      <c r="G182" s="768" t="s">
        <v>481</v>
      </c>
      <c r="H182" s="768"/>
      <c r="I182" s="768"/>
      <c r="J182" s="1224" t="s">
        <v>554</v>
      </c>
      <c r="K182" s="1224" t="s">
        <v>554</v>
      </c>
      <c r="L182" s="1224" t="s">
        <v>554</v>
      </c>
      <c r="M182" s="1224" t="s">
        <v>554</v>
      </c>
      <c r="N182" s="1224" t="s">
        <v>554</v>
      </c>
      <c r="O182" s="1038" t="s">
        <v>555</v>
      </c>
      <c r="P182" s="1038" t="s">
        <v>555</v>
      </c>
      <c r="Q182" s="768" t="s">
        <v>481</v>
      </c>
      <c r="R182" s="768" t="s">
        <v>481</v>
      </c>
      <c r="S182" s="768" t="s">
        <v>481</v>
      </c>
      <c r="T182" s="768" t="s">
        <v>481</v>
      </c>
      <c r="U182" s="768" t="s">
        <v>481</v>
      </c>
      <c r="V182" s="768"/>
      <c r="W182" s="768"/>
      <c r="X182" s="768" t="s">
        <v>481</v>
      </c>
      <c r="Y182" s="768" t="s">
        <v>481</v>
      </c>
      <c r="Z182" s="768"/>
      <c r="AA182" s="768"/>
      <c r="AB182" s="768"/>
      <c r="AC182" s="768"/>
      <c r="AD182" s="768"/>
      <c r="AE182" s="768" t="s">
        <v>481</v>
      </c>
      <c r="AF182" s="768" t="s">
        <v>481</v>
      </c>
      <c r="AG182" s="172"/>
      <c r="AH182" s="600"/>
    </row>
    <row r="183" spans="1:35" ht="21" customHeight="1">
      <c r="A183" s="552">
        <v>4</v>
      </c>
      <c r="B183" s="859" t="s">
        <v>768</v>
      </c>
      <c r="C183" s="987">
        <v>9</v>
      </c>
      <c r="D183" s="987">
        <v>9</v>
      </c>
      <c r="E183" s="987">
        <v>9</v>
      </c>
      <c r="F183" s="987">
        <v>9</v>
      </c>
      <c r="G183" s="987">
        <v>9</v>
      </c>
      <c r="H183" s="987" t="s">
        <v>519</v>
      </c>
      <c r="I183" s="987" t="s">
        <v>519</v>
      </c>
      <c r="J183" s="987" t="s">
        <v>481</v>
      </c>
      <c r="K183" s="987" t="s">
        <v>481</v>
      </c>
      <c r="L183" s="987" t="s">
        <v>481</v>
      </c>
      <c r="M183" s="987" t="s">
        <v>481</v>
      </c>
      <c r="N183" s="987" t="s">
        <v>481</v>
      </c>
      <c r="O183" s="987"/>
      <c r="P183" s="987"/>
      <c r="Q183" s="987">
        <v>6</v>
      </c>
      <c r="R183" s="987">
        <v>6</v>
      </c>
      <c r="S183" s="987">
        <v>6</v>
      </c>
      <c r="T183" s="987">
        <v>6</v>
      </c>
      <c r="U183" s="987">
        <v>6</v>
      </c>
      <c r="V183" s="987" t="s">
        <v>512</v>
      </c>
      <c r="W183" s="987" t="s">
        <v>513</v>
      </c>
      <c r="X183" s="768" t="s">
        <v>481</v>
      </c>
      <c r="Y183" s="768" t="s">
        <v>481</v>
      </c>
      <c r="Z183" s="768"/>
      <c r="AA183" s="768"/>
      <c r="AB183" s="768"/>
      <c r="AC183" s="768"/>
      <c r="AD183" s="768"/>
      <c r="AE183" s="768">
        <v>4</v>
      </c>
      <c r="AF183" s="768">
        <v>4</v>
      </c>
      <c r="AG183" s="172"/>
      <c r="AH183" s="600"/>
    </row>
    <row r="184" spans="1:35" ht="21" customHeight="1" thickBot="1">
      <c r="A184" s="861">
        <v>5</v>
      </c>
      <c r="B184" s="874"/>
      <c r="C184" s="863"/>
      <c r="D184" s="863"/>
      <c r="E184" s="863"/>
      <c r="F184" s="863"/>
      <c r="G184" s="863"/>
      <c r="H184" s="863"/>
      <c r="I184" s="863"/>
      <c r="J184" s="863"/>
      <c r="K184" s="863"/>
      <c r="L184" s="863"/>
      <c r="M184" s="863"/>
      <c r="N184" s="863"/>
      <c r="O184" s="863"/>
      <c r="P184" s="863"/>
      <c r="Q184" s="863"/>
      <c r="R184" s="863"/>
      <c r="S184" s="863"/>
      <c r="T184" s="863"/>
      <c r="U184" s="863"/>
      <c r="V184" s="863"/>
      <c r="W184" s="863"/>
      <c r="X184" s="863"/>
      <c r="Y184" s="863"/>
      <c r="Z184" s="863"/>
      <c r="AA184" s="863"/>
      <c r="AB184" s="863"/>
      <c r="AC184" s="863"/>
      <c r="AD184" s="863"/>
      <c r="AE184" s="863"/>
      <c r="AF184" s="863"/>
      <c r="AG184" s="899"/>
      <c r="AH184" s="600"/>
    </row>
    <row r="185" spans="1:35" ht="21" customHeight="1">
      <c r="A185" s="785"/>
      <c r="B185" s="354"/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  <c r="M185" s="139"/>
      <c r="N185" s="786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600"/>
    </row>
    <row r="186" spans="1:35" ht="21.95" customHeight="1" thickBot="1">
      <c r="A186" s="1" t="s">
        <v>663</v>
      </c>
      <c r="B186" s="274"/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</row>
    <row r="187" spans="1:35" ht="21.95" customHeight="1">
      <c r="A187" s="1"/>
      <c r="B187" s="796" t="s">
        <v>664</v>
      </c>
      <c r="C187" s="51" t="s">
        <v>2</v>
      </c>
      <c r="D187" s="51"/>
      <c r="E187" s="51"/>
      <c r="F187" s="51"/>
      <c r="G187" s="798" t="s">
        <v>3</v>
      </c>
      <c r="H187" s="51"/>
      <c r="I187" s="51"/>
      <c r="J187" s="51"/>
      <c r="K187" s="798" t="s">
        <v>4</v>
      </c>
      <c r="L187" s="51"/>
      <c r="M187" s="51"/>
      <c r="N187" s="51"/>
      <c r="O187" s="798" t="s">
        <v>5</v>
      </c>
      <c r="P187" s="51"/>
      <c r="Q187" s="51"/>
      <c r="R187" s="51"/>
      <c r="S187" s="798" t="s">
        <v>6</v>
      </c>
      <c r="T187" s="51"/>
      <c r="U187" s="51"/>
      <c r="V187" s="51"/>
      <c r="W187" s="51"/>
      <c r="X187" s="802" t="s">
        <v>7</v>
      </c>
      <c r="Y187" s="51"/>
      <c r="Z187" s="548"/>
      <c r="AA187" s="7"/>
      <c r="AB187" s="522" t="s">
        <v>8</v>
      </c>
      <c r="AC187" s="51"/>
      <c r="AD187" s="51"/>
      <c r="AE187" s="425" t="s">
        <v>10</v>
      </c>
      <c r="AF187" s="51"/>
      <c r="AG187" s="51"/>
      <c r="AH187" s="51"/>
      <c r="AI187" s="523"/>
    </row>
    <row r="188" spans="1:35" ht="21.95" customHeight="1">
      <c r="A188" s="1"/>
      <c r="B188" s="796">
        <v>3701</v>
      </c>
      <c r="C188" s="55" t="s">
        <v>665</v>
      </c>
      <c r="D188" s="55"/>
      <c r="E188" s="55"/>
      <c r="F188" s="55"/>
      <c r="G188" s="799" t="s">
        <v>124</v>
      </c>
      <c r="H188" s="55"/>
      <c r="I188" s="55"/>
      <c r="J188" s="55"/>
      <c r="K188" s="799" t="s">
        <v>124</v>
      </c>
      <c r="L188" s="55"/>
      <c r="M188" s="55"/>
      <c r="N188" s="55"/>
      <c r="O188" s="799" t="s">
        <v>124</v>
      </c>
      <c r="P188" s="55"/>
      <c r="Q188" s="55"/>
      <c r="R188" s="55"/>
      <c r="S188" s="799" t="s">
        <v>125</v>
      </c>
      <c r="T188" s="55"/>
      <c r="U188" s="55"/>
      <c r="V188" s="55"/>
      <c r="W188" s="55"/>
      <c r="X188" s="803"/>
      <c r="Y188" s="55"/>
      <c r="Z188" s="602"/>
      <c r="AA188" s="14"/>
      <c r="AB188" s="603"/>
      <c r="AC188" s="55"/>
      <c r="AD188" s="55"/>
      <c r="AE188" s="604"/>
      <c r="AF188" s="55"/>
      <c r="AG188" s="55"/>
      <c r="AH188" s="55"/>
      <c r="AI188" s="605"/>
    </row>
    <row r="189" spans="1:35" ht="21.95" customHeight="1">
      <c r="B189" s="796">
        <v>3700</v>
      </c>
      <c r="C189" s="157" t="s">
        <v>535</v>
      </c>
      <c r="D189" s="157"/>
      <c r="E189" s="157"/>
      <c r="F189" s="157"/>
      <c r="G189" s="712" t="s">
        <v>535</v>
      </c>
      <c r="H189" s="157"/>
      <c r="I189" s="157"/>
      <c r="J189" s="157"/>
      <c r="K189" s="712" t="s">
        <v>535</v>
      </c>
      <c r="L189" s="157"/>
      <c r="M189" s="157"/>
      <c r="N189" s="157"/>
      <c r="O189" s="712" t="s">
        <v>535</v>
      </c>
      <c r="P189" s="157"/>
      <c r="Q189" s="157"/>
      <c r="R189" s="157"/>
      <c r="S189" s="712" t="s">
        <v>116</v>
      </c>
      <c r="T189" s="157"/>
      <c r="U189" s="157"/>
      <c r="V189" s="157"/>
      <c r="W189" s="157"/>
      <c r="X189" s="712"/>
      <c r="Y189" s="157"/>
      <c r="Z189" s="564"/>
      <c r="AA189" s="563"/>
      <c r="AB189" s="157"/>
      <c r="AC189" s="157"/>
      <c r="AD189" s="565"/>
      <c r="AE189" s="607"/>
      <c r="AF189" s="157"/>
      <c r="AG189" s="157" t="s">
        <v>28</v>
      </c>
      <c r="AH189" s="565"/>
      <c r="AI189" s="490"/>
    </row>
    <row r="190" spans="1:35" ht="21.95" customHeight="1">
      <c r="A190" s="1"/>
      <c r="B190" s="796">
        <v>8514</v>
      </c>
      <c r="C190" s="157" t="s">
        <v>124</v>
      </c>
      <c r="D190" s="157"/>
      <c r="E190" s="157"/>
      <c r="F190" s="157"/>
      <c r="G190" s="712" t="s">
        <v>124</v>
      </c>
      <c r="H190" s="157"/>
      <c r="I190" s="157"/>
      <c r="J190" s="157"/>
      <c r="K190" s="712" t="s">
        <v>124</v>
      </c>
      <c r="L190" s="157"/>
      <c r="M190" s="157"/>
      <c r="N190" s="157"/>
      <c r="O190" s="712" t="s">
        <v>124</v>
      </c>
      <c r="P190" s="157"/>
      <c r="Q190" s="157"/>
      <c r="R190" s="157"/>
      <c r="S190" s="712" t="s">
        <v>666</v>
      </c>
      <c r="T190" s="157"/>
      <c r="U190" s="157"/>
      <c r="V190" s="157"/>
      <c r="W190" s="157"/>
      <c r="X190" s="712"/>
      <c r="Y190" s="157"/>
      <c r="Z190" s="564"/>
      <c r="AA190" s="121"/>
      <c r="AB190" s="157"/>
      <c r="AC190" s="157"/>
      <c r="AD190" s="565"/>
      <c r="AE190" s="121"/>
      <c r="AF190" s="157"/>
      <c r="AG190" s="157"/>
      <c r="AH190" s="565"/>
      <c r="AI190" s="490"/>
    </row>
    <row r="191" spans="1:35" ht="21.95" customHeight="1">
      <c r="A191" s="1"/>
      <c r="B191" s="796">
        <v>8500</v>
      </c>
      <c r="C191" s="55" t="s">
        <v>11</v>
      </c>
      <c r="D191" s="55"/>
      <c r="E191" s="55"/>
      <c r="F191" s="55"/>
      <c r="G191" s="799" t="s">
        <v>11</v>
      </c>
      <c r="H191" s="55"/>
      <c r="I191" s="55"/>
      <c r="J191" s="55"/>
      <c r="K191" s="799" t="s">
        <v>11</v>
      </c>
      <c r="L191" s="55"/>
      <c r="M191" s="55"/>
      <c r="N191" s="55"/>
      <c r="O191" s="799" t="s">
        <v>11</v>
      </c>
      <c r="P191" s="55"/>
      <c r="Q191" s="55"/>
      <c r="R191" s="55"/>
      <c r="S191" s="799" t="s">
        <v>12</v>
      </c>
      <c r="T191" s="55"/>
      <c r="U191" s="55"/>
      <c r="V191" s="55"/>
      <c r="W191" s="55"/>
      <c r="X191" s="799"/>
      <c r="Y191" s="55"/>
      <c r="Z191" s="609"/>
      <c r="AA191" s="608"/>
      <c r="AB191" s="55"/>
      <c r="AC191" s="55"/>
      <c r="AD191" s="609"/>
      <c r="AE191" s="608"/>
      <c r="AF191" s="55"/>
      <c r="AG191" s="55"/>
      <c r="AH191" s="594"/>
      <c r="AI191" s="605"/>
    </row>
    <row r="192" spans="1:35" ht="21.95" customHeight="1">
      <c r="A192" s="1"/>
      <c r="B192" s="796">
        <v>8514</v>
      </c>
      <c r="C192" s="610" t="s">
        <v>124</v>
      </c>
      <c r="D192" s="610"/>
      <c r="E192" s="610"/>
      <c r="F192" s="610"/>
      <c r="G192" s="800" t="s">
        <v>124</v>
      </c>
      <c r="H192" s="610"/>
      <c r="I192" s="610"/>
      <c r="J192" s="610"/>
      <c r="K192" s="800" t="s">
        <v>124</v>
      </c>
      <c r="L192" s="610"/>
      <c r="M192" s="610"/>
      <c r="N192" s="610"/>
      <c r="O192" s="800" t="s">
        <v>124</v>
      </c>
      <c r="P192" s="610"/>
      <c r="Q192" s="610"/>
      <c r="R192" s="610"/>
      <c r="S192" s="800" t="s">
        <v>666</v>
      </c>
      <c r="T192" s="610"/>
      <c r="U192" s="610"/>
      <c r="V192" s="610"/>
      <c r="W192" s="610"/>
      <c r="X192" s="803"/>
      <c r="Y192" s="55"/>
      <c r="Z192" s="602"/>
      <c r="AA192" s="14"/>
      <c r="AB192" s="603"/>
      <c r="AC192" s="55"/>
      <c r="AD192" s="55"/>
      <c r="AE192" s="604"/>
      <c r="AF192" s="55"/>
      <c r="AG192" s="55"/>
      <c r="AH192" s="55"/>
      <c r="AI192" s="605"/>
    </row>
    <row r="193" spans="1:35" ht="21.95" customHeight="1" thickBot="1">
      <c r="A193" s="1"/>
      <c r="B193" s="797" t="s">
        <v>667</v>
      </c>
      <c r="C193" s="53" t="s">
        <v>668</v>
      </c>
      <c r="D193" s="53"/>
      <c r="E193" s="53"/>
      <c r="F193" s="53"/>
      <c r="G193" s="801" t="s">
        <v>668</v>
      </c>
      <c r="H193" s="53"/>
      <c r="I193" s="53"/>
      <c r="J193" s="53"/>
      <c r="K193" s="53" t="s">
        <v>668</v>
      </c>
      <c r="L193" s="53"/>
      <c r="M193" s="53"/>
      <c r="N193" s="53"/>
      <c r="O193" s="801" t="s">
        <v>668</v>
      </c>
      <c r="P193" s="53"/>
      <c r="Q193" s="53"/>
      <c r="R193" s="53"/>
      <c r="S193" s="801" t="s">
        <v>669</v>
      </c>
      <c r="T193" s="53"/>
      <c r="U193" s="53"/>
      <c r="V193" s="53"/>
      <c r="W193" s="53"/>
      <c r="X193" s="801"/>
      <c r="Y193" s="53"/>
      <c r="Z193" s="571"/>
      <c r="AA193" s="570"/>
      <c r="AB193" s="53"/>
      <c r="AC193" s="53"/>
      <c r="AD193" s="573"/>
      <c r="AE193" s="612"/>
      <c r="AF193" s="53"/>
      <c r="AG193" s="53" t="s">
        <v>28</v>
      </c>
      <c r="AH193" s="573"/>
      <c r="AI193" s="536"/>
    </row>
    <row r="194" spans="1:35" ht="21.95" customHeight="1">
      <c r="A194" s="1"/>
      <c r="B194" s="72"/>
      <c r="C194" s="312"/>
      <c r="F194" s="354"/>
      <c r="G194" s="312"/>
      <c r="J194" s="354"/>
      <c r="K194" s="312"/>
      <c r="N194" s="354"/>
      <c r="O194" s="312"/>
      <c r="R194" s="354"/>
      <c r="S194" s="312"/>
      <c r="V194" s="354"/>
      <c r="W194" s="354"/>
      <c r="Z194" s="354"/>
      <c r="AA194" s="354"/>
      <c r="AD194" s="354"/>
      <c r="AE194" s="354"/>
      <c r="AH194" s="354"/>
    </row>
    <row r="195" spans="1:35" ht="21.95" customHeight="1" thickBot="1">
      <c r="A195" s="1" t="s">
        <v>785</v>
      </c>
      <c r="B195" s="72"/>
      <c r="C195" s="312"/>
      <c r="F195" s="354"/>
      <c r="G195" s="312"/>
      <c r="J195" s="354"/>
      <c r="K195" s="312"/>
      <c r="N195" s="354"/>
      <c r="O195" s="312"/>
      <c r="R195" s="354"/>
      <c r="S195" s="312"/>
      <c r="V195" s="354"/>
      <c r="W195" s="354"/>
      <c r="Z195" s="354"/>
      <c r="AA195" s="354"/>
      <c r="AD195" s="354"/>
      <c r="AE195" s="354"/>
      <c r="AH195" s="354"/>
    </row>
    <row r="196" spans="1:35" ht="21.95" customHeight="1" thickBot="1">
      <c r="A196" s="861"/>
      <c r="B196" s="862" t="s">
        <v>476</v>
      </c>
      <c r="C196" s="863">
        <v>1</v>
      </c>
      <c r="D196" s="863">
        <v>2</v>
      </c>
      <c r="E196" s="863">
        <v>3</v>
      </c>
      <c r="F196" s="863">
        <v>4</v>
      </c>
      <c r="G196" s="863">
        <v>5</v>
      </c>
      <c r="H196" s="880">
        <v>6</v>
      </c>
      <c r="I196" s="880">
        <v>7</v>
      </c>
      <c r="J196" s="863">
        <v>8</v>
      </c>
      <c r="K196" s="863">
        <v>9</v>
      </c>
      <c r="L196" s="863">
        <v>10</v>
      </c>
      <c r="M196" s="863">
        <v>11</v>
      </c>
      <c r="N196" s="863">
        <v>12</v>
      </c>
      <c r="O196" s="880">
        <v>13</v>
      </c>
      <c r="P196" s="880">
        <v>14</v>
      </c>
      <c r="Q196" s="863">
        <v>15</v>
      </c>
      <c r="R196" s="863">
        <v>16</v>
      </c>
      <c r="S196" s="863">
        <v>17</v>
      </c>
      <c r="T196" s="863">
        <v>18</v>
      </c>
      <c r="U196" s="863">
        <v>19</v>
      </c>
      <c r="V196" s="880">
        <v>20</v>
      </c>
      <c r="W196" s="880">
        <v>21</v>
      </c>
      <c r="X196" s="863">
        <v>22</v>
      </c>
      <c r="Y196" s="863">
        <v>23</v>
      </c>
      <c r="Z196" s="880">
        <v>24</v>
      </c>
      <c r="AA196" s="880">
        <v>25</v>
      </c>
      <c r="AB196" s="880">
        <v>26</v>
      </c>
      <c r="AC196" s="880">
        <v>27</v>
      </c>
      <c r="AD196" s="880">
        <v>28</v>
      </c>
      <c r="AE196" s="863">
        <v>29</v>
      </c>
      <c r="AF196" s="863">
        <v>30</v>
      </c>
      <c r="AG196" s="949">
        <v>31</v>
      </c>
      <c r="AH196" s="864" t="s">
        <v>477</v>
      </c>
      <c r="AI196" s="865" t="s">
        <v>478</v>
      </c>
    </row>
    <row r="197" spans="1:35" ht="21.95" customHeight="1">
      <c r="A197" s="897"/>
      <c r="B197" s="900" t="s">
        <v>671</v>
      </c>
      <c r="C197" s="764" t="s">
        <v>491</v>
      </c>
      <c r="D197" s="764" t="s">
        <v>491</v>
      </c>
      <c r="E197" s="764" t="s">
        <v>491</v>
      </c>
      <c r="F197" s="764" t="s">
        <v>491</v>
      </c>
      <c r="G197" s="764" t="s">
        <v>491</v>
      </c>
      <c r="H197" s="764"/>
      <c r="I197" s="764"/>
      <c r="J197" s="764" t="s">
        <v>491</v>
      </c>
      <c r="K197" s="764" t="s">
        <v>491</v>
      </c>
      <c r="L197" s="764" t="s">
        <v>491</v>
      </c>
      <c r="M197" s="764" t="s">
        <v>491</v>
      </c>
      <c r="N197" s="764" t="s">
        <v>491</v>
      </c>
      <c r="O197" s="764"/>
      <c r="P197" s="764"/>
      <c r="Q197" s="764" t="s">
        <v>491</v>
      </c>
      <c r="R197" s="764" t="s">
        <v>491</v>
      </c>
      <c r="S197" s="764" t="s">
        <v>491</v>
      </c>
      <c r="T197" s="764" t="s">
        <v>491</v>
      </c>
      <c r="U197" s="764" t="s">
        <v>491</v>
      </c>
      <c r="V197" s="764"/>
      <c r="W197" s="764"/>
      <c r="X197" s="972" t="s">
        <v>491</v>
      </c>
      <c r="Y197" s="972" t="s">
        <v>491</v>
      </c>
      <c r="Z197" s="764"/>
      <c r="AA197" s="764"/>
      <c r="AB197" s="764"/>
      <c r="AC197" s="764"/>
      <c r="AD197" s="764"/>
      <c r="AE197" s="972" t="s">
        <v>491</v>
      </c>
      <c r="AF197" s="972" t="s">
        <v>491</v>
      </c>
      <c r="AG197" s="771"/>
      <c r="AH197" s="901">
        <v>74</v>
      </c>
      <c r="AI197" s="902">
        <v>37</v>
      </c>
    </row>
    <row r="198" spans="1:35" ht="21.95" customHeight="1">
      <c r="A198" s="614">
        <v>8500</v>
      </c>
      <c r="B198" s="790" t="s">
        <v>156</v>
      </c>
      <c r="C198" s="768" t="s">
        <v>491</v>
      </c>
      <c r="D198" s="768" t="s">
        <v>491</v>
      </c>
      <c r="E198" s="768" t="s">
        <v>491</v>
      </c>
      <c r="F198" s="768" t="s">
        <v>491</v>
      </c>
      <c r="G198" s="768" t="s">
        <v>491</v>
      </c>
      <c r="H198" s="768"/>
      <c r="I198" s="768"/>
      <c r="J198" s="768" t="s">
        <v>491</v>
      </c>
      <c r="K198" s="768" t="s">
        <v>491</v>
      </c>
      <c r="L198" s="768" t="s">
        <v>491</v>
      </c>
      <c r="M198" s="768" t="s">
        <v>491</v>
      </c>
      <c r="N198" s="768" t="s">
        <v>491</v>
      </c>
      <c r="O198" s="768"/>
      <c r="P198" s="768"/>
      <c r="Q198" s="768" t="s">
        <v>491</v>
      </c>
      <c r="R198" s="768" t="s">
        <v>491</v>
      </c>
      <c r="S198" s="768" t="s">
        <v>491</v>
      </c>
      <c r="T198" s="768" t="s">
        <v>491</v>
      </c>
      <c r="U198" s="768" t="s">
        <v>491</v>
      </c>
      <c r="V198" s="768"/>
      <c r="W198" s="768"/>
      <c r="X198" s="977" t="s">
        <v>491</v>
      </c>
      <c r="Y198" s="977" t="s">
        <v>491</v>
      </c>
      <c r="Z198" s="768"/>
      <c r="AA198" s="768"/>
      <c r="AB198" s="768"/>
      <c r="AC198" s="768"/>
      <c r="AD198" s="768"/>
      <c r="AE198" s="977" t="s">
        <v>491</v>
      </c>
      <c r="AF198" s="977" t="s">
        <v>491</v>
      </c>
      <c r="AG198" s="769"/>
      <c r="AH198" s="597">
        <v>37</v>
      </c>
      <c r="AI198" s="598">
        <v>37</v>
      </c>
    </row>
    <row r="199" spans="1:35" ht="21" customHeight="1">
      <c r="A199" s="442"/>
      <c r="B199" s="789" t="s">
        <v>672</v>
      </c>
      <c r="C199" s="768" t="s">
        <v>491</v>
      </c>
      <c r="D199" s="768" t="s">
        <v>491</v>
      </c>
      <c r="E199" s="768" t="s">
        <v>491</v>
      </c>
      <c r="F199" s="768" t="s">
        <v>491</v>
      </c>
      <c r="G199" s="768" t="s">
        <v>491</v>
      </c>
      <c r="H199" s="768"/>
      <c r="I199" s="768"/>
      <c r="J199" s="768" t="s">
        <v>491</v>
      </c>
      <c r="K199" s="768" t="s">
        <v>491</v>
      </c>
      <c r="L199" s="768" t="s">
        <v>491</v>
      </c>
      <c r="M199" s="768" t="s">
        <v>491</v>
      </c>
      <c r="N199" s="768" t="s">
        <v>491</v>
      </c>
      <c r="O199" s="768"/>
      <c r="P199" s="768"/>
      <c r="Q199" s="768" t="s">
        <v>491</v>
      </c>
      <c r="R199" s="768" t="s">
        <v>491</v>
      </c>
      <c r="S199" s="768" t="s">
        <v>491</v>
      </c>
      <c r="T199" s="768" t="s">
        <v>491</v>
      </c>
      <c r="U199" s="768" t="s">
        <v>491</v>
      </c>
      <c r="V199" s="768"/>
      <c r="W199" s="768"/>
      <c r="X199" s="970" t="s">
        <v>491</v>
      </c>
      <c r="Y199" s="970" t="s">
        <v>491</v>
      </c>
      <c r="Z199" s="768"/>
      <c r="AA199" s="768"/>
      <c r="AB199" s="768"/>
      <c r="AC199" s="768"/>
      <c r="AD199" s="768"/>
      <c r="AE199" s="970" t="s">
        <v>491</v>
      </c>
      <c r="AF199" s="768" t="s">
        <v>491</v>
      </c>
      <c r="AG199" s="769"/>
      <c r="AH199" s="597">
        <v>67</v>
      </c>
      <c r="AI199" s="598">
        <v>37</v>
      </c>
    </row>
    <row r="200" spans="1:35" ht="21" customHeight="1">
      <c r="A200" s="442">
        <v>8521</v>
      </c>
      <c r="B200" s="789" t="s">
        <v>673</v>
      </c>
      <c r="C200" s="768" t="s">
        <v>491</v>
      </c>
      <c r="D200" s="768" t="s">
        <v>491</v>
      </c>
      <c r="E200" s="768" t="s">
        <v>491</v>
      </c>
      <c r="F200" s="768" t="s">
        <v>491</v>
      </c>
      <c r="G200" s="768" t="s">
        <v>491</v>
      </c>
      <c r="H200" s="768"/>
      <c r="I200" s="768"/>
      <c r="J200" s="768" t="s">
        <v>491</v>
      </c>
      <c r="K200" s="768" t="s">
        <v>491</v>
      </c>
      <c r="L200" s="768" t="s">
        <v>491</v>
      </c>
      <c r="M200" s="768" t="s">
        <v>491</v>
      </c>
      <c r="N200" s="768" t="s">
        <v>491</v>
      </c>
      <c r="O200" s="768"/>
      <c r="P200" s="768"/>
      <c r="Q200" s="768" t="s">
        <v>491</v>
      </c>
      <c r="R200" s="768" t="s">
        <v>491</v>
      </c>
      <c r="S200" s="768" t="s">
        <v>491</v>
      </c>
      <c r="T200" s="768" t="s">
        <v>491</v>
      </c>
      <c r="U200" s="768" t="s">
        <v>491</v>
      </c>
      <c r="V200" s="768"/>
      <c r="W200" s="768"/>
      <c r="X200" s="768" t="s">
        <v>491</v>
      </c>
      <c r="Y200" s="768" t="s">
        <v>491</v>
      </c>
      <c r="Z200" s="768"/>
      <c r="AA200" s="768"/>
      <c r="AB200" s="768"/>
      <c r="AC200" s="768"/>
      <c r="AD200" s="768"/>
      <c r="AE200" s="768" t="s">
        <v>491</v>
      </c>
      <c r="AF200" s="768" t="s">
        <v>491</v>
      </c>
      <c r="AG200" s="769"/>
      <c r="AH200" s="597">
        <v>111</v>
      </c>
      <c r="AI200" s="598">
        <v>37</v>
      </c>
    </row>
    <row r="201" spans="1:35" ht="21" customHeight="1">
      <c r="A201" s="442"/>
      <c r="B201" s="791" t="s">
        <v>674</v>
      </c>
      <c r="C201" s="768" t="s">
        <v>491</v>
      </c>
      <c r="D201" s="768" t="s">
        <v>491</v>
      </c>
      <c r="E201" s="768" t="s">
        <v>491</v>
      </c>
      <c r="F201" s="768" t="s">
        <v>491</v>
      </c>
      <c r="G201" s="977" t="s">
        <v>491</v>
      </c>
      <c r="H201" s="768"/>
      <c r="I201" s="768"/>
      <c r="J201" s="768" t="s">
        <v>491</v>
      </c>
      <c r="K201" s="768" t="s">
        <v>491</v>
      </c>
      <c r="L201" s="768" t="s">
        <v>491</v>
      </c>
      <c r="M201" s="768" t="s">
        <v>491</v>
      </c>
      <c r="N201" s="768" t="s">
        <v>491</v>
      </c>
      <c r="O201" s="768"/>
      <c r="P201" s="768"/>
      <c r="Q201" s="768" t="s">
        <v>491</v>
      </c>
      <c r="R201" s="768" t="s">
        <v>491</v>
      </c>
      <c r="S201" s="768" t="s">
        <v>491</v>
      </c>
      <c r="T201" s="768" t="s">
        <v>491</v>
      </c>
      <c r="U201" s="768" t="s">
        <v>491</v>
      </c>
      <c r="V201" s="768"/>
      <c r="W201" s="768"/>
      <c r="X201" s="970" t="s">
        <v>491</v>
      </c>
      <c r="Y201" s="970" t="s">
        <v>491</v>
      </c>
      <c r="Z201" s="768"/>
      <c r="AA201" s="768"/>
      <c r="AB201" s="768"/>
      <c r="AC201" s="768"/>
      <c r="AD201" s="768"/>
      <c r="AE201" s="970" t="s">
        <v>491</v>
      </c>
      <c r="AF201" s="970" t="s">
        <v>491</v>
      </c>
      <c r="AG201" s="769"/>
      <c r="AH201" s="597">
        <v>37</v>
      </c>
      <c r="AI201" s="598">
        <v>37</v>
      </c>
    </row>
    <row r="202" spans="1:35" ht="21" customHeight="1">
      <c r="A202" s="442">
        <v>8514</v>
      </c>
      <c r="B202" s="542" t="s">
        <v>675</v>
      </c>
      <c r="C202" s="768" t="s">
        <v>491</v>
      </c>
      <c r="D202" s="768" t="s">
        <v>491</v>
      </c>
      <c r="E202" s="768" t="s">
        <v>491</v>
      </c>
      <c r="F202" s="768" t="s">
        <v>491</v>
      </c>
      <c r="G202" s="768" t="s">
        <v>491</v>
      </c>
      <c r="H202" s="768"/>
      <c r="I202" s="768"/>
      <c r="J202" s="768" t="s">
        <v>491</v>
      </c>
      <c r="K202" s="768" t="s">
        <v>491</v>
      </c>
      <c r="L202" s="768" t="s">
        <v>491</v>
      </c>
      <c r="M202" s="768" t="s">
        <v>491</v>
      </c>
      <c r="N202" s="768" t="s">
        <v>491</v>
      </c>
      <c r="O202" s="768"/>
      <c r="P202" s="768"/>
      <c r="Q202" s="768" t="s">
        <v>491</v>
      </c>
      <c r="R202" s="768" t="s">
        <v>491</v>
      </c>
      <c r="S202" s="768" t="s">
        <v>491</v>
      </c>
      <c r="T202" s="768" t="s">
        <v>491</v>
      </c>
      <c r="U202" s="768" t="s">
        <v>491</v>
      </c>
      <c r="V202" s="768"/>
      <c r="W202" s="768"/>
      <c r="X202" s="768" t="s">
        <v>491</v>
      </c>
      <c r="Y202" s="768" t="s">
        <v>491</v>
      </c>
      <c r="Z202" s="768"/>
      <c r="AA202" s="768"/>
      <c r="AB202" s="768"/>
      <c r="AC202" s="768"/>
      <c r="AD202" s="768"/>
      <c r="AE202" s="768" t="s">
        <v>491</v>
      </c>
      <c r="AF202" s="768" t="s">
        <v>491</v>
      </c>
      <c r="AG202" s="769"/>
      <c r="AH202" s="597">
        <v>38</v>
      </c>
      <c r="AI202" s="598">
        <v>37</v>
      </c>
    </row>
    <row r="203" spans="1:35" ht="21.95" customHeight="1">
      <c r="A203" s="442">
        <v>3701</v>
      </c>
      <c r="B203" s="789" t="s">
        <v>433</v>
      </c>
      <c r="C203" s="768" t="s">
        <v>491</v>
      </c>
      <c r="D203" s="768" t="s">
        <v>491</v>
      </c>
      <c r="E203" s="768" t="s">
        <v>491</v>
      </c>
      <c r="F203" s="768" t="s">
        <v>491</v>
      </c>
      <c r="G203" s="768" t="s">
        <v>491</v>
      </c>
      <c r="H203" s="768"/>
      <c r="I203" s="768"/>
      <c r="J203" s="768" t="s">
        <v>491</v>
      </c>
      <c r="K203" s="768" t="s">
        <v>491</v>
      </c>
      <c r="L203" s="768" t="s">
        <v>491</v>
      </c>
      <c r="M203" s="768" t="s">
        <v>491</v>
      </c>
      <c r="N203" s="768" t="s">
        <v>491</v>
      </c>
      <c r="O203" s="768"/>
      <c r="P203" s="768"/>
      <c r="Q203" s="768" t="s">
        <v>491</v>
      </c>
      <c r="R203" s="768" t="s">
        <v>491</v>
      </c>
      <c r="S203" s="768" t="s">
        <v>491</v>
      </c>
      <c r="T203" s="768" t="s">
        <v>491</v>
      </c>
      <c r="U203" s="768" t="s">
        <v>491</v>
      </c>
      <c r="V203" s="768"/>
      <c r="W203" s="768"/>
      <c r="X203" s="768" t="s">
        <v>491</v>
      </c>
      <c r="Y203" s="768" t="s">
        <v>491</v>
      </c>
      <c r="Z203" s="768"/>
      <c r="AA203" s="768"/>
      <c r="AB203" s="768"/>
      <c r="AC203" s="768"/>
      <c r="AD203" s="768"/>
      <c r="AE203" s="768" t="s">
        <v>491</v>
      </c>
      <c r="AF203" s="768" t="s">
        <v>491</v>
      </c>
      <c r="AG203" s="769"/>
      <c r="AH203" s="597">
        <v>74</v>
      </c>
      <c r="AI203" s="598">
        <v>37</v>
      </c>
    </row>
    <row r="204" spans="1:35" ht="21.95" customHeight="1">
      <c r="A204" s="442">
        <v>3701</v>
      </c>
      <c r="B204" s="789" t="s">
        <v>662</v>
      </c>
      <c r="C204" s="768" t="s">
        <v>491</v>
      </c>
      <c r="D204" s="768" t="s">
        <v>491</v>
      </c>
      <c r="E204" s="768" t="s">
        <v>491</v>
      </c>
      <c r="F204" s="768" t="s">
        <v>491</v>
      </c>
      <c r="G204" s="768" t="s">
        <v>491</v>
      </c>
      <c r="H204" s="768"/>
      <c r="I204" s="768"/>
      <c r="J204" s="768" t="s">
        <v>491</v>
      </c>
      <c r="K204" s="768" t="s">
        <v>491</v>
      </c>
      <c r="L204" s="768" t="s">
        <v>491</v>
      </c>
      <c r="M204" s="768" t="s">
        <v>491</v>
      </c>
      <c r="N204" s="768" t="s">
        <v>491</v>
      </c>
      <c r="O204" s="768"/>
      <c r="P204" s="768"/>
      <c r="Q204" s="768" t="s">
        <v>491</v>
      </c>
      <c r="R204" s="768" t="s">
        <v>491</v>
      </c>
      <c r="S204" s="768" t="s">
        <v>491</v>
      </c>
      <c r="T204" s="768" t="s">
        <v>491</v>
      </c>
      <c r="U204" s="768" t="s">
        <v>491</v>
      </c>
      <c r="V204" s="768"/>
      <c r="W204" s="768"/>
      <c r="X204" s="764">
        <v>19</v>
      </c>
      <c r="Y204" s="764">
        <v>19</v>
      </c>
      <c r="Z204" s="764"/>
      <c r="AA204" s="764"/>
      <c r="AB204" s="764"/>
      <c r="AC204" s="768"/>
      <c r="AD204" s="768"/>
      <c r="AE204" s="977" t="s">
        <v>491</v>
      </c>
      <c r="AF204" s="977" t="s">
        <v>491</v>
      </c>
      <c r="AG204" s="769"/>
      <c r="AH204" s="597">
        <v>185</v>
      </c>
      <c r="AI204" s="598">
        <v>37</v>
      </c>
    </row>
    <row r="205" spans="1:35" ht="21.95" customHeight="1">
      <c r="A205" s="442">
        <v>3701</v>
      </c>
      <c r="B205" s="789" t="s">
        <v>438</v>
      </c>
      <c r="C205" s="764">
        <v>19</v>
      </c>
      <c r="D205" s="764">
        <v>19</v>
      </c>
      <c r="E205" s="764">
        <v>19</v>
      </c>
      <c r="F205" s="764">
        <v>19</v>
      </c>
      <c r="G205" s="764">
        <v>19</v>
      </c>
      <c r="H205" s="768"/>
      <c r="I205" s="768"/>
      <c r="J205" s="768" t="s">
        <v>491</v>
      </c>
      <c r="K205" s="768" t="s">
        <v>491</v>
      </c>
      <c r="L205" s="768" t="s">
        <v>491</v>
      </c>
      <c r="M205" s="768" t="s">
        <v>491</v>
      </c>
      <c r="N205" s="768" t="s">
        <v>491</v>
      </c>
      <c r="O205" s="768"/>
      <c r="P205" s="768"/>
      <c r="Q205" s="1144" t="s">
        <v>491</v>
      </c>
      <c r="R205" s="1144" t="s">
        <v>491</v>
      </c>
      <c r="S205" s="1144" t="s">
        <v>491</v>
      </c>
      <c r="T205" s="1144" t="s">
        <v>491</v>
      </c>
      <c r="U205" s="1144" t="s">
        <v>491</v>
      </c>
      <c r="V205" s="1144"/>
      <c r="W205" s="1144"/>
      <c r="X205" s="1213" t="s">
        <v>485</v>
      </c>
      <c r="Y205" s="1213" t="s">
        <v>485</v>
      </c>
      <c r="Z205" s="764"/>
      <c r="AA205" s="764"/>
      <c r="AB205" s="764"/>
      <c r="AC205" s="768"/>
      <c r="AD205" s="768"/>
      <c r="AE205" s="1144" t="s">
        <v>491</v>
      </c>
      <c r="AF205" s="1144" t="s">
        <v>491</v>
      </c>
      <c r="AG205" s="769"/>
      <c r="AH205" s="597">
        <v>2</v>
      </c>
      <c r="AI205" s="598">
        <v>37</v>
      </c>
    </row>
    <row r="206" spans="1:35" ht="21.95" customHeight="1">
      <c r="A206" s="442">
        <v>3701</v>
      </c>
      <c r="B206" s="789" t="s">
        <v>439</v>
      </c>
      <c r="C206" s="764" t="s">
        <v>485</v>
      </c>
      <c r="D206" s="764" t="s">
        <v>485</v>
      </c>
      <c r="E206" s="764" t="s">
        <v>485</v>
      </c>
      <c r="F206" s="764" t="s">
        <v>485</v>
      </c>
      <c r="G206" s="764" t="s">
        <v>485</v>
      </c>
      <c r="H206" s="768"/>
      <c r="I206" s="768"/>
      <c r="J206" s="768" t="s">
        <v>491</v>
      </c>
      <c r="K206" s="768" t="s">
        <v>491</v>
      </c>
      <c r="L206" s="768" t="s">
        <v>491</v>
      </c>
      <c r="M206" s="768" t="s">
        <v>491</v>
      </c>
      <c r="N206" s="768" t="s">
        <v>491</v>
      </c>
      <c r="O206" s="768"/>
      <c r="P206" s="768"/>
      <c r="Q206" s="764">
        <v>19</v>
      </c>
      <c r="R206" s="764">
        <v>19</v>
      </c>
      <c r="S206" s="764">
        <v>19</v>
      </c>
      <c r="T206" s="764">
        <v>19</v>
      </c>
      <c r="U206" s="764">
        <v>19</v>
      </c>
      <c r="V206" s="768"/>
      <c r="W206" s="768"/>
      <c r="X206" s="768" t="s">
        <v>491</v>
      </c>
      <c r="Y206" s="977" t="s">
        <v>491</v>
      </c>
      <c r="Z206" s="768"/>
      <c r="AA206" s="768"/>
      <c r="AB206" s="768"/>
      <c r="AC206" s="768"/>
      <c r="AD206" s="768"/>
      <c r="AE206" s="970" t="s">
        <v>491</v>
      </c>
      <c r="AF206" s="970" t="s">
        <v>491</v>
      </c>
      <c r="AG206" s="769"/>
      <c r="AH206" s="597">
        <v>2.5</v>
      </c>
      <c r="AI206" s="598">
        <v>37</v>
      </c>
    </row>
    <row r="207" spans="1:35" ht="21.95" customHeight="1">
      <c r="A207" s="442">
        <v>3701</v>
      </c>
      <c r="B207" s="789" t="s">
        <v>677</v>
      </c>
      <c r="C207" s="1038" t="s">
        <v>491</v>
      </c>
      <c r="D207" s="1038" t="s">
        <v>491</v>
      </c>
      <c r="E207" s="1038" t="s">
        <v>491</v>
      </c>
      <c r="F207" s="1038" t="s">
        <v>493</v>
      </c>
      <c r="G207" s="987" t="s">
        <v>491</v>
      </c>
      <c r="H207" s="768"/>
      <c r="I207" s="768"/>
      <c r="J207" s="764">
        <v>19</v>
      </c>
      <c r="K207" s="764">
        <v>19</v>
      </c>
      <c r="L207" s="764">
        <v>19</v>
      </c>
      <c r="M207" s="764">
        <v>19</v>
      </c>
      <c r="N207" s="764">
        <v>19</v>
      </c>
      <c r="O207" s="768"/>
      <c r="P207" s="768"/>
      <c r="Q207" s="764" t="s">
        <v>485</v>
      </c>
      <c r="R207" s="764" t="s">
        <v>485</v>
      </c>
      <c r="S207" s="764" t="s">
        <v>485</v>
      </c>
      <c r="T207" s="764" t="s">
        <v>485</v>
      </c>
      <c r="U207" s="764" t="s">
        <v>485</v>
      </c>
      <c r="V207" s="768"/>
      <c r="W207" s="768"/>
      <c r="X207" s="768" t="s">
        <v>491</v>
      </c>
      <c r="Y207" s="768" t="s">
        <v>491</v>
      </c>
      <c r="Z207" s="768"/>
      <c r="AA207" s="768"/>
      <c r="AB207" s="768"/>
      <c r="AC207" s="768"/>
      <c r="AD207" s="768"/>
      <c r="AE207" s="977" t="s">
        <v>491</v>
      </c>
      <c r="AF207" s="977" t="s">
        <v>491</v>
      </c>
      <c r="AG207" s="769"/>
      <c r="AH207" s="597">
        <v>84.25</v>
      </c>
      <c r="AI207" s="598">
        <v>37</v>
      </c>
    </row>
    <row r="208" spans="1:35" ht="21.95" customHeight="1">
      <c r="A208" s="442">
        <v>3701</v>
      </c>
      <c r="B208" s="542" t="s">
        <v>678</v>
      </c>
      <c r="C208" s="768" t="s">
        <v>491</v>
      </c>
      <c r="D208" s="768" t="s">
        <v>491</v>
      </c>
      <c r="E208" s="768" t="s">
        <v>491</v>
      </c>
      <c r="F208" s="768" t="s">
        <v>491</v>
      </c>
      <c r="G208" s="768" t="s">
        <v>491</v>
      </c>
      <c r="H208" s="768"/>
      <c r="I208" s="768"/>
      <c r="J208" s="768" t="s">
        <v>491</v>
      </c>
      <c r="K208" s="768" t="s">
        <v>491</v>
      </c>
      <c r="L208" s="768" t="s">
        <v>491</v>
      </c>
      <c r="M208" s="1038" t="s">
        <v>491</v>
      </c>
      <c r="N208" s="1038" t="s">
        <v>491</v>
      </c>
      <c r="O208" s="1038"/>
      <c r="P208" s="1038"/>
      <c r="Q208" s="1038" t="s">
        <v>491</v>
      </c>
      <c r="R208" s="1038" t="s">
        <v>491</v>
      </c>
      <c r="S208" s="1038" t="s">
        <v>493</v>
      </c>
      <c r="T208" s="768" t="s">
        <v>491</v>
      </c>
      <c r="U208" s="768" t="s">
        <v>491</v>
      </c>
      <c r="V208" s="768"/>
      <c r="W208" s="768"/>
      <c r="X208" s="1144" t="s">
        <v>491</v>
      </c>
      <c r="Y208" s="1144" t="s">
        <v>491</v>
      </c>
      <c r="Z208" s="768"/>
      <c r="AA208" s="768"/>
      <c r="AB208" s="768"/>
      <c r="AC208" s="764"/>
      <c r="AD208" s="764"/>
      <c r="AE208" s="1144">
        <v>19</v>
      </c>
      <c r="AF208" s="977">
        <v>19</v>
      </c>
      <c r="AG208" s="764"/>
      <c r="AH208" s="597">
        <v>23</v>
      </c>
      <c r="AI208" s="598">
        <v>37</v>
      </c>
    </row>
    <row r="209" spans="1:35" ht="21.95" customHeight="1">
      <c r="A209" s="442">
        <v>3701</v>
      </c>
      <c r="B209" s="821" t="s">
        <v>679</v>
      </c>
      <c r="C209" s="1038" t="s">
        <v>491</v>
      </c>
      <c r="D209" s="1038" t="s">
        <v>491</v>
      </c>
      <c r="E209" s="1038" t="s">
        <v>491</v>
      </c>
      <c r="F209" s="1038" t="s">
        <v>491</v>
      </c>
      <c r="G209" s="1038" t="s">
        <v>491</v>
      </c>
      <c r="H209" s="1038"/>
      <c r="I209" s="1038"/>
      <c r="J209" s="1000" t="s">
        <v>493</v>
      </c>
      <c r="K209" s="764" t="s">
        <v>485</v>
      </c>
      <c r="L209" s="764" t="s">
        <v>485</v>
      </c>
      <c r="M209" s="764" t="s">
        <v>485</v>
      </c>
      <c r="N209" s="764" t="s">
        <v>485</v>
      </c>
      <c r="O209" s="768"/>
      <c r="P209" s="768"/>
      <c r="Q209" s="1144" t="s">
        <v>491</v>
      </c>
      <c r="R209" s="1144" t="s">
        <v>491</v>
      </c>
      <c r="S209" s="1144" t="s">
        <v>491</v>
      </c>
      <c r="T209" s="1144" t="s">
        <v>491</v>
      </c>
      <c r="U209" s="1144" t="s">
        <v>491</v>
      </c>
      <c r="V209" s="1144"/>
      <c r="W209" s="1144"/>
      <c r="X209" s="1144" t="s">
        <v>491</v>
      </c>
      <c r="Y209" s="1144" t="s">
        <v>491</v>
      </c>
      <c r="Z209" s="768"/>
      <c r="AA209" s="768"/>
      <c r="AB209" s="768"/>
      <c r="AC209" s="768"/>
      <c r="AD209" s="768"/>
      <c r="AE209" s="1144" t="s">
        <v>491</v>
      </c>
      <c r="AF209" s="1144" t="s">
        <v>491</v>
      </c>
      <c r="AG209" s="769"/>
      <c r="AH209" s="597">
        <v>78.25</v>
      </c>
      <c r="AI209" s="598">
        <v>37</v>
      </c>
    </row>
    <row r="210" spans="1:35" ht="21.95" customHeight="1">
      <c r="A210" s="820">
        <v>3701</v>
      </c>
      <c r="B210" s="792" t="s">
        <v>680</v>
      </c>
      <c r="C210" s="768" t="s">
        <v>491</v>
      </c>
      <c r="D210" s="768" t="s">
        <v>491</v>
      </c>
      <c r="E210" s="768" t="s">
        <v>491</v>
      </c>
      <c r="F210" s="768" t="s">
        <v>491</v>
      </c>
      <c r="G210" s="768" t="s">
        <v>491</v>
      </c>
      <c r="H210" s="768"/>
      <c r="I210" s="768"/>
      <c r="J210" s="768" t="s">
        <v>491</v>
      </c>
      <c r="K210" s="768" t="s">
        <v>491</v>
      </c>
      <c r="L210" s="768" t="s">
        <v>491</v>
      </c>
      <c r="M210" s="768" t="s">
        <v>491</v>
      </c>
      <c r="N210" s="768" t="s">
        <v>491</v>
      </c>
      <c r="O210" s="768"/>
      <c r="P210" s="768"/>
      <c r="Q210" s="768" t="s">
        <v>491</v>
      </c>
      <c r="R210" s="768" t="s">
        <v>491</v>
      </c>
      <c r="S210" s="768" t="s">
        <v>491</v>
      </c>
      <c r="T210" s="768" t="s">
        <v>491</v>
      </c>
      <c r="U210" s="768" t="s">
        <v>491</v>
      </c>
      <c r="V210" s="768"/>
      <c r="W210" s="768"/>
      <c r="X210" s="1144" t="s">
        <v>491</v>
      </c>
      <c r="Y210" s="1144" t="s">
        <v>491</v>
      </c>
      <c r="Z210" s="768"/>
      <c r="AA210" s="768"/>
      <c r="AB210" s="768"/>
      <c r="AC210" s="768"/>
      <c r="AD210" s="768"/>
      <c r="AE210" s="970" t="s">
        <v>491</v>
      </c>
      <c r="AF210" s="970" t="s">
        <v>491</v>
      </c>
      <c r="AG210" s="768"/>
      <c r="AH210" s="597">
        <v>74</v>
      </c>
      <c r="AI210" s="598">
        <v>37</v>
      </c>
    </row>
    <row r="211" spans="1:35" ht="21.95" customHeight="1" thickBot="1">
      <c r="A211" s="442">
        <v>3701</v>
      </c>
      <c r="B211" s="904" t="s">
        <v>681</v>
      </c>
      <c r="C211" s="768" t="s">
        <v>491</v>
      </c>
      <c r="D211" s="768" t="s">
        <v>491</v>
      </c>
      <c r="E211" s="768" t="s">
        <v>491</v>
      </c>
      <c r="F211" s="768" t="s">
        <v>491</v>
      </c>
      <c r="G211" s="768" t="s">
        <v>491</v>
      </c>
      <c r="H211" s="768"/>
      <c r="I211" s="768"/>
      <c r="J211" s="768" t="s">
        <v>491</v>
      </c>
      <c r="K211" s="768" t="s">
        <v>491</v>
      </c>
      <c r="L211" s="768" t="s">
        <v>491</v>
      </c>
      <c r="M211" s="768" t="s">
        <v>491</v>
      </c>
      <c r="N211" s="1038" t="s">
        <v>493</v>
      </c>
      <c r="O211" s="768"/>
      <c r="P211" s="768"/>
      <c r="Q211" s="768" t="s">
        <v>491</v>
      </c>
      <c r="R211" s="768" t="s">
        <v>491</v>
      </c>
      <c r="S211" s="768" t="s">
        <v>491</v>
      </c>
      <c r="T211" s="768" t="s">
        <v>491</v>
      </c>
      <c r="U211" s="768" t="s">
        <v>491</v>
      </c>
      <c r="V211" s="768"/>
      <c r="W211" s="768"/>
      <c r="X211" s="768" t="s">
        <v>491</v>
      </c>
      <c r="Y211" s="768" t="s">
        <v>491</v>
      </c>
      <c r="Z211" s="768"/>
      <c r="AA211" s="768"/>
      <c r="AB211" s="768"/>
      <c r="AC211" s="768"/>
      <c r="AD211" s="768"/>
      <c r="AE211" s="970" t="s">
        <v>491</v>
      </c>
      <c r="AF211" s="970" t="s">
        <v>491</v>
      </c>
      <c r="AG211" s="769"/>
      <c r="AH211" s="597">
        <v>96</v>
      </c>
      <c r="AI211" s="598">
        <v>37</v>
      </c>
    </row>
    <row r="212" spans="1:35" ht="21.95" customHeight="1">
      <c r="A212" s="442">
        <v>3701</v>
      </c>
      <c r="B212" s="789" t="s">
        <v>436</v>
      </c>
      <c r="C212" s="768" t="s">
        <v>491</v>
      </c>
      <c r="D212" s="768" t="s">
        <v>491</v>
      </c>
      <c r="E212" s="768" t="s">
        <v>491</v>
      </c>
      <c r="F212" s="768" t="s">
        <v>491</v>
      </c>
      <c r="G212" s="768" t="s">
        <v>491</v>
      </c>
      <c r="H212" s="768"/>
      <c r="I212" s="768"/>
      <c r="J212" s="977" t="s">
        <v>491</v>
      </c>
      <c r="K212" s="768" t="s">
        <v>491</v>
      </c>
      <c r="L212" s="768" t="s">
        <v>491</v>
      </c>
      <c r="M212" s="768" t="s">
        <v>491</v>
      </c>
      <c r="N212" s="768" t="s">
        <v>491</v>
      </c>
      <c r="O212" s="768"/>
      <c r="P212" s="768"/>
      <c r="Q212" s="768" t="s">
        <v>491</v>
      </c>
      <c r="R212" s="768" t="s">
        <v>491</v>
      </c>
      <c r="S212" s="768" t="s">
        <v>491</v>
      </c>
      <c r="T212" s="768" t="s">
        <v>491</v>
      </c>
      <c r="U212" s="768" t="s">
        <v>491</v>
      </c>
      <c r="V212" s="768"/>
      <c r="W212" s="768"/>
      <c r="X212" s="768" t="s">
        <v>491</v>
      </c>
      <c r="Y212" s="768" t="s">
        <v>491</v>
      </c>
      <c r="Z212" s="768"/>
      <c r="AA212" s="768"/>
      <c r="AB212" s="768"/>
      <c r="AC212" s="768"/>
      <c r="AD212" s="768"/>
      <c r="AE212" s="970" t="s">
        <v>491</v>
      </c>
      <c r="AF212" s="970" t="s">
        <v>491</v>
      </c>
      <c r="AG212" s="769"/>
      <c r="AH212" s="597">
        <v>74</v>
      </c>
      <c r="AI212" s="598">
        <v>37</v>
      </c>
    </row>
    <row r="213" spans="1:35" ht="21.95" customHeight="1" thickBot="1">
      <c r="A213" s="442">
        <v>3701</v>
      </c>
      <c r="B213" s="904" t="s">
        <v>787</v>
      </c>
      <c r="C213" s="768" t="s">
        <v>491</v>
      </c>
      <c r="D213" s="768" t="s">
        <v>491</v>
      </c>
      <c r="E213" s="768" t="s">
        <v>491</v>
      </c>
      <c r="F213" s="768" t="s">
        <v>491</v>
      </c>
      <c r="G213" s="768" t="s">
        <v>491</v>
      </c>
      <c r="H213" s="768"/>
      <c r="I213" s="768"/>
      <c r="J213" s="768" t="s">
        <v>491</v>
      </c>
      <c r="K213" s="768" t="s">
        <v>491</v>
      </c>
      <c r="L213" s="768" t="s">
        <v>491</v>
      </c>
      <c r="M213" s="768" t="s">
        <v>491</v>
      </c>
      <c r="N213" s="768" t="s">
        <v>491</v>
      </c>
      <c r="O213" s="768"/>
      <c r="P213" s="768"/>
      <c r="Q213" s="768" t="s">
        <v>491</v>
      </c>
      <c r="R213" s="768" t="s">
        <v>491</v>
      </c>
      <c r="S213" s="1131" t="s">
        <v>491</v>
      </c>
      <c r="T213" s="768" t="s">
        <v>491</v>
      </c>
      <c r="U213" s="768" t="s">
        <v>491</v>
      </c>
      <c r="V213" s="768"/>
      <c r="W213" s="768"/>
      <c r="X213" s="768" t="s">
        <v>491</v>
      </c>
      <c r="Y213" s="768" t="s">
        <v>491</v>
      </c>
      <c r="Z213" s="768"/>
      <c r="AA213" s="768"/>
      <c r="AB213" s="768"/>
      <c r="AC213" s="768"/>
      <c r="AD213" s="768"/>
      <c r="AE213" s="768" t="s">
        <v>491</v>
      </c>
      <c r="AF213" s="768" t="s">
        <v>491</v>
      </c>
      <c r="AG213" s="769"/>
      <c r="AH213" s="597">
        <v>185</v>
      </c>
      <c r="AI213" s="598">
        <v>37</v>
      </c>
    </row>
    <row r="214" spans="1:35" ht="21.95" customHeight="1" thickBot="1">
      <c r="A214" s="903">
        <v>3701</v>
      </c>
      <c r="B214" s="904" t="s">
        <v>788</v>
      </c>
      <c r="C214" s="768" t="s">
        <v>491</v>
      </c>
      <c r="D214" s="768" t="s">
        <v>491</v>
      </c>
      <c r="E214" s="768" t="s">
        <v>491</v>
      </c>
      <c r="F214" s="768" t="s">
        <v>491</v>
      </c>
      <c r="G214" s="768" t="s">
        <v>491</v>
      </c>
      <c r="H214" s="768"/>
      <c r="I214" s="768"/>
      <c r="J214" s="768" t="s">
        <v>491</v>
      </c>
      <c r="K214" s="768" t="s">
        <v>491</v>
      </c>
      <c r="L214" s="768" t="s">
        <v>491</v>
      </c>
      <c r="M214" s="768" t="s">
        <v>491</v>
      </c>
      <c r="N214" s="768" t="s">
        <v>491</v>
      </c>
      <c r="O214" s="768"/>
      <c r="P214" s="768"/>
      <c r="Q214" s="768" t="s">
        <v>491</v>
      </c>
      <c r="R214" s="768" t="s">
        <v>491</v>
      </c>
      <c r="S214" s="1131" t="s">
        <v>491</v>
      </c>
      <c r="T214" s="768" t="s">
        <v>491</v>
      </c>
      <c r="U214" s="768" t="s">
        <v>491</v>
      </c>
      <c r="V214" s="768"/>
      <c r="W214" s="768"/>
      <c r="X214" s="768" t="s">
        <v>491</v>
      </c>
      <c r="Y214" s="768" t="s">
        <v>491</v>
      </c>
      <c r="Z214" s="768"/>
      <c r="AA214" s="768"/>
      <c r="AB214" s="768"/>
      <c r="AC214" s="768"/>
      <c r="AD214" s="768"/>
      <c r="AE214" s="768" t="s">
        <v>491</v>
      </c>
      <c r="AF214" s="768" t="s">
        <v>491</v>
      </c>
      <c r="AG214" s="905"/>
      <c r="AH214" s="868"/>
      <c r="AI214" s="869"/>
    </row>
    <row r="215" spans="1:35" ht="21.95" customHeight="1">
      <c r="A215" s="574"/>
      <c r="B215" s="615"/>
      <c r="C215" s="555"/>
      <c r="D215" s="555"/>
      <c r="E215" s="555"/>
      <c r="F215" s="555"/>
      <c r="G215" s="555"/>
      <c r="H215" s="555"/>
      <c r="I215" s="555"/>
      <c r="J215" s="555"/>
      <c r="K215" s="517"/>
      <c r="L215" s="555"/>
      <c r="M215" s="555"/>
      <c r="N215" s="555"/>
      <c r="O215" s="555"/>
      <c r="P215" s="538"/>
      <c r="Q215" s="538"/>
      <c r="R215" s="538"/>
      <c r="S215" s="555"/>
      <c r="T215" s="555"/>
      <c r="U215" s="555"/>
      <c r="V215" s="555"/>
      <c r="W215" s="555"/>
      <c r="X215" s="555"/>
      <c r="Y215" s="555"/>
      <c r="Z215" s="555"/>
      <c r="AA215" s="555"/>
      <c r="AB215" s="555"/>
      <c r="AC215" s="555"/>
      <c r="AD215" s="555"/>
      <c r="AE215" s="555"/>
      <c r="AF215" s="555"/>
      <c r="AG215" s="555"/>
      <c r="AH215" s="556"/>
      <c r="AI215" s="556"/>
    </row>
    <row r="216" spans="1:35" ht="21" customHeight="1" thickBot="1">
      <c r="A216" s="1" t="s">
        <v>682</v>
      </c>
    </row>
    <row r="217" spans="1:35" ht="21" customHeight="1">
      <c r="B217" s="201" t="s">
        <v>664</v>
      </c>
      <c r="C217" s="7"/>
      <c r="D217" s="522" t="s">
        <v>2</v>
      </c>
      <c r="E217" s="51"/>
      <c r="F217" s="548"/>
      <c r="G217" s="7"/>
      <c r="H217" s="522" t="s">
        <v>3</v>
      </c>
      <c r="I217" s="51"/>
      <c r="J217" s="548"/>
      <c r="K217" s="7"/>
      <c r="L217" s="522" t="s">
        <v>4</v>
      </c>
      <c r="M217" s="51"/>
      <c r="N217" s="548"/>
      <c r="O217" s="7"/>
      <c r="P217" s="522" t="s">
        <v>5</v>
      </c>
      <c r="Q217" s="51"/>
      <c r="R217" s="548"/>
      <c r="S217" s="7"/>
      <c r="T217" s="522" t="s">
        <v>6</v>
      </c>
      <c r="U217" s="51"/>
      <c r="V217" s="548"/>
      <c r="W217" s="7"/>
      <c r="X217" s="522" t="s">
        <v>7</v>
      </c>
      <c r="Y217" s="51"/>
      <c r="Z217" s="548"/>
      <c r="AA217" s="7"/>
      <c r="AB217" s="522" t="s">
        <v>8</v>
      </c>
      <c r="AC217" s="51"/>
      <c r="AD217" s="51"/>
      <c r="AE217" s="425" t="s">
        <v>10</v>
      </c>
      <c r="AF217" s="51"/>
      <c r="AG217" s="51"/>
      <c r="AH217" s="51"/>
      <c r="AI217" s="523"/>
    </row>
    <row r="218" spans="1:35" ht="21" customHeight="1">
      <c r="B218" s="9">
        <v>8502</v>
      </c>
      <c r="C218" s="14" t="s">
        <v>11</v>
      </c>
      <c r="D218" s="603"/>
      <c r="E218" s="55"/>
      <c r="F218" s="602"/>
      <c r="G218" s="14" t="s">
        <v>11</v>
      </c>
      <c r="H218" s="603"/>
      <c r="I218" s="55"/>
      <c r="J218" s="602"/>
      <c r="K218" s="14" t="s">
        <v>11</v>
      </c>
      <c r="L218" s="603"/>
      <c r="M218" s="55"/>
      <c r="N218" s="602"/>
      <c r="O218" s="14" t="s">
        <v>11</v>
      </c>
      <c r="P218" s="603"/>
      <c r="Q218" s="55"/>
      <c r="R218" s="602"/>
      <c r="S218" s="14" t="s">
        <v>12</v>
      </c>
      <c r="T218" s="603"/>
      <c r="U218" s="55"/>
      <c r="V218" s="602"/>
      <c r="W218" s="14"/>
      <c r="X218" s="603"/>
      <c r="Y218" s="55"/>
      <c r="Z218" s="602"/>
      <c r="AA218" s="14"/>
      <c r="AB218" s="603"/>
      <c r="AC218" s="55"/>
      <c r="AD218" s="55"/>
      <c r="AE218" s="604"/>
      <c r="AF218" s="55"/>
      <c r="AG218" s="55"/>
      <c r="AH218" s="55"/>
      <c r="AI218" s="605"/>
    </row>
    <row r="219" spans="1:35" ht="21" customHeight="1">
      <c r="B219" s="606">
        <v>3701</v>
      </c>
      <c r="C219" s="121" t="s">
        <v>11</v>
      </c>
      <c r="D219" s="131"/>
      <c r="E219" s="55"/>
      <c r="F219" s="602"/>
      <c r="G219" s="121" t="s">
        <v>11</v>
      </c>
      <c r="H219" s="603"/>
      <c r="I219" s="55"/>
      <c r="J219" s="602"/>
      <c r="K219" s="121" t="s">
        <v>11</v>
      </c>
      <c r="L219" s="603"/>
      <c r="M219" s="55"/>
      <c r="N219" s="602"/>
      <c r="O219" s="121" t="s">
        <v>11</v>
      </c>
      <c r="P219" s="603"/>
      <c r="Q219" s="55"/>
      <c r="R219" s="602"/>
      <c r="S219" s="14" t="s">
        <v>12</v>
      </c>
      <c r="T219" s="603"/>
      <c r="U219" s="55"/>
      <c r="V219" s="602"/>
      <c r="W219" s="14"/>
      <c r="X219" s="603"/>
      <c r="Y219" s="55"/>
      <c r="Z219" s="602"/>
      <c r="AA219" s="14"/>
      <c r="AB219" s="603"/>
      <c r="AC219" s="55"/>
      <c r="AD219" s="55"/>
      <c r="AE219" s="604"/>
      <c r="AF219" s="55"/>
      <c r="AG219" s="55"/>
      <c r="AH219" s="55"/>
      <c r="AI219" s="605"/>
    </row>
    <row r="220" spans="1:35" ht="21" customHeight="1">
      <c r="B220" s="606">
        <v>3705</v>
      </c>
      <c r="C220" s="121" t="s">
        <v>147</v>
      </c>
      <c r="D220" s="131"/>
      <c r="E220" s="55"/>
      <c r="F220" s="602"/>
      <c r="G220" s="121" t="s">
        <v>147</v>
      </c>
      <c r="H220" s="603"/>
      <c r="I220" s="55"/>
      <c r="J220" s="602"/>
      <c r="K220" s="121" t="s">
        <v>147</v>
      </c>
      <c r="L220" s="603"/>
      <c r="M220" s="55"/>
      <c r="N220" s="602"/>
      <c r="O220" s="121" t="s">
        <v>147</v>
      </c>
      <c r="P220" s="603"/>
      <c r="Q220" s="55"/>
      <c r="R220" s="602"/>
      <c r="S220" s="121" t="s">
        <v>537</v>
      </c>
      <c r="T220" s="603"/>
      <c r="U220" s="55"/>
      <c r="V220" s="602"/>
      <c r="W220" s="14"/>
      <c r="X220" s="603"/>
      <c r="Y220" s="55"/>
      <c r="Z220" s="602"/>
      <c r="AA220" s="14"/>
      <c r="AB220" s="603"/>
      <c r="AC220" s="55"/>
      <c r="AD220" s="55"/>
      <c r="AE220" s="604"/>
      <c r="AF220" s="55"/>
      <c r="AG220" s="55"/>
      <c r="AH220" s="55"/>
      <c r="AI220" s="605"/>
    </row>
    <row r="221" spans="1:35" ht="21" customHeight="1">
      <c r="B221" s="606">
        <v>3702</v>
      </c>
      <c r="C221" s="563" t="s">
        <v>683</v>
      </c>
      <c r="D221" s="131"/>
      <c r="E221" s="55"/>
      <c r="F221" s="602"/>
      <c r="G221" s="563" t="s">
        <v>683</v>
      </c>
      <c r="H221" s="131"/>
      <c r="I221" s="55"/>
      <c r="J221" s="602"/>
      <c r="K221" s="563" t="s">
        <v>683</v>
      </c>
      <c r="L221" s="131"/>
      <c r="M221" s="55"/>
      <c r="N221" s="602"/>
      <c r="O221" s="563" t="s">
        <v>683</v>
      </c>
      <c r="P221" s="131"/>
      <c r="Q221" s="55"/>
      <c r="R221" s="602"/>
      <c r="S221" s="563" t="s">
        <v>270</v>
      </c>
      <c r="T221" s="131"/>
      <c r="U221" s="55"/>
      <c r="V221" s="602"/>
      <c r="W221" s="14"/>
      <c r="X221" s="603"/>
      <c r="Y221" s="55"/>
      <c r="Z221" s="602"/>
      <c r="AA221" s="14"/>
      <c r="AB221" s="603"/>
      <c r="AC221" s="55"/>
      <c r="AD221" s="55"/>
      <c r="AE221" s="604"/>
      <c r="AF221" s="55"/>
      <c r="AG221" s="55"/>
      <c r="AH221" s="55"/>
      <c r="AI221" s="605"/>
    </row>
    <row r="222" spans="1:35" ht="21" customHeight="1">
      <c r="B222" s="606"/>
      <c r="C222" s="563"/>
      <c r="D222" s="131"/>
      <c r="E222" s="55"/>
      <c r="F222" s="602"/>
      <c r="G222" s="603"/>
      <c r="H222" s="603"/>
      <c r="I222" s="55"/>
      <c r="J222" s="602"/>
      <c r="K222" s="603"/>
      <c r="L222" s="603"/>
      <c r="M222" s="55"/>
      <c r="N222" s="602"/>
      <c r="O222" s="603"/>
      <c r="P222" s="603"/>
      <c r="Q222" s="55"/>
      <c r="R222" s="602"/>
      <c r="S222" s="603"/>
      <c r="T222" s="603"/>
      <c r="U222" s="55"/>
      <c r="V222" s="602"/>
      <c r="W222" s="14"/>
      <c r="X222" s="603"/>
      <c r="Y222" s="55"/>
      <c r="Z222" s="602"/>
      <c r="AA222" s="14"/>
      <c r="AB222" s="603"/>
      <c r="AC222" s="55"/>
      <c r="AD222" s="55"/>
      <c r="AE222" s="604"/>
      <c r="AF222" s="55"/>
      <c r="AG222" s="55"/>
      <c r="AH222" s="55"/>
      <c r="AI222" s="605"/>
    </row>
    <row r="223" spans="1:35" ht="21" customHeight="1">
      <c r="B223" s="606" t="s">
        <v>324</v>
      </c>
      <c r="C223" s="563" t="s">
        <v>684</v>
      </c>
      <c r="D223" s="131"/>
      <c r="E223" s="55"/>
      <c r="F223" s="602"/>
      <c r="G223" s="563" t="s">
        <v>684</v>
      </c>
      <c r="H223" s="131"/>
      <c r="I223" s="55"/>
      <c r="J223" s="602"/>
      <c r="K223" s="563" t="s">
        <v>684</v>
      </c>
      <c r="L223" s="131"/>
      <c r="M223" s="55"/>
      <c r="N223" s="602"/>
      <c r="O223" s="563" t="s">
        <v>684</v>
      </c>
      <c r="P223" s="131"/>
      <c r="Q223" s="55"/>
      <c r="R223" s="602"/>
      <c r="S223" s="603" t="s">
        <v>685</v>
      </c>
      <c r="T223" s="603"/>
      <c r="U223" s="55"/>
      <c r="V223" s="602"/>
      <c r="W223" s="14"/>
      <c r="X223" s="603"/>
      <c r="Y223" s="55"/>
      <c r="Z223" s="602"/>
      <c r="AA223" s="14"/>
      <c r="AB223" s="603"/>
      <c r="AC223" s="55"/>
      <c r="AD223" s="55"/>
      <c r="AE223" s="604"/>
      <c r="AF223" s="55"/>
      <c r="AG223" s="55"/>
      <c r="AH223" s="55"/>
      <c r="AI223" s="605"/>
    </row>
    <row r="224" spans="1:35" ht="21" customHeight="1">
      <c r="B224" s="606" t="s">
        <v>325</v>
      </c>
      <c r="C224" s="563" t="s">
        <v>686</v>
      </c>
      <c r="D224" s="131"/>
      <c r="E224" s="55"/>
      <c r="F224" s="602"/>
      <c r="G224" s="563" t="s">
        <v>686</v>
      </c>
      <c r="H224" s="131"/>
      <c r="I224" s="55"/>
      <c r="J224" s="602"/>
      <c r="K224" s="563" t="s">
        <v>686</v>
      </c>
      <c r="L224" s="131"/>
      <c r="M224" s="55"/>
      <c r="N224" s="602"/>
      <c r="O224" s="563" t="s">
        <v>686</v>
      </c>
      <c r="P224" s="131"/>
      <c r="Q224" s="55"/>
      <c r="R224" s="602"/>
      <c r="S224" s="603" t="s">
        <v>687</v>
      </c>
      <c r="T224" s="603"/>
      <c r="U224" s="55"/>
      <c r="V224" s="602"/>
      <c r="W224" s="14"/>
      <c r="X224" s="603"/>
      <c r="Y224" s="55"/>
      <c r="Z224" s="602"/>
      <c r="AA224" s="14"/>
      <c r="AB224" s="603"/>
      <c r="AC224" s="55"/>
      <c r="AD224" s="55"/>
      <c r="AE224" s="604"/>
      <c r="AF224" s="55"/>
      <c r="AG224" s="55"/>
      <c r="AH224" s="55"/>
      <c r="AI224" s="605"/>
    </row>
    <row r="225" spans="1:35" ht="21" customHeight="1" thickBot="1">
      <c r="B225" s="611" t="s">
        <v>326</v>
      </c>
      <c r="C225" s="570" t="s">
        <v>688</v>
      </c>
      <c r="D225" s="48"/>
      <c r="E225" s="616"/>
      <c r="F225" s="240"/>
      <c r="G225" s="570" t="s">
        <v>688</v>
      </c>
      <c r="H225" s="48"/>
      <c r="I225" s="616"/>
      <c r="J225" s="240"/>
      <c r="K225" s="570" t="s">
        <v>688</v>
      </c>
      <c r="L225" s="48"/>
      <c r="M225" s="616"/>
      <c r="N225" s="240"/>
      <c r="O225" s="570" t="s">
        <v>688</v>
      </c>
      <c r="P225" s="48"/>
      <c r="Q225" s="616"/>
      <c r="R225" s="240"/>
      <c r="S225" s="149" t="s">
        <v>689</v>
      </c>
      <c r="T225" s="149"/>
      <c r="U225" s="616"/>
      <c r="V225" s="240"/>
      <c r="W225" s="617"/>
      <c r="X225" s="149"/>
      <c r="Y225" s="616"/>
      <c r="Z225" s="240"/>
      <c r="AA225" s="617"/>
      <c r="AB225" s="149"/>
      <c r="AC225" s="616"/>
      <c r="AD225" s="616"/>
      <c r="AE225" s="618"/>
      <c r="AF225" s="616"/>
      <c r="AG225" s="616"/>
      <c r="AH225" s="616"/>
      <c r="AI225" s="619"/>
    </row>
    <row r="226" spans="1:35" ht="21" customHeight="1">
      <c r="B226" s="274"/>
      <c r="C226" s="312"/>
      <c r="D226" s="72"/>
      <c r="G226" s="312"/>
      <c r="H226" s="72"/>
      <c r="K226" s="312"/>
      <c r="L226" s="72"/>
      <c r="O226" s="312"/>
      <c r="P226" s="72"/>
      <c r="S226" s="312"/>
      <c r="T226" s="312"/>
      <c r="X226" s="312"/>
      <c r="AB226" s="312"/>
      <c r="AE226" s="312"/>
    </row>
    <row r="227" spans="1:35" ht="21" customHeight="1" thickBot="1">
      <c r="A227" s="620" t="s">
        <v>789</v>
      </c>
    </row>
    <row r="228" spans="1:35" ht="21" customHeight="1" thickBot="1">
      <c r="A228" s="861"/>
      <c r="B228" s="862" t="s">
        <v>476</v>
      </c>
      <c r="C228" s="863">
        <v>1</v>
      </c>
      <c r="D228" s="863">
        <v>2</v>
      </c>
      <c r="E228" s="863">
        <v>3</v>
      </c>
      <c r="F228" s="863">
        <v>4</v>
      </c>
      <c r="G228" s="863">
        <v>5</v>
      </c>
      <c r="H228" s="880">
        <v>6</v>
      </c>
      <c r="I228" s="880">
        <v>7</v>
      </c>
      <c r="J228" s="863">
        <v>8</v>
      </c>
      <c r="K228" s="863">
        <v>9</v>
      </c>
      <c r="L228" s="863">
        <v>10</v>
      </c>
      <c r="M228" s="863">
        <v>11</v>
      </c>
      <c r="N228" s="863">
        <v>12</v>
      </c>
      <c r="O228" s="880">
        <v>13</v>
      </c>
      <c r="P228" s="880">
        <v>14</v>
      </c>
      <c r="Q228" s="863">
        <v>15</v>
      </c>
      <c r="R228" s="863">
        <v>16</v>
      </c>
      <c r="S228" s="863">
        <v>17</v>
      </c>
      <c r="T228" s="863">
        <v>18</v>
      </c>
      <c r="U228" s="863">
        <v>19</v>
      </c>
      <c r="V228" s="880">
        <v>20</v>
      </c>
      <c r="W228" s="880">
        <v>21</v>
      </c>
      <c r="X228" s="863">
        <v>22</v>
      </c>
      <c r="Y228" s="863">
        <v>23</v>
      </c>
      <c r="Z228" s="880">
        <v>24</v>
      </c>
      <c r="AA228" s="880">
        <v>25</v>
      </c>
      <c r="AB228" s="880">
        <v>26</v>
      </c>
      <c r="AC228" s="880">
        <v>27</v>
      </c>
      <c r="AD228" s="880">
        <v>28</v>
      </c>
      <c r="AE228" s="863">
        <v>29</v>
      </c>
      <c r="AF228" s="863">
        <v>30</v>
      </c>
      <c r="AG228" s="949">
        <v>31</v>
      </c>
      <c r="AH228" s="864" t="s">
        <v>477</v>
      </c>
      <c r="AI228" s="865" t="s">
        <v>478</v>
      </c>
    </row>
    <row r="229" spans="1:35" ht="21" customHeight="1">
      <c r="A229" s="438">
        <v>3702</v>
      </c>
      <c r="B229" s="54" t="s">
        <v>691</v>
      </c>
      <c r="C229" s="871">
        <v>2</v>
      </c>
      <c r="D229" s="871">
        <v>2</v>
      </c>
      <c r="E229" s="871">
        <v>2</v>
      </c>
      <c r="F229" s="871">
        <v>2</v>
      </c>
      <c r="G229" s="871">
        <v>2</v>
      </c>
      <c r="H229" s="871"/>
      <c r="I229" s="871"/>
      <c r="J229" s="764">
        <v>1</v>
      </c>
      <c r="K229" s="764">
        <v>1</v>
      </c>
      <c r="L229" s="871">
        <v>1</v>
      </c>
      <c r="M229" s="871">
        <v>1</v>
      </c>
      <c r="N229" s="871">
        <v>1</v>
      </c>
      <c r="O229" s="871"/>
      <c r="P229" s="871"/>
      <c r="Q229" s="976">
        <v>2</v>
      </c>
      <c r="R229" s="976">
        <v>2</v>
      </c>
      <c r="S229" s="976">
        <v>2</v>
      </c>
      <c r="T229" s="976">
        <v>2</v>
      </c>
      <c r="U229" s="872">
        <v>2</v>
      </c>
      <c r="V229" s="872"/>
      <c r="W229" s="872"/>
      <c r="X229" s="1288">
        <v>1</v>
      </c>
      <c r="Y229" s="1288">
        <v>1</v>
      </c>
      <c r="Z229" s="872"/>
      <c r="AA229" s="872"/>
      <c r="AB229" s="985"/>
      <c r="AC229" s="872"/>
      <c r="AD229" s="872"/>
      <c r="AE229" s="1288">
        <v>2</v>
      </c>
      <c r="AF229" s="1288">
        <v>2</v>
      </c>
      <c r="AG229" s="871"/>
      <c r="AH229" s="510">
        <v>0</v>
      </c>
      <c r="AI229" s="511">
        <v>0</v>
      </c>
    </row>
    <row r="230" spans="1:35" ht="21" customHeight="1">
      <c r="A230" s="442">
        <v>3701</v>
      </c>
      <c r="B230" s="153" t="s">
        <v>692</v>
      </c>
      <c r="C230" s="762" t="s">
        <v>491</v>
      </c>
      <c r="D230" s="762" t="s">
        <v>491</v>
      </c>
      <c r="E230" s="762" t="s">
        <v>491</v>
      </c>
      <c r="F230" s="762" t="s">
        <v>491</v>
      </c>
      <c r="G230" s="762" t="s">
        <v>491</v>
      </c>
      <c r="H230" s="762"/>
      <c r="I230" s="762"/>
      <c r="J230" s="768" t="s">
        <v>491</v>
      </c>
      <c r="K230" s="768" t="s">
        <v>491</v>
      </c>
      <c r="L230" s="762" t="s">
        <v>491</v>
      </c>
      <c r="M230" s="762" t="s">
        <v>491</v>
      </c>
      <c r="N230" s="762" t="s">
        <v>491</v>
      </c>
      <c r="O230" s="762"/>
      <c r="P230" s="762"/>
      <c r="Q230" s="762" t="s">
        <v>491</v>
      </c>
      <c r="R230" s="762" t="s">
        <v>491</v>
      </c>
      <c r="S230" s="762" t="s">
        <v>491</v>
      </c>
      <c r="T230" s="762" t="s">
        <v>491</v>
      </c>
      <c r="U230" s="762" t="s">
        <v>491</v>
      </c>
      <c r="V230" s="762"/>
      <c r="W230" s="762"/>
      <c r="X230" s="978" t="s">
        <v>491</v>
      </c>
      <c r="Y230" s="978" t="s">
        <v>491</v>
      </c>
      <c r="Z230" s="762"/>
      <c r="AA230" s="762"/>
      <c r="AB230" s="762"/>
      <c r="AC230" s="762"/>
      <c r="AD230" s="762"/>
      <c r="AE230" s="978" t="s">
        <v>491</v>
      </c>
      <c r="AF230" s="978" t="s">
        <v>491</v>
      </c>
      <c r="AG230" s="762"/>
      <c r="AH230" s="924">
        <v>74</v>
      </c>
      <c r="AI230" s="925">
        <v>37</v>
      </c>
    </row>
    <row r="231" spans="1:35" ht="21" customHeight="1">
      <c r="A231" s="442">
        <v>3702</v>
      </c>
      <c r="B231" s="153" t="s">
        <v>693</v>
      </c>
      <c r="C231" s="762">
        <v>1</v>
      </c>
      <c r="D231" s="762">
        <v>1</v>
      </c>
      <c r="E231" s="762">
        <v>1</v>
      </c>
      <c r="F231" s="762">
        <v>1</v>
      </c>
      <c r="G231" s="762">
        <v>1</v>
      </c>
      <c r="H231" s="762"/>
      <c r="I231" s="762"/>
      <c r="J231" s="768">
        <v>2</v>
      </c>
      <c r="K231" s="768">
        <v>2</v>
      </c>
      <c r="L231" s="762">
        <v>2</v>
      </c>
      <c r="M231" s="762">
        <v>2</v>
      </c>
      <c r="N231" s="762">
        <v>2</v>
      </c>
      <c r="O231" s="762"/>
      <c r="P231" s="762"/>
      <c r="Q231" s="762">
        <v>1</v>
      </c>
      <c r="R231" s="762">
        <v>1</v>
      </c>
      <c r="S231" s="762">
        <v>1</v>
      </c>
      <c r="T231" s="762">
        <v>1</v>
      </c>
      <c r="U231" s="762">
        <v>1</v>
      </c>
      <c r="V231" s="762"/>
      <c r="W231" s="762"/>
      <c r="X231" s="762">
        <v>2</v>
      </c>
      <c r="Y231" s="762">
        <v>2</v>
      </c>
      <c r="Z231" s="762"/>
      <c r="AA231" s="762"/>
      <c r="AB231" s="768"/>
      <c r="AC231" s="762"/>
      <c r="AD231" s="762"/>
      <c r="AE231" s="978">
        <v>1</v>
      </c>
      <c r="AF231" s="978">
        <v>1</v>
      </c>
      <c r="AG231" s="762"/>
      <c r="AH231" s="924">
        <v>140.5</v>
      </c>
      <c r="AI231" s="925">
        <v>7.5</v>
      </c>
    </row>
    <row r="232" spans="1:35" ht="21" customHeight="1">
      <c r="A232" s="621">
        <v>3706</v>
      </c>
      <c r="B232" s="854"/>
      <c r="C232" s="768"/>
      <c r="D232" s="768"/>
      <c r="E232" s="768"/>
      <c r="F232" s="768"/>
      <c r="G232" s="768"/>
      <c r="H232" s="768"/>
      <c r="I232" s="768"/>
      <c r="J232" s="768"/>
      <c r="K232" s="768"/>
      <c r="L232" s="768"/>
      <c r="M232" s="768"/>
      <c r="N232" s="768"/>
      <c r="O232" s="768"/>
      <c r="P232" s="768"/>
      <c r="Q232" s="768"/>
      <c r="R232" s="768"/>
      <c r="S232" s="768"/>
      <c r="T232" s="768"/>
      <c r="U232" s="768"/>
      <c r="V232" s="768"/>
      <c r="W232" s="768"/>
      <c r="X232" s="768"/>
      <c r="Y232" s="768"/>
      <c r="Z232" s="768"/>
      <c r="AA232" s="768"/>
      <c r="AB232" s="768"/>
      <c r="AC232" s="768"/>
      <c r="AD232" s="768"/>
      <c r="AE232" s="768"/>
      <c r="AF232" s="768"/>
      <c r="AG232" s="768"/>
      <c r="AH232" s="924">
        <v>111</v>
      </c>
      <c r="AI232" s="925">
        <v>37</v>
      </c>
    </row>
    <row r="233" spans="1:35" ht="21" customHeight="1">
      <c r="A233" s="622"/>
      <c r="B233" s="623" t="s">
        <v>695</v>
      </c>
      <c r="C233" s="940"/>
      <c r="D233" s="940"/>
      <c r="E233" s="940"/>
      <c r="F233" s="940"/>
      <c r="G233" s="940"/>
      <c r="H233" s="940"/>
      <c r="I233" s="940"/>
      <c r="J233" s="940"/>
      <c r="K233" s="940"/>
      <c r="L233" s="940"/>
      <c r="M233" s="940"/>
      <c r="N233" s="940"/>
      <c r="O233" s="940"/>
      <c r="P233" s="940"/>
      <c r="Q233" s="940"/>
      <c r="R233" s="940"/>
      <c r="S233" s="940"/>
      <c r="T233" s="940"/>
      <c r="U233" s="940"/>
      <c r="V233" s="940"/>
      <c r="W233" s="940"/>
      <c r="X233" s="940"/>
      <c r="Y233" s="940"/>
      <c r="Z233" s="940"/>
      <c r="AA233" s="940"/>
      <c r="AB233" s="940"/>
      <c r="AC233" s="940"/>
      <c r="AD233" s="940"/>
      <c r="AE233" s="940"/>
      <c r="AF233" s="940"/>
      <c r="AG233" s="922"/>
      <c r="AH233" s="624"/>
      <c r="AI233" s="625"/>
    </row>
    <row r="234" spans="1:35" ht="21" customHeight="1">
      <c r="A234" s="442">
        <v>3702</v>
      </c>
      <c r="B234" s="793" t="s">
        <v>696</v>
      </c>
      <c r="C234" s="762" t="s">
        <v>697</v>
      </c>
      <c r="D234" s="762" t="s">
        <v>697</v>
      </c>
      <c r="E234" s="762" t="s">
        <v>697</v>
      </c>
      <c r="F234" s="762" t="s">
        <v>697</v>
      </c>
      <c r="G234" s="762" t="s">
        <v>697</v>
      </c>
      <c r="H234" s="762"/>
      <c r="I234" s="762"/>
      <c r="J234" s="762" t="s">
        <v>697</v>
      </c>
      <c r="K234" s="762" t="s">
        <v>697</v>
      </c>
      <c r="L234" s="762" t="s">
        <v>697</v>
      </c>
      <c r="M234" s="762" t="s">
        <v>697</v>
      </c>
      <c r="N234" s="762" t="s">
        <v>697</v>
      </c>
      <c r="O234" s="762"/>
      <c r="P234" s="762"/>
      <c r="Q234" s="762" t="s">
        <v>697</v>
      </c>
      <c r="R234" s="762" t="s">
        <v>697</v>
      </c>
      <c r="S234" s="762" t="s">
        <v>697</v>
      </c>
      <c r="T234" s="762" t="s">
        <v>697</v>
      </c>
      <c r="U234" s="762" t="s">
        <v>697</v>
      </c>
      <c r="V234" s="762"/>
      <c r="W234" s="762"/>
      <c r="X234" s="762" t="s">
        <v>697</v>
      </c>
      <c r="Y234" s="762" t="s">
        <v>697</v>
      </c>
      <c r="Z234" s="762"/>
      <c r="AA234" s="762"/>
      <c r="AB234" s="762"/>
      <c r="AC234" s="762"/>
      <c r="AD234" s="762"/>
      <c r="AE234" s="966" t="s">
        <v>697</v>
      </c>
      <c r="AF234" s="966" t="s">
        <v>697</v>
      </c>
      <c r="AG234" s="762"/>
      <c r="AH234" s="924">
        <v>52</v>
      </c>
      <c r="AI234" s="925">
        <v>37</v>
      </c>
    </row>
    <row r="235" spans="1:35" ht="21" customHeight="1">
      <c r="A235" s="442"/>
      <c r="B235" s="153" t="s">
        <v>698</v>
      </c>
      <c r="C235" s="762" t="s">
        <v>699</v>
      </c>
      <c r="D235" s="762" t="s">
        <v>699</v>
      </c>
      <c r="E235" s="762" t="s">
        <v>699</v>
      </c>
      <c r="F235" s="762" t="s">
        <v>699</v>
      </c>
      <c r="G235" s="762" t="s">
        <v>699</v>
      </c>
      <c r="H235" s="762"/>
      <c r="I235" s="762"/>
      <c r="J235" s="762" t="s">
        <v>699</v>
      </c>
      <c r="K235" s="762" t="s">
        <v>699</v>
      </c>
      <c r="L235" s="762" t="s">
        <v>699</v>
      </c>
      <c r="M235" s="762" t="s">
        <v>699</v>
      </c>
      <c r="N235" s="762" t="s">
        <v>699</v>
      </c>
      <c r="O235" s="762"/>
      <c r="P235" s="762"/>
      <c r="Q235" s="762" t="s">
        <v>699</v>
      </c>
      <c r="R235" s="762" t="s">
        <v>699</v>
      </c>
      <c r="S235" s="762" t="s">
        <v>699</v>
      </c>
      <c r="T235" s="762" t="s">
        <v>699</v>
      </c>
      <c r="U235" s="762" t="s">
        <v>699</v>
      </c>
      <c r="V235" s="762"/>
      <c r="W235" s="762"/>
      <c r="X235" s="762" t="s">
        <v>699</v>
      </c>
      <c r="Y235" s="762" t="s">
        <v>699</v>
      </c>
      <c r="Z235" s="762"/>
      <c r="AA235" s="762"/>
      <c r="AB235" s="762"/>
      <c r="AC235" s="762"/>
      <c r="AD235" s="762"/>
      <c r="AE235" s="966" t="s">
        <v>699</v>
      </c>
      <c r="AF235" s="966" t="s">
        <v>699</v>
      </c>
      <c r="AG235" s="762"/>
      <c r="AH235" s="924">
        <v>18</v>
      </c>
      <c r="AI235" s="925">
        <v>37</v>
      </c>
    </row>
    <row r="236" spans="1:35" ht="21" customHeight="1" thickBot="1">
      <c r="A236" s="906"/>
      <c r="B236" s="895" t="s">
        <v>700</v>
      </c>
      <c r="C236" s="875" t="s">
        <v>701</v>
      </c>
      <c r="D236" s="875" t="s">
        <v>701</v>
      </c>
      <c r="E236" s="875" t="s">
        <v>701</v>
      </c>
      <c r="F236" s="875" t="s">
        <v>701</v>
      </c>
      <c r="G236" s="875" t="s">
        <v>701</v>
      </c>
      <c r="H236" s="875"/>
      <c r="I236" s="875"/>
      <c r="J236" s="875" t="s">
        <v>701</v>
      </c>
      <c r="K236" s="875" t="s">
        <v>701</v>
      </c>
      <c r="L236" s="875" t="s">
        <v>701</v>
      </c>
      <c r="M236" s="875" t="s">
        <v>701</v>
      </c>
      <c r="N236" s="875" t="s">
        <v>701</v>
      </c>
      <c r="O236" s="875"/>
      <c r="P236" s="875"/>
      <c r="Q236" s="875" t="s">
        <v>701</v>
      </c>
      <c r="R236" s="875" t="s">
        <v>701</v>
      </c>
      <c r="S236" s="875" t="s">
        <v>701</v>
      </c>
      <c r="T236" s="875" t="s">
        <v>701</v>
      </c>
      <c r="U236" s="875" t="s">
        <v>701</v>
      </c>
      <c r="V236" s="875"/>
      <c r="W236" s="875"/>
      <c r="X236" s="990" t="s">
        <v>701</v>
      </c>
      <c r="Y236" s="990" t="s">
        <v>701</v>
      </c>
      <c r="Z236" s="875"/>
      <c r="AA236" s="875"/>
      <c r="AB236" s="875"/>
      <c r="AC236" s="875"/>
      <c r="AD236" s="875"/>
      <c r="AE236" s="990" t="s">
        <v>701</v>
      </c>
      <c r="AF236" s="990" t="s">
        <v>701</v>
      </c>
      <c r="AG236" s="875"/>
      <c r="AH236" s="868">
        <v>59</v>
      </c>
      <c r="AI236" s="869">
        <v>37</v>
      </c>
    </row>
    <row r="237" spans="1:35" ht="21" customHeight="1"/>
    <row r="238" spans="1:35" ht="21" customHeight="1"/>
    <row r="239" spans="1:35" ht="21" customHeight="1" thickBot="1">
      <c r="A239" s="1" t="s">
        <v>702</v>
      </c>
    </row>
    <row r="240" spans="1:35" ht="21" customHeight="1">
      <c r="B240" s="201" t="s">
        <v>664</v>
      </c>
      <c r="C240" s="7"/>
      <c r="D240" s="522" t="s">
        <v>2</v>
      </c>
      <c r="E240" s="51"/>
      <c r="F240" s="548"/>
      <c r="G240" s="7"/>
      <c r="H240" s="522" t="s">
        <v>3</v>
      </c>
      <c r="I240" s="51"/>
      <c r="J240" s="548"/>
      <c r="K240" s="7"/>
      <c r="L240" s="522" t="s">
        <v>4</v>
      </c>
      <c r="M240" s="51"/>
      <c r="N240" s="548"/>
      <c r="O240" s="7"/>
      <c r="P240" s="522" t="s">
        <v>5</v>
      </c>
      <c r="Q240" s="51"/>
      <c r="R240" s="548"/>
      <c r="S240" s="7"/>
      <c r="T240" s="522" t="s">
        <v>6</v>
      </c>
      <c r="U240" s="51"/>
      <c r="V240" s="548"/>
      <c r="W240" s="7"/>
      <c r="X240" s="522" t="s">
        <v>7</v>
      </c>
      <c r="Y240" s="51"/>
      <c r="Z240" s="548"/>
      <c r="AA240" s="7"/>
      <c r="AB240" s="522" t="s">
        <v>8</v>
      </c>
      <c r="AC240" s="51"/>
      <c r="AD240" s="51"/>
      <c r="AE240" s="425" t="s">
        <v>10</v>
      </c>
      <c r="AF240" s="51"/>
      <c r="AG240" s="51"/>
      <c r="AH240" s="51"/>
      <c r="AI240" s="523"/>
    </row>
    <row r="241" spans="1:35" ht="21" customHeight="1">
      <c r="B241" s="9">
        <v>8500</v>
      </c>
      <c r="C241" s="121" t="s">
        <v>33</v>
      </c>
      <c r="D241" s="603"/>
      <c r="E241" s="55"/>
      <c r="F241" s="602"/>
      <c r="G241" s="121" t="s">
        <v>33</v>
      </c>
      <c r="H241" s="603"/>
      <c r="I241" s="55"/>
      <c r="J241" s="602"/>
      <c r="K241" s="121" t="s">
        <v>33</v>
      </c>
      <c r="L241" s="603"/>
      <c r="M241" s="55"/>
      <c r="N241" s="602"/>
      <c r="O241" s="121" t="s">
        <v>33</v>
      </c>
      <c r="P241" s="603"/>
      <c r="Q241" s="55"/>
      <c r="R241" s="602"/>
      <c r="S241" s="121" t="s">
        <v>34</v>
      </c>
      <c r="T241" s="603"/>
      <c r="U241" s="55"/>
      <c r="V241" s="602"/>
      <c r="W241" s="14"/>
      <c r="X241" s="603"/>
      <c r="Y241" s="55"/>
      <c r="Z241" s="602"/>
      <c r="AA241" s="14"/>
      <c r="AB241" s="603"/>
      <c r="AC241" s="55"/>
      <c r="AD241" s="55"/>
      <c r="AE241" s="604"/>
      <c r="AF241" s="55"/>
      <c r="AG241" s="55"/>
      <c r="AH241" s="55"/>
      <c r="AI241" s="605"/>
    </row>
    <row r="242" spans="1:35" ht="21" customHeight="1" thickBot="1">
      <c r="B242" s="163" t="s">
        <v>703</v>
      </c>
      <c r="C242" s="626" t="s">
        <v>704</v>
      </c>
      <c r="D242" s="627"/>
      <c r="E242" s="616"/>
      <c r="F242" s="240"/>
      <c r="G242" s="626" t="s">
        <v>704</v>
      </c>
      <c r="H242" s="149"/>
      <c r="I242" s="616"/>
      <c r="J242" s="240"/>
      <c r="K242" s="626" t="s">
        <v>704</v>
      </c>
      <c r="L242" s="149"/>
      <c r="M242" s="616"/>
      <c r="N242" s="240"/>
      <c r="O242" s="626" t="s">
        <v>705</v>
      </c>
      <c r="P242" s="149"/>
      <c r="Q242" s="616"/>
      <c r="R242" s="240"/>
      <c r="S242" s="626" t="s">
        <v>16</v>
      </c>
      <c r="T242" s="149"/>
      <c r="U242" s="616"/>
      <c r="V242" s="240"/>
      <c r="W242" s="617"/>
      <c r="X242" s="149"/>
      <c r="Y242" s="616"/>
      <c r="Z242" s="240"/>
      <c r="AA242" s="617"/>
      <c r="AB242" s="149"/>
      <c r="AC242" s="616"/>
      <c r="AD242" s="616"/>
      <c r="AE242" s="618"/>
      <c r="AF242" s="616"/>
      <c r="AG242" s="616"/>
      <c r="AH242" s="616"/>
      <c r="AI242" s="619"/>
    </row>
    <row r="243" spans="1:35" ht="21" customHeight="1" thickBot="1">
      <c r="A243" s="60" t="s">
        <v>789</v>
      </c>
    </row>
    <row r="244" spans="1:35" ht="21" customHeight="1" thickBot="1">
      <c r="A244" s="911"/>
      <c r="B244" s="862" t="s">
        <v>476</v>
      </c>
      <c r="C244" s="863">
        <v>1</v>
      </c>
      <c r="D244" s="863">
        <v>2</v>
      </c>
      <c r="E244" s="863">
        <v>3</v>
      </c>
      <c r="F244" s="863">
        <v>4</v>
      </c>
      <c r="G244" s="863">
        <v>5</v>
      </c>
      <c r="H244" s="880">
        <v>6</v>
      </c>
      <c r="I244" s="880">
        <v>7</v>
      </c>
      <c r="J244" s="863">
        <v>8</v>
      </c>
      <c r="K244" s="863">
        <v>9</v>
      </c>
      <c r="L244" s="863">
        <v>10</v>
      </c>
      <c r="M244" s="863">
        <v>11</v>
      </c>
      <c r="N244" s="863">
        <v>12</v>
      </c>
      <c r="O244" s="880">
        <v>13</v>
      </c>
      <c r="P244" s="880">
        <v>14</v>
      </c>
      <c r="Q244" s="863">
        <v>15</v>
      </c>
      <c r="R244" s="863">
        <v>16</v>
      </c>
      <c r="S244" s="863">
        <v>17</v>
      </c>
      <c r="T244" s="863">
        <v>18</v>
      </c>
      <c r="U244" s="863">
        <v>19</v>
      </c>
      <c r="V244" s="880">
        <v>20</v>
      </c>
      <c r="W244" s="880">
        <v>21</v>
      </c>
      <c r="X244" s="863">
        <v>22</v>
      </c>
      <c r="Y244" s="863">
        <v>23</v>
      </c>
      <c r="Z244" s="880">
        <v>24</v>
      </c>
      <c r="AA244" s="880">
        <v>25</v>
      </c>
      <c r="AB244" s="880">
        <v>26</v>
      </c>
      <c r="AC244" s="880">
        <v>27</v>
      </c>
      <c r="AD244" s="880">
        <v>28</v>
      </c>
      <c r="AE244" s="863">
        <v>29</v>
      </c>
      <c r="AF244" s="863">
        <v>30</v>
      </c>
      <c r="AG244" s="949">
        <v>31</v>
      </c>
      <c r="AH244" s="864" t="s">
        <v>477</v>
      </c>
      <c r="AI244" s="865" t="s">
        <v>478</v>
      </c>
    </row>
    <row r="245" spans="1:35" ht="21" customHeight="1">
      <c r="A245" s="14">
        <v>8500</v>
      </c>
      <c r="B245" s="908" t="s">
        <v>707</v>
      </c>
      <c r="C245" s="871" t="s">
        <v>491</v>
      </c>
      <c r="D245" s="871" t="s">
        <v>491</v>
      </c>
      <c r="E245" s="871" t="s">
        <v>491</v>
      </c>
      <c r="F245" s="871" t="s">
        <v>491</v>
      </c>
      <c r="G245" s="871" t="s">
        <v>491</v>
      </c>
      <c r="H245" s="871"/>
      <c r="I245" s="871"/>
      <c r="J245" s="871" t="s">
        <v>491</v>
      </c>
      <c r="K245" s="871" t="s">
        <v>491</v>
      </c>
      <c r="L245" s="871" t="s">
        <v>491</v>
      </c>
      <c r="M245" s="871" t="s">
        <v>491</v>
      </c>
      <c r="N245" s="764" t="s">
        <v>491</v>
      </c>
      <c r="O245" s="764"/>
      <c r="P245" s="871"/>
      <c r="Q245" s="871" t="s">
        <v>491</v>
      </c>
      <c r="R245" s="871" t="s">
        <v>491</v>
      </c>
      <c r="S245" s="871" t="s">
        <v>491</v>
      </c>
      <c r="T245" s="871" t="s">
        <v>491</v>
      </c>
      <c r="U245" s="871" t="s">
        <v>491</v>
      </c>
      <c r="V245" s="871"/>
      <c r="W245" s="871"/>
      <c r="X245" s="871" t="s">
        <v>491</v>
      </c>
      <c r="Y245" s="871" t="s">
        <v>491</v>
      </c>
      <c r="Z245" s="871"/>
      <c r="AA245" s="871"/>
      <c r="AB245" s="764"/>
      <c r="AC245" s="764"/>
      <c r="AD245" s="871"/>
      <c r="AE245" s="976" t="s">
        <v>491</v>
      </c>
      <c r="AF245" s="976" t="s">
        <v>491</v>
      </c>
      <c r="AG245" s="872"/>
      <c r="AH245" s="909">
        <v>76</v>
      </c>
      <c r="AI245" s="910">
        <v>37</v>
      </c>
    </row>
    <row r="246" spans="1:35" ht="21" customHeight="1">
      <c r="A246" s="500" t="s">
        <v>708</v>
      </c>
      <c r="B246" s="153" t="s">
        <v>709</v>
      </c>
      <c r="C246" s="762" t="s">
        <v>491</v>
      </c>
      <c r="D246" s="762" t="s">
        <v>491</v>
      </c>
      <c r="E246" s="762" t="s">
        <v>491</v>
      </c>
      <c r="F246" s="762" t="s">
        <v>491</v>
      </c>
      <c r="G246" s="762" t="s">
        <v>491</v>
      </c>
      <c r="H246" s="762"/>
      <c r="I246" s="762"/>
      <c r="J246" s="966" t="s">
        <v>491</v>
      </c>
      <c r="K246" s="966" t="s">
        <v>491</v>
      </c>
      <c r="L246" s="966" t="s">
        <v>491</v>
      </c>
      <c r="M246" s="966" t="s">
        <v>491</v>
      </c>
      <c r="N246" s="768" t="s">
        <v>481</v>
      </c>
      <c r="O246" s="768"/>
      <c r="P246" s="762"/>
      <c r="Q246" s="762" t="s">
        <v>491</v>
      </c>
      <c r="R246" s="762" t="s">
        <v>491</v>
      </c>
      <c r="S246" s="762" t="s">
        <v>491</v>
      </c>
      <c r="T246" s="762" t="s">
        <v>491</v>
      </c>
      <c r="U246" s="762" t="s">
        <v>491</v>
      </c>
      <c r="V246" s="762"/>
      <c r="W246" s="762"/>
      <c r="X246" s="762" t="s">
        <v>491</v>
      </c>
      <c r="Y246" s="762" t="s">
        <v>491</v>
      </c>
      <c r="Z246" s="762"/>
      <c r="AA246" s="762"/>
      <c r="AB246" s="768" t="s">
        <v>481</v>
      </c>
      <c r="AC246" s="768"/>
      <c r="AD246" s="762"/>
      <c r="AE246" s="966" t="s">
        <v>491</v>
      </c>
      <c r="AF246" s="966" t="s">
        <v>491</v>
      </c>
      <c r="AG246" s="966"/>
      <c r="AH246" s="628">
        <v>40</v>
      </c>
      <c r="AI246" s="629">
        <v>37</v>
      </c>
    </row>
    <row r="247" spans="1:35" ht="21.95" customHeight="1">
      <c r="A247" s="442"/>
      <c r="B247" s="153" t="s">
        <v>710</v>
      </c>
      <c r="C247" s="762" t="s">
        <v>491</v>
      </c>
      <c r="D247" s="762" t="s">
        <v>491</v>
      </c>
      <c r="E247" s="762" t="s">
        <v>491</v>
      </c>
      <c r="F247" s="762" t="s">
        <v>491</v>
      </c>
      <c r="G247" s="762" t="s">
        <v>491</v>
      </c>
      <c r="H247" s="762"/>
      <c r="I247" s="762"/>
      <c r="J247" s="762" t="s">
        <v>491</v>
      </c>
      <c r="K247" s="762" t="s">
        <v>491</v>
      </c>
      <c r="L247" s="762" t="s">
        <v>491</v>
      </c>
      <c r="M247" s="762" t="s">
        <v>491</v>
      </c>
      <c r="N247" s="768" t="s">
        <v>491</v>
      </c>
      <c r="O247" s="768"/>
      <c r="P247" s="762"/>
      <c r="Q247" s="762" t="s">
        <v>491</v>
      </c>
      <c r="R247" s="762" t="s">
        <v>491</v>
      </c>
      <c r="S247" s="762" t="s">
        <v>491</v>
      </c>
      <c r="T247" s="762" t="s">
        <v>491</v>
      </c>
      <c r="U247" s="762" t="s">
        <v>491</v>
      </c>
      <c r="V247" s="762"/>
      <c r="W247" s="762"/>
      <c r="X247" s="762" t="s">
        <v>491</v>
      </c>
      <c r="Y247" s="762" t="s">
        <v>491</v>
      </c>
      <c r="Z247" s="762"/>
      <c r="AA247" s="762"/>
      <c r="AB247" s="768"/>
      <c r="AC247" s="768"/>
      <c r="AD247" s="762"/>
      <c r="AE247" s="762" t="s">
        <v>491</v>
      </c>
      <c r="AF247" s="762" t="s">
        <v>491</v>
      </c>
      <c r="AG247" s="762"/>
      <c r="AH247" s="628">
        <v>111</v>
      </c>
      <c r="AI247" s="629">
        <v>37</v>
      </c>
    </row>
    <row r="248" spans="1:35" ht="21.95" customHeight="1">
      <c r="A248" s="516">
        <v>3701</v>
      </c>
      <c r="B248" s="134" t="s">
        <v>711</v>
      </c>
      <c r="C248" s="848" t="s">
        <v>491</v>
      </c>
      <c r="D248" s="848" t="s">
        <v>491</v>
      </c>
      <c r="E248" s="848" t="s">
        <v>491</v>
      </c>
      <c r="F248" s="848" t="s">
        <v>491</v>
      </c>
      <c r="G248" s="848" t="s">
        <v>491</v>
      </c>
      <c r="H248" s="848"/>
      <c r="I248" s="848"/>
      <c r="J248" s="848" t="s">
        <v>491</v>
      </c>
      <c r="K248" s="848" t="s">
        <v>491</v>
      </c>
      <c r="L248" s="848" t="s">
        <v>491</v>
      </c>
      <c r="M248" s="848" t="s">
        <v>491</v>
      </c>
      <c r="N248" s="772" t="s">
        <v>491</v>
      </c>
      <c r="O248" s="772"/>
      <c r="P248" s="848"/>
      <c r="Q248" s="848" t="s">
        <v>491</v>
      </c>
      <c r="R248" s="848" t="s">
        <v>491</v>
      </c>
      <c r="S248" s="848" t="s">
        <v>491</v>
      </c>
      <c r="T248" s="848" t="s">
        <v>491</v>
      </c>
      <c r="U248" s="848" t="s">
        <v>491</v>
      </c>
      <c r="V248" s="848"/>
      <c r="W248" s="848"/>
      <c r="X248" s="848" t="s">
        <v>491</v>
      </c>
      <c r="Y248" s="848" t="s">
        <v>491</v>
      </c>
      <c r="Z248" s="848"/>
      <c r="AA248" s="848"/>
      <c r="AB248" s="772"/>
      <c r="AC248" s="772"/>
      <c r="AD248" s="848"/>
      <c r="AE248" s="1284" t="s">
        <v>491</v>
      </c>
      <c r="AF248" s="1284" t="s">
        <v>491</v>
      </c>
      <c r="AG248" s="848"/>
      <c r="AH248" s="849">
        <v>103.5</v>
      </c>
      <c r="AI248" s="850">
        <v>37</v>
      </c>
    </row>
    <row r="249" spans="1:35" ht="21" customHeight="1">
      <c r="A249" s="793">
        <v>8500</v>
      </c>
      <c r="B249" s="227" t="s">
        <v>712</v>
      </c>
      <c r="C249" s="852" t="s">
        <v>491</v>
      </c>
      <c r="D249" s="852" t="s">
        <v>491</v>
      </c>
      <c r="E249" s="852" t="s">
        <v>491</v>
      </c>
      <c r="F249" s="852" t="s">
        <v>491</v>
      </c>
      <c r="G249" s="852" t="s">
        <v>491</v>
      </c>
      <c r="H249" s="852"/>
      <c r="I249" s="852"/>
      <c r="J249" s="852" t="s">
        <v>491</v>
      </c>
      <c r="K249" s="852" t="s">
        <v>491</v>
      </c>
      <c r="L249" s="852" t="s">
        <v>491</v>
      </c>
      <c r="M249" s="852" t="s">
        <v>491</v>
      </c>
      <c r="N249" s="782" t="s">
        <v>491</v>
      </c>
      <c r="O249" s="782"/>
      <c r="P249" s="852"/>
      <c r="Q249" s="852" t="s">
        <v>491</v>
      </c>
      <c r="R249" s="852" t="s">
        <v>491</v>
      </c>
      <c r="S249" s="852" t="s">
        <v>491</v>
      </c>
      <c r="T249" s="852" t="s">
        <v>491</v>
      </c>
      <c r="U249" s="852" t="s">
        <v>491</v>
      </c>
      <c r="V249" s="852"/>
      <c r="W249" s="852"/>
      <c r="X249" s="852" t="s">
        <v>491</v>
      </c>
      <c r="Y249" s="852" t="s">
        <v>491</v>
      </c>
      <c r="Z249" s="852"/>
      <c r="AA249" s="852"/>
      <c r="AB249" s="782"/>
      <c r="AC249" s="782"/>
      <c r="AD249" s="852"/>
      <c r="AE249" s="1285" t="s">
        <v>491</v>
      </c>
      <c r="AF249" s="1285" t="s">
        <v>491</v>
      </c>
      <c r="AG249" s="852"/>
      <c r="AH249" s="849">
        <v>185</v>
      </c>
      <c r="AI249" s="850">
        <v>37</v>
      </c>
    </row>
    <row r="250" spans="1:35" ht="21.95" customHeight="1">
      <c r="A250" s="856">
        <v>3350</v>
      </c>
      <c r="B250" s="855" t="s">
        <v>713</v>
      </c>
      <c r="C250" s="852" t="s">
        <v>491</v>
      </c>
      <c r="D250" s="852" t="s">
        <v>491</v>
      </c>
      <c r="E250" s="852" t="s">
        <v>491</v>
      </c>
      <c r="F250" s="852" t="s">
        <v>491</v>
      </c>
      <c r="G250" s="852" t="s">
        <v>491</v>
      </c>
      <c r="H250" s="852"/>
      <c r="I250" s="852"/>
      <c r="J250" s="852" t="s">
        <v>491</v>
      </c>
      <c r="K250" s="852" t="s">
        <v>491</v>
      </c>
      <c r="L250" s="852" t="s">
        <v>491</v>
      </c>
      <c r="M250" s="852" t="s">
        <v>491</v>
      </c>
      <c r="N250" s="782" t="s">
        <v>491</v>
      </c>
      <c r="O250" s="782"/>
      <c r="P250" s="852"/>
      <c r="Q250" s="852" t="s">
        <v>491</v>
      </c>
      <c r="R250" s="852" t="s">
        <v>491</v>
      </c>
      <c r="S250" s="852" t="s">
        <v>491</v>
      </c>
      <c r="T250" s="852" t="s">
        <v>491</v>
      </c>
      <c r="U250" s="852" t="s">
        <v>491</v>
      </c>
      <c r="V250" s="852"/>
      <c r="W250" s="852"/>
      <c r="X250" s="1189" t="s">
        <v>491</v>
      </c>
      <c r="Y250" s="1189" t="s">
        <v>491</v>
      </c>
      <c r="Z250" s="852"/>
      <c r="AA250" s="852"/>
      <c r="AB250" s="782"/>
      <c r="AC250" s="782"/>
      <c r="AD250" s="852"/>
      <c r="AE250" s="1291" t="s">
        <v>491</v>
      </c>
      <c r="AF250" s="852" t="s">
        <v>491</v>
      </c>
      <c r="AG250" s="852"/>
      <c r="AH250" s="849">
        <v>185</v>
      </c>
      <c r="AI250" s="850">
        <v>37</v>
      </c>
    </row>
    <row r="251" spans="1:35" ht="21.95" customHeight="1">
      <c r="A251" s="1136"/>
      <c r="B251" s="1137"/>
      <c r="C251" s="1138" t="s">
        <v>491</v>
      </c>
      <c r="D251" s="1138" t="s">
        <v>491</v>
      </c>
      <c r="E251" s="1138" t="s">
        <v>491</v>
      </c>
      <c r="F251" s="1138" t="s">
        <v>491</v>
      </c>
      <c r="G251" s="1138" t="s">
        <v>491</v>
      </c>
      <c r="H251" s="1138"/>
      <c r="I251" s="1138"/>
      <c r="J251" s="1138" t="s">
        <v>491</v>
      </c>
      <c r="K251" s="1138" t="s">
        <v>491</v>
      </c>
      <c r="L251" s="1138" t="s">
        <v>491</v>
      </c>
      <c r="M251" s="1138" t="s">
        <v>491</v>
      </c>
      <c r="N251" s="1139" t="s">
        <v>491</v>
      </c>
      <c r="O251" s="1139"/>
      <c r="P251" s="1138"/>
      <c r="Q251" s="1138" t="s">
        <v>491</v>
      </c>
      <c r="R251" s="1138" t="s">
        <v>491</v>
      </c>
      <c r="S251" s="1138" t="s">
        <v>491</v>
      </c>
      <c r="T251" s="1138" t="s">
        <v>491</v>
      </c>
      <c r="U251" s="1138" t="s">
        <v>491</v>
      </c>
      <c r="V251" s="1138"/>
      <c r="W251" s="1138"/>
      <c r="X251" s="1138" t="s">
        <v>491</v>
      </c>
      <c r="Y251" s="1138" t="s">
        <v>491</v>
      </c>
      <c r="Z251" s="1138"/>
      <c r="AA251" s="1138"/>
      <c r="AB251" s="1139"/>
      <c r="AC251" s="1139"/>
      <c r="AD251" s="1138"/>
      <c r="AE251" s="1138" t="s">
        <v>491</v>
      </c>
      <c r="AF251" s="1138" t="s">
        <v>491</v>
      </c>
      <c r="AG251" s="1138"/>
      <c r="AH251" s="849"/>
      <c r="AI251" s="850"/>
    </row>
    <row r="252" spans="1:35" ht="21.95" customHeight="1">
      <c r="A252" s="856"/>
      <c r="B252" s="1142"/>
      <c r="C252" s="852"/>
      <c r="D252" s="852"/>
      <c r="E252" s="852"/>
      <c r="F252" s="852"/>
      <c r="G252" s="852"/>
      <c r="H252" s="852"/>
      <c r="I252" s="852"/>
      <c r="J252" s="852"/>
      <c r="K252" s="852"/>
      <c r="L252" s="852"/>
      <c r="M252" s="852"/>
      <c r="N252" s="782"/>
      <c r="O252" s="782"/>
      <c r="P252" s="852"/>
      <c r="Q252" s="852"/>
      <c r="R252" s="852"/>
      <c r="S252" s="852"/>
      <c r="T252" s="852"/>
      <c r="U252" s="852"/>
      <c r="V252" s="852"/>
      <c r="W252" s="852"/>
      <c r="X252" s="852"/>
      <c r="Y252" s="852"/>
      <c r="Z252" s="852"/>
      <c r="AA252" s="852"/>
      <c r="AB252" s="782"/>
      <c r="AC252" s="782"/>
      <c r="AD252" s="852"/>
      <c r="AE252" s="852"/>
      <c r="AF252" s="852"/>
      <c r="AG252" s="852"/>
      <c r="AH252" s="1141"/>
      <c r="AI252" s="1141"/>
    </row>
    <row r="253" spans="1:35" ht="21.95" customHeight="1">
      <c r="A253" s="793"/>
      <c r="B253" s="1142"/>
      <c r="C253" s="793"/>
      <c r="D253" s="793"/>
      <c r="E253" s="793"/>
      <c r="F253" s="793"/>
      <c r="G253" s="793"/>
      <c r="H253" s="793"/>
      <c r="I253" s="793"/>
      <c r="J253" s="793"/>
      <c r="K253" s="793"/>
      <c r="L253" s="793"/>
      <c r="M253" s="793"/>
      <c r="N253" s="793"/>
      <c r="O253" s="793"/>
      <c r="P253" s="793"/>
      <c r="Q253" s="793"/>
      <c r="R253" s="793"/>
      <c r="S253" s="793"/>
      <c r="T253" s="793"/>
      <c r="U253" s="793"/>
      <c r="V253" s="793"/>
      <c r="W253" s="793"/>
      <c r="X253" s="793"/>
      <c r="Y253" s="793"/>
      <c r="Z253" s="793"/>
      <c r="AA253" s="793"/>
      <c r="AB253" s="793"/>
      <c r="AC253" s="793"/>
      <c r="AD253" s="793"/>
      <c r="AE253" s="793"/>
      <c r="AF253" s="793"/>
      <c r="AG253" s="852"/>
      <c r="AH253" s="1141"/>
      <c r="AI253" s="793"/>
    </row>
    <row r="255" spans="1:35" ht="25.5" customHeight="1" thickBot="1">
      <c r="A255" s="1" t="s">
        <v>716</v>
      </c>
    </row>
    <row r="256" spans="1:35" ht="21" customHeight="1">
      <c r="A256" s="1"/>
      <c r="B256" s="201" t="s">
        <v>664</v>
      </c>
      <c r="C256" s="7"/>
      <c r="D256" s="522" t="s">
        <v>2</v>
      </c>
      <c r="E256" s="51"/>
      <c r="F256" s="548"/>
      <c r="G256" s="7"/>
      <c r="H256" s="522" t="s">
        <v>3</v>
      </c>
      <c r="I256" s="51"/>
      <c r="J256" s="548"/>
      <c r="K256" s="7"/>
      <c r="L256" s="522" t="s">
        <v>4</v>
      </c>
      <c r="M256" s="51"/>
      <c r="N256" s="548"/>
      <c r="O256" s="7"/>
      <c r="P256" s="522" t="s">
        <v>5</v>
      </c>
      <c r="Q256" s="51"/>
      <c r="R256" s="548"/>
      <c r="S256" s="7"/>
      <c r="T256" s="522" t="s">
        <v>6</v>
      </c>
      <c r="U256" s="51"/>
      <c r="V256" s="548"/>
      <c r="W256" s="7"/>
      <c r="X256" s="522" t="s">
        <v>7</v>
      </c>
      <c r="Y256" s="51"/>
      <c r="Z256" s="548"/>
      <c r="AA256" s="7"/>
      <c r="AB256" s="522" t="s">
        <v>8</v>
      </c>
      <c r="AC256" s="51"/>
      <c r="AD256" s="51"/>
      <c r="AE256" s="425" t="s">
        <v>10</v>
      </c>
      <c r="AF256" s="51"/>
      <c r="AG256" s="51"/>
      <c r="AH256" s="51"/>
      <c r="AI256" s="523"/>
    </row>
    <row r="257" spans="1:35" ht="21" customHeight="1">
      <c r="A257" s="1"/>
      <c r="B257" s="9"/>
      <c r="C257" s="14"/>
      <c r="D257" s="603"/>
      <c r="E257" s="55"/>
      <c r="F257" s="602"/>
      <c r="G257" s="14"/>
      <c r="H257" s="603"/>
      <c r="I257" s="55"/>
      <c r="J257" s="602"/>
      <c r="K257" s="14"/>
      <c r="L257" s="603"/>
      <c r="M257" s="55"/>
      <c r="N257" s="602"/>
      <c r="O257" s="14"/>
      <c r="P257" s="603"/>
      <c r="Q257" s="55"/>
      <c r="R257" s="602"/>
      <c r="S257" s="14"/>
      <c r="T257" s="603"/>
      <c r="U257" s="55"/>
      <c r="V257" s="602"/>
      <c r="W257" s="14"/>
      <c r="X257" s="603"/>
      <c r="Y257" s="55"/>
      <c r="Z257" s="602"/>
      <c r="AA257" s="14"/>
      <c r="AB257" s="603"/>
      <c r="AC257" s="55"/>
      <c r="AD257" s="55"/>
      <c r="AE257" s="604"/>
      <c r="AF257" s="55"/>
      <c r="AG257" s="55"/>
      <c r="AH257" s="55"/>
      <c r="AI257" s="605"/>
    </row>
    <row r="258" spans="1:35" ht="21" customHeight="1">
      <c r="B258" s="606"/>
      <c r="C258" s="121"/>
      <c r="D258" s="157"/>
      <c r="E258" s="157"/>
      <c r="F258" s="564"/>
      <c r="G258" s="121"/>
      <c r="H258" s="157"/>
      <c r="I258" s="157"/>
      <c r="J258" s="564"/>
      <c r="K258" s="121"/>
      <c r="L258" s="157"/>
      <c r="M258" s="157"/>
      <c r="N258" s="564"/>
      <c r="O258" s="121"/>
      <c r="P258" s="157"/>
      <c r="Q258" s="157"/>
      <c r="R258" s="564"/>
      <c r="S258" s="121"/>
      <c r="T258" s="157"/>
      <c r="U258" s="157"/>
      <c r="V258" s="564"/>
      <c r="W258" s="121"/>
      <c r="X258" s="157"/>
      <c r="Y258" s="157"/>
      <c r="Z258" s="564"/>
      <c r="AA258" s="563"/>
      <c r="AB258" s="157"/>
      <c r="AC258" s="157"/>
      <c r="AD258" s="565"/>
      <c r="AE258" s="607"/>
      <c r="AF258" s="157"/>
      <c r="AG258" s="157" t="s">
        <v>28</v>
      </c>
      <c r="AH258" s="565"/>
      <c r="AI258" s="490"/>
    </row>
    <row r="259" spans="1:35" ht="21" customHeight="1" thickBot="1">
      <c r="A259" s="1"/>
      <c r="B259" s="47"/>
      <c r="C259" s="570"/>
      <c r="D259" s="53"/>
      <c r="E259" s="53"/>
      <c r="F259" s="571"/>
      <c r="G259" s="570"/>
      <c r="H259" s="53"/>
      <c r="I259" s="53"/>
      <c r="J259" s="571"/>
      <c r="K259" s="570"/>
      <c r="L259" s="53"/>
      <c r="M259" s="53"/>
      <c r="N259" s="571"/>
      <c r="O259" s="570"/>
      <c r="P259" s="53"/>
      <c r="Q259" s="53"/>
      <c r="R259" s="571"/>
      <c r="S259" s="570"/>
      <c r="T259" s="53"/>
      <c r="U259" s="53"/>
      <c r="V259" s="571"/>
      <c r="W259" s="57"/>
      <c r="X259" s="53"/>
      <c r="Y259" s="53"/>
      <c r="Z259" s="571"/>
      <c r="AA259" s="57"/>
      <c r="AB259" s="53"/>
      <c r="AC259" s="53"/>
      <c r="AD259" s="573"/>
      <c r="AE259" s="57"/>
      <c r="AF259" s="53"/>
      <c r="AG259" s="53"/>
      <c r="AH259" s="573"/>
      <c r="AI259" s="536"/>
    </row>
    <row r="260" spans="1:35" ht="33" customHeight="1" thickBot="1">
      <c r="A260" s="1" t="s">
        <v>790</v>
      </c>
      <c r="B260" s="72"/>
      <c r="C260" s="312"/>
      <c r="F260" s="354"/>
      <c r="G260" s="312"/>
      <c r="J260" s="354"/>
      <c r="K260" s="312"/>
      <c r="N260" s="354"/>
      <c r="O260" s="312"/>
      <c r="R260" s="354"/>
      <c r="S260" s="312"/>
      <c r="V260" s="354"/>
      <c r="W260" s="354"/>
      <c r="Z260" s="354"/>
      <c r="AA260" s="354"/>
      <c r="AD260" s="354"/>
      <c r="AE260" s="354"/>
      <c r="AH260" s="354"/>
    </row>
    <row r="261" spans="1:35" ht="21" customHeight="1" thickBot="1">
      <c r="A261" s="861" t="s">
        <v>475</v>
      </c>
      <c r="B261" s="862" t="s">
        <v>476</v>
      </c>
      <c r="C261" s="863">
        <v>1</v>
      </c>
      <c r="D261" s="863">
        <v>2</v>
      </c>
      <c r="E261" s="863">
        <v>3</v>
      </c>
      <c r="F261" s="863">
        <v>4</v>
      </c>
      <c r="G261" s="863">
        <v>5</v>
      </c>
      <c r="H261" s="880">
        <v>6</v>
      </c>
      <c r="I261" s="880">
        <v>7</v>
      </c>
      <c r="J261" s="863">
        <v>8</v>
      </c>
      <c r="K261" s="863">
        <v>9</v>
      </c>
      <c r="L261" s="863">
        <v>10</v>
      </c>
      <c r="M261" s="863">
        <v>11</v>
      </c>
      <c r="N261" s="863">
        <v>12</v>
      </c>
      <c r="O261" s="880">
        <v>13</v>
      </c>
      <c r="P261" s="880">
        <v>14</v>
      </c>
      <c r="Q261" s="863">
        <v>15</v>
      </c>
      <c r="R261" s="863">
        <v>16</v>
      </c>
      <c r="S261" s="863">
        <v>17</v>
      </c>
      <c r="T261" s="863">
        <v>18</v>
      </c>
      <c r="U261" s="863">
        <v>19</v>
      </c>
      <c r="V261" s="880">
        <v>20</v>
      </c>
      <c r="W261" s="880">
        <v>21</v>
      </c>
      <c r="X261" s="863">
        <v>22</v>
      </c>
      <c r="Y261" s="863">
        <v>23</v>
      </c>
      <c r="Z261" s="880">
        <v>24</v>
      </c>
      <c r="AA261" s="880">
        <v>25</v>
      </c>
      <c r="AB261" s="880">
        <v>26</v>
      </c>
      <c r="AC261" s="880">
        <v>27</v>
      </c>
      <c r="AD261" s="880">
        <v>28</v>
      </c>
      <c r="AE261" s="863">
        <v>29</v>
      </c>
      <c r="AF261" s="863">
        <v>30</v>
      </c>
      <c r="AG261" s="949">
        <v>31</v>
      </c>
      <c r="AH261" s="864" t="s">
        <v>477</v>
      </c>
      <c r="AI261" s="865" t="s">
        <v>478</v>
      </c>
    </row>
    <row r="262" spans="1:35" ht="21" customHeight="1">
      <c r="A262" s="438"/>
      <c r="B262" s="916" t="s">
        <v>718</v>
      </c>
      <c r="C262" s="768" t="s">
        <v>491</v>
      </c>
      <c r="D262" s="768" t="s">
        <v>491</v>
      </c>
      <c r="E262" s="768" t="s">
        <v>491</v>
      </c>
      <c r="F262" s="768" t="s">
        <v>491</v>
      </c>
      <c r="G262" s="768" t="s">
        <v>491</v>
      </c>
      <c r="H262" s="768"/>
      <c r="I262" s="768"/>
      <c r="J262" s="768" t="s">
        <v>491</v>
      </c>
      <c r="K262" s="768" t="s">
        <v>491</v>
      </c>
      <c r="L262" s="768" t="s">
        <v>491</v>
      </c>
      <c r="M262" s="768" t="s">
        <v>491</v>
      </c>
      <c r="N262" s="768" t="s">
        <v>491</v>
      </c>
      <c r="O262" s="768"/>
      <c r="P262" s="768"/>
      <c r="Q262" s="768" t="s">
        <v>491</v>
      </c>
      <c r="R262" s="768" t="s">
        <v>491</v>
      </c>
      <c r="S262" s="768" t="s">
        <v>491</v>
      </c>
      <c r="T262" s="768" t="s">
        <v>491</v>
      </c>
      <c r="U262" s="768" t="s">
        <v>491</v>
      </c>
      <c r="V262" s="768"/>
      <c r="W262" s="768"/>
      <c r="X262" s="768" t="s">
        <v>491</v>
      </c>
      <c r="Y262" s="768" t="s">
        <v>491</v>
      </c>
      <c r="Z262" s="768"/>
      <c r="AA262" s="768"/>
      <c r="AB262" s="768"/>
      <c r="AC262" s="768"/>
      <c r="AD262" s="768"/>
      <c r="AE262" s="768" t="s">
        <v>491</v>
      </c>
      <c r="AF262" s="768" t="s">
        <v>491</v>
      </c>
      <c r="AG262" s="768"/>
      <c r="AH262" s="909">
        <v>52</v>
      </c>
      <c r="AI262" s="910">
        <v>37</v>
      </c>
    </row>
    <row r="263" spans="1:35" ht="21" customHeight="1">
      <c r="A263" s="442"/>
      <c r="B263" s="613" t="s">
        <v>719</v>
      </c>
      <c r="C263" s="762" t="s">
        <v>491</v>
      </c>
      <c r="D263" s="762" t="s">
        <v>491</v>
      </c>
      <c r="E263" s="762" t="s">
        <v>491</v>
      </c>
      <c r="F263" s="762" t="s">
        <v>491</v>
      </c>
      <c r="G263" s="762" t="s">
        <v>491</v>
      </c>
      <c r="H263" s="762"/>
      <c r="I263" s="762"/>
      <c r="J263" s="762" t="s">
        <v>491</v>
      </c>
      <c r="K263" s="762" t="s">
        <v>491</v>
      </c>
      <c r="L263" s="762" t="s">
        <v>491</v>
      </c>
      <c r="M263" s="762" t="s">
        <v>491</v>
      </c>
      <c r="N263" s="768" t="s">
        <v>491</v>
      </c>
      <c r="O263" s="768"/>
      <c r="P263" s="762"/>
      <c r="Q263" s="762" t="s">
        <v>491</v>
      </c>
      <c r="R263" s="762" t="s">
        <v>491</v>
      </c>
      <c r="S263" s="762" t="s">
        <v>491</v>
      </c>
      <c r="T263" s="762" t="s">
        <v>491</v>
      </c>
      <c r="U263" s="762" t="s">
        <v>491</v>
      </c>
      <c r="V263" s="762"/>
      <c r="W263" s="762"/>
      <c r="X263" s="762" t="s">
        <v>491</v>
      </c>
      <c r="Y263" s="762" t="s">
        <v>491</v>
      </c>
      <c r="Z263" s="762"/>
      <c r="AA263" s="762"/>
      <c r="AB263" s="768"/>
      <c r="AC263" s="768"/>
      <c r="AD263" s="762"/>
      <c r="AE263" s="762" t="s">
        <v>491</v>
      </c>
      <c r="AF263" s="762" t="s">
        <v>491</v>
      </c>
      <c r="AG263" s="762"/>
      <c r="AH263" s="628">
        <v>1</v>
      </c>
      <c r="AI263" s="629">
        <v>37</v>
      </c>
    </row>
    <row r="264" spans="1:35" ht="21" customHeight="1">
      <c r="A264" s="442"/>
      <c r="B264" s="613" t="s">
        <v>720</v>
      </c>
      <c r="C264" s="762" t="s">
        <v>491</v>
      </c>
      <c r="D264" s="762" t="s">
        <v>491</v>
      </c>
      <c r="E264" s="762" t="s">
        <v>491</v>
      </c>
      <c r="F264" s="762" t="s">
        <v>491</v>
      </c>
      <c r="G264" s="762" t="s">
        <v>491</v>
      </c>
      <c r="H264" s="762"/>
      <c r="I264" s="762"/>
      <c r="J264" s="762" t="s">
        <v>491</v>
      </c>
      <c r="K264" s="762" t="s">
        <v>491</v>
      </c>
      <c r="L264" s="762" t="s">
        <v>491</v>
      </c>
      <c r="M264" s="762" t="s">
        <v>491</v>
      </c>
      <c r="N264" s="768" t="s">
        <v>491</v>
      </c>
      <c r="O264" s="768"/>
      <c r="P264" s="762"/>
      <c r="Q264" s="762" t="s">
        <v>491</v>
      </c>
      <c r="R264" s="762" t="s">
        <v>491</v>
      </c>
      <c r="S264" s="762" t="s">
        <v>491</v>
      </c>
      <c r="T264" s="762" t="s">
        <v>491</v>
      </c>
      <c r="U264" s="762" t="s">
        <v>491</v>
      </c>
      <c r="V264" s="762"/>
      <c r="W264" s="762"/>
      <c r="X264" s="979" t="s">
        <v>491</v>
      </c>
      <c r="Y264" s="979" t="s">
        <v>491</v>
      </c>
      <c r="Z264" s="762"/>
      <c r="AA264" s="762"/>
      <c r="AB264" s="768"/>
      <c r="AC264" s="768"/>
      <c r="AD264" s="762"/>
      <c r="AE264" s="762" t="s">
        <v>491</v>
      </c>
      <c r="AF264" s="979" t="s">
        <v>491</v>
      </c>
      <c r="AG264" s="762"/>
      <c r="AH264" s="628">
        <v>28</v>
      </c>
      <c r="AI264" s="629">
        <v>30</v>
      </c>
    </row>
    <row r="265" spans="1:35" ht="21" customHeight="1">
      <c r="A265" s="442"/>
      <c r="B265" s="613" t="s">
        <v>721</v>
      </c>
      <c r="C265" s="762" t="s">
        <v>491</v>
      </c>
      <c r="D265" s="762" t="s">
        <v>491</v>
      </c>
      <c r="E265" s="762" t="s">
        <v>491</v>
      </c>
      <c r="F265" s="762" t="s">
        <v>491</v>
      </c>
      <c r="G265" s="762" t="s">
        <v>491</v>
      </c>
      <c r="H265" s="762"/>
      <c r="I265" s="762"/>
      <c r="J265" s="762" t="s">
        <v>491</v>
      </c>
      <c r="K265" s="762" t="s">
        <v>491</v>
      </c>
      <c r="L265" s="762" t="s">
        <v>491</v>
      </c>
      <c r="M265" s="762" t="s">
        <v>491</v>
      </c>
      <c r="N265" s="768" t="s">
        <v>491</v>
      </c>
      <c r="O265" s="768"/>
      <c r="P265" s="762"/>
      <c r="Q265" s="762" t="s">
        <v>491</v>
      </c>
      <c r="R265" s="762" t="s">
        <v>491</v>
      </c>
      <c r="S265" s="762" t="s">
        <v>491</v>
      </c>
      <c r="T265" s="762" t="s">
        <v>491</v>
      </c>
      <c r="U265" s="762" t="s">
        <v>491</v>
      </c>
      <c r="V265" s="762"/>
      <c r="W265" s="762"/>
      <c r="X265" s="762" t="s">
        <v>491</v>
      </c>
      <c r="Y265" s="762" t="s">
        <v>491</v>
      </c>
      <c r="Z265" s="762"/>
      <c r="AA265" s="762"/>
      <c r="AB265" s="768"/>
      <c r="AC265" s="768"/>
      <c r="AD265" s="762"/>
      <c r="AE265" s="762" t="s">
        <v>491</v>
      </c>
      <c r="AF265" s="966" t="s">
        <v>491</v>
      </c>
      <c r="AG265" s="762"/>
      <c r="AH265" s="628">
        <v>130</v>
      </c>
      <c r="AI265" s="629">
        <v>0</v>
      </c>
    </row>
    <row r="266" spans="1:35" ht="21" customHeight="1">
      <c r="A266" s="442"/>
      <c r="B266" s="613" t="s">
        <v>722</v>
      </c>
      <c r="C266" s="762" t="s">
        <v>491</v>
      </c>
      <c r="D266" s="762" t="s">
        <v>491</v>
      </c>
      <c r="E266" s="762" t="s">
        <v>491</v>
      </c>
      <c r="F266" s="762" t="s">
        <v>491</v>
      </c>
      <c r="G266" s="762" t="s">
        <v>491</v>
      </c>
      <c r="H266" s="762"/>
      <c r="I266" s="762"/>
      <c r="J266" s="762" t="s">
        <v>491</v>
      </c>
      <c r="K266" s="762" t="s">
        <v>491</v>
      </c>
      <c r="L266" s="762" t="s">
        <v>491</v>
      </c>
      <c r="M266" s="762" t="s">
        <v>491</v>
      </c>
      <c r="N266" s="970" t="s">
        <v>491</v>
      </c>
      <c r="O266" s="768"/>
      <c r="P266" s="762"/>
      <c r="Q266" s="762" t="s">
        <v>491</v>
      </c>
      <c r="R266" s="762" t="s">
        <v>491</v>
      </c>
      <c r="S266" s="762" t="s">
        <v>491</v>
      </c>
      <c r="T266" s="762" t="s">
        <v>491</v>
      </c>
      <c r="U266" s="762" t="s">
        <v>491</v>
      </c>
      <c r="V266" s="762"/>
      <c r="W266" s="762"/>
      <c r="X266" s="762" t="s">
        <v>491</v>
      </c>
      <c r="Y266" s="762" t="s">
        <v>491</v>
      </c>
      <c r="Z266" s="762"/>
      <c r="AA266" s="762"/>
      <c r="AB266" s="768"/>
      <c r="AC266" s="768"/>
      <c r="AD266" s="762"/>
      <c r="AE266" s="762" t="s">
        <v>491</v>
      </c>
      <c r="AF266" s="979" t="s">
        <v>491</v>
      </c>
      <c r="AG266" s="762"/>
      <c r="AH266" s="628">
        <v>55</v>
      </c>
      <c r="AI266" s="629">
        <v>5</v>
      </c>
    </row>
    <row r="267" spans="1:35" ht="21" customHeight="1">
      <c r="A267" s="442"/>
      <c r="B267" s="613" t="s">
        <v>723</v>
      </c>
      <c r="C267" s="762" t="s">
        <v>491</v>
      </c>
      <c r="D267" s="762" t="s">
        <v>491</v>
      </c>
      <c r="E267" s="762" t="s">
        <v>491</v>
      </c>
      <c r="F267" s="762" t="s">
        <v>491</v>
      </c>
      <c r="G267" s="762" t="s">
        <v>491</v>
      </c>
      <c r="H267" s="762"/>
      <c r="I267" s="762"/>
      <c r="J267" s="762" t="s">
        <v>491</v>
      </c>
      <c r="K267" s="762" t="s">
        <v>491</v>
      </c>
      <c r="L267" s="762" t="s">
        <v>491</v>
      </c>
      <c r="M267" s="762" t="s">
        <v>491</v>
      </c>
      <c r="N267" s="768" t="s">
        <v>491</v>
      </c>
      <c r="O267" s="768"/>
      <c r="P267" s="762"/>
      <c r="Q267" s="762" t="s">
        <v>491</v>
      </c>
      <c r="R267" s="762" t="s">
        <v>491</v>
      </c>
      <c r="S267" s="966" t="s">
        <v>491</v>
      </c>
      <c r="T267" s="762" t="s">
        <v>491</v>
      </c>
      <c r="U267" s="762" t="s">
        <v>491</v>
      </c>
      <c r="V267" s="762"/>
      <c r="W267" s="762"/>
      <c r="X267" s="966" t="s">
        <v>491</v>
      </c>
      <c r="Y267" s="966" t="s">
        <v>491</v>
      </c>
      <c r="Z267" s="762"/>
      <c r="AA267" s="762"/>
      <c r="AB267" s="768"/>
      <c r="AC267" s="768"/>
      <c r="AD267" s="762"/>
      <c r="AE267" s="966" t="s">
        <v>491</v>
      </c>
      <c r="AF267" s="966" t="s">
        <v>491</v>
      </c>
      <c r="AG267" s="762"/>
      <c r="AH267" s="628">
        <v>4</v>
      </c>
      <c r="AI267" s="629">
        <v>37</v>
      </c>
    </row>
    <row r="268" spans="1:35" ht="21" customHeight="1">
      <c r="A268" s="442"/>
      <c r="B268" s="613" t="s">
        <v>724</v>
      </c>
      <c r="C268" s="762" t="s">
        <v>491</v>
      </c>
      <c r="D268" s="762" t="s">
        <v>491</v>
      </c>
      <c r="E268" s="762" t="s">
        <v>491</v>
      </c>
      <c r="F268" s="1015" t="s">
        <v>491</v>
      </c>
      <c r="G268" s="1015" t="s">
        <v>491</v>
      </c>
      <c r="H268" s="1015"/>
      <c r="I268" s="1015"/>
      <c r="J268" s="1015" t="s">
        <v>493</v>
      </c>
      <c r="K268" s="553" t="s">
        <v>491</v>
      </c>
      <c r="L268" s="553" t="s">
        <v>491</v>
      </c>
      <c r="M268" s="1251" t="s">
        <v>491</v>
      </c>
      <c r="N268" s="768" t="s">
        <v>491</v>
      </c>
      <c r="O268" s="768"/>
      <c r="P268" s="762"/>
      <c r="Q268" s="762" t="s">
        <v>491</v>
      </c>
      <c r="R268" s="762" t="s">
        <v>491</v>
      </c>
      <c r="S268" s="762" t="s">
        <v>491</v>
      </c>
      <c r="T268" s="762" t="s">
        <v>491</v>
      </c>
      <c r="U268" s="762" t="s">
        <v>491</v>
      </c>
      <c r="V268" s="762"/>
      <c r="W268" s="762"/>
      <c r="X268" s="1251" t="s">
        <v>491</v>
      </c>
      <c r="Y268" s="1251" t="s">
        <v>491</v>
      </c>
      <c r="Z268" s="762"/>
      <c r="AA268" s="762"/>
      <c r="AB268" s="768"/>
      <c r="AC268" s="768"/>
      <c r="AD268" s="762"/>
      <c r="AE268" s="762" t="s">
        <v>491</v>
      </c>
      <c r="AF268" s="966" t="s">
        <v>491</v>
      </c>
      <c r="AG268" s="762"/>
      <c r="AH268" s="628">
        <v>8</v>
      </c>
      <c r="AI268" s="629">
        <v>25</v>
      </c>
    </row>
    <row r="269" spans="1:35" ht="21" customHeight="1">
      <c r="A269" s="442"/>
      <c r="B269" s="613" t="s">
        <v>725</v>
      </c>
      <c r="C269" s="762" t="s">
        <v>491</v>
      </c>
      <c r="D269" s="762" t="s">
        <v>491</v>
      </c>
      <c r="E269" s="762" t="s">
        <v>491</v>
      </c>
      <c r="F269" s="762" t="s">
        <v>491</v>
      </c>
      <c r="G269" s="762" t="s">
        <v>491</v>
      </c>
      <c r="H269" s="762"/>
      <c r="I269" s="762"/>
      <c r="J269" s="762" t="s">
        <v>491</v>
      </c>
      <c r="K269" s="762" t="s">
        <v>491</v>
      </c>
      <c r="L269" s="762" t="s">
        <v>491</v>
      </c>
      <c r="M269" s="762" t="s">
        <v>491</v>
      </c>
      <c r="N269" s="768" t="s">
        <v>491</v>
      </c>
      <c r="O269" s="768"/>
      <c r="P269" s="762"/>
      <c r="Q269" s="762" t="s">
        <v>491</v>
      </c>
      <c r="R269" s="762" t="s">
        <v>491</v>
      </c>
      <c r="S269" s="762" t="s">
        <v>491</v>
      </c>
      <c r="T269" s="762" t="s">
        <v>491</v>
      </c>
      <c r="U269" s="762" t="s">
        <v>491</v>
      </c>
      <c r="V269" s="762"/>
      <c r="W269" s="762"/>
      <c r="X269" s="1255" t="s">
        <v>491</v>
      </c>
      <c r="Y269" s="1255" t="s">
        <v>491</v>
      </c>
      <c r="Z269" s="762"/>
      <c r="AA269" s="762"/>
      <c r="AB269" s="768"/>
      <c r="AC269" s="768"/>
      <c r="AD269" s="762"/>
      <c r="AE269" s="762" t="s">
        <v>491</v>
      </c>
      <c r="AF269" s="1255" t="s">
        <v>491</v>
      </c>
      <c r="AG269" s="762"/>
      <c r="AH269" s="628">
        <v>59</v>
      </c>
      <c r="AI269" s="629">
        <v>37</v>
      </c>
    </row>
    <row r="270" spans="1:35" ht="21" customHeight="1">
      <c r="A270" s="442"/>
      <c r="B270" s="613" t="s">
        <v>726</v>
      </c>
      <c r="C270" s="1015" t="s">
        <v>491</v>
      </c>
      <c r="D270" s="1015" t="s">
        <v>491</v>
      </c>
      <c r="E270" s="1015" t="s">
        <v>491</v>
      </c>
      <c r="F270" s="1015" t="s">
        <v>491</v>
      </c>
      <c r="G270" s="1015" t="s">
        <v>491</v>
      </c>
      <c r="H270" s="1015"/>
      <c r="I270" s="1015"/>
      <c r="J270" s="1015" t="s">
        <v>491</v>
      </c>
      <c r="K270" s="1015" t="s">
        <v>491</v>
      </c>
      <c r="L270" s="1015" t="s">
        <v>491</v>
      </c>
      <c r="M270" s="1015" t="s">
        <v>491</v>
      </c>
      <c r="N270" s="1038" t="s">
        <v>491</v>
      </c>
      <c r="O270" s="1038"/>
      <c r="P270" s="1015"/>
      <c r="Q270" s="1015" t="s">
        <v>491</v>
      </c>
      <c r="R270" s="1015" t="s">
        <v>491</v>
      </c>
      <c r="S270" s="1015" t="s">
        <v>491</v>
      </c>
      <c r="T270" s="1015" t="s">
        <v>491</v>
      </c>
      <c r="U270" s="1015" t="s">
        <v>491</v>
      </c>
      <c r="V270" s="1015"/>
      <c r="W270" s="1015"/>
      <c r="X270" s="1015" t="s">
        <v>491</v>
      </c>
      <c r="Y270" s="1015" t="s">
        <v>491</v>
      </c>
      <c r="Z270" s="1015"/>
      <c r="AA270" s="1015"/>
      <c r="AB270" s="1038"/>
      <c r="AC270" s="1038"/>
      <c r="AD270" s="1015"/>
      <c r="AE270" s="1015" t="s">
        <v>491</v>
      </c>
      <c r="AF270" s="1015" t="s">
        <v>491</v>
      </c>
      <c r="AG270" s="762"/>
      <c r="AH270" s="628">
        <v>98</v>
      </c>
      <c r="AI270" s="629">
        <v>37</v>
      </c>
    </row>
    <row r="271" spans="1:35" ht="21" customHeight="1">
      <c r="A271" s="442"/>
      <c r="B271" s="613" t="s">
        <v>727</v>
      </c>
      <c r="C271" s="762" t="s">
        <v>491</v>
      </c>
      <c r="D271" s="762" t="s">
        <v>491</v>
      </c>
      <c r="E271" s="762" t="s">
        <v>491</v>
      </c>
      <c r="F271" s="762" t="s">
        <v>491</v>
      </c>
      <c r="G271" s="762" t="s">
        <v>491</v>
      </c>
      <c r="H271" s="762"/>
      <c r="I271" s="762"/>
      <c r="J271" s="762" t="s">
        <v>491</v>
      </c>
      <c r="K271" s="762" t="s">
        <v>491</v>
      </c>
      <c r="L271" s="762" t="s">
        <v>491</v>
      </c>
      <c r="M271" s="762" t="s">
        <v>491</v>
      </c>
      <c r="N271" s="768" t="s">
        <v>491</v>
      </c>
      <c r="O271" s="768"/>
      <c r="P271" s="762"/>
      <c r="Q271" s="762" t="s">
        <v>491</v>
      </c>
      <c r="R271" s="762" t="s">
        <v>491</v>
      </c>
      <c r="S271" s="762" t="s">
        <v>491</v>
      </c>
      <c r="T271" s="762" t="s">
        <v>491</v>
      </c>
      <c r="U271" s="762" t="s">
        <v>491</v>
      </c>
      <c r="V271" s="762"/>
      <c r="W271" s="762"/>
      <c r="X271" s="979" t="s">
        <v>491</v>
      </c>
      <c r="Y271" s="979" t="s">
        <v>491</v>
      </c>
      <c r="Z271" s="762"/>
      <c r="AA271" s="762"/>
      <c r="AB271" s="768"/>
      <c r="AC271" s="768"/>
      <c r="AD271" s="762"/>
      <c r="AE271" s="762" t="s">
        <v>491</v>
      </c>
      <c r="AF271" s="1255" t="s">
        <v>491</v>
      </c>
      <c r="AG271" s="762"/>
      <c r="AH271" s="628">
        <v>55</v>
      </c>
      <c r="AI271" s="629">
        <v>1</v>
      </c>
    </row>
    <row r="272" spans="1:35" ht="21" customHeight="1">
      <c r="A272" s="442"/>
      <c r="B272" s="153" t="s">
        <v>728</v>
      </c>
      <c r="C272" s="762" t="s">
        <v>491</v>
      </c>
      <c r="D272" s="762" t="s">
        <v>491</v>
      </c>
      <c r="E272" s="762" t="s">
        <v>491</v>
      </c>
      <c r="F272" s="762" t="s">
        <v>491</v>
      </c>
      <c r="G272" s="762" t="s">
        <v>491</v>
      </c>
      <c r="H272" s="762"/>
      <c r="I272" s="762"/>
      <c r="J272" s="762" t="s">
        <v>491</v>
      </c>
      <c r="K272" s="762" t="s">
        <v>491</v>
      </c>
      <c r="L272" s="762" t="s">
        <v>491</v>
      </c>
      <c r="M272" s="762" t="s">
        <v>491</v>
      </c>
      <c r="N272" s="768" t="s">
        <v>491</v>
      </c>
      <c r="O272" s="768"/>
      <c r="P272" s="762"/>
      <c r="Q272" s="762" t="s">
        <v>491</v>
      </c>
      <c r="R272" s="762" t="s">
        <v>491</v>
      </c>
      <c r="S272" s="762" t="s">
        <v>491</v>
      </c>
      <c r="T272" s="762" t="s">
        <v>491</v>
      </c>
      <c r="U272" s="762" t="s">
        <v>491</v>
      </c>
      <c r="V272" s="762"/>
      <c r="W272" s="762"/>
      <c r="X272" s="762" t="s">
        <v>491</v>
      </c>
      <c r="Y272" s="762" t="s">
        <v>491</v>
      </c>
      <c r="Z272" s="762"/>
      <c r="AA272" s="762"/>
      <c r="AB272" s="768"/>
      <c r="AC272" s="768"/>
      <c r="AD272" s="762"/>
      <c r="AE272" s="762" t="s">
        <v>491</v>
      </c>
      <c r="AF272" s="1294" t="s">
        <v>491</v>
      </c>
      <c r="AG272" s="762"/>
      <c r="AH272" s="628">
        <v>38</v>
      </c>
      <c r="AI272" s="629">
        <v>0</v>
      </c>
    </row>
    <row r="273" spans="1:35" ht="21" customHeight="1">
      <c r="A273" s="442"/>
      <c r="B273" s="153" t="s">
        <v>729</v>
      </c>
      <c r="C273" s="762" t="s">
        <v>491</v>
      </c>
      <c r="D273" s="762" t="s">
        <v>491</v>
      </c>
      <c r="E273" s="762" t="s">
        <v>491</v>
      </c>
      <c r="F273" s="762" t="s">
        <v>491</v>
      </c>
      <c r="G273" s="762" t="s">
        <v>491</v>
      </c>
      <c r="H273" s="762"/>
      <c r="I273" s="762"/>
      <c r="J273" s="762" t="s">
        <v>491</v>
      </c>
      <c r="K273" s="762" t="s">
        <v>491</v>
      </c>
      <c r="L273" s="762" t="s">
        <v>491</v>
      </c>
      <c r="M273" s="762" t="s">
        <v>491</v>
      </c>
      <c r="N273" s="768" t="s">
        <v>491</v>
      </c>
      <c r="O273" s="768"/>
      <c r="P273" s="762"/>
      <c r="Q273" s="762" t="s">
        <v>491</v>
      </c>
      <c r="R273" s="762" t="s">
        <v>491</v>
      </c>
      <c r="S273" s="762" t="s">
        <v>491</v>
      </c>
      <c r="T273" s="762" t="s">
        <v>491</v>
      </c>
      <c r="U273" s="762" t="s">
        <v>491</v>
      </c>
      <c r="V273" s="762"/>
      <c r="W273" s="762"/>
      <c r="X273" s="762" t="s">
        <v>491</v>
      </c>
      <c r="Y273" s="762" t="s">
        <v>491</v>
      </c>
      <c r="Z273" s="762"/>
      <c r="AA273" s="762"/>
      <c r="AB273" s="768"/>
      <c r="AC273" s="768"/>
      <c r="AD273" s="762"/>
      <c r="AE273" s="762" t="s">
        <v>491</v>
      </c>
      <c r="AF273" s="966" t="s">
        <v>491</v>
      </c>
      <c r="AG273" s="762"/>
      <c r="AH273" s="628">
        <v>54</v>
      </c>
      <c r="AI273" s="629">
        <v>0</v>
      </c>
    </row>
    <row r="274" spans="1:35" ht="21" customHeight="1">
      <c r="A274" s="134"/>
      <c r="B274" s="134" t="s">
        <v>730</v>
      </c>
      <c r="C274" s="848" t="s">
        <v>491</v>
      </c>
      <c r="D274" s="848" t="s">
        <v>491</v>
      </c>
      <c r="E274" s="848" t="s">
        <v>491</v>
      </c>
      <c r="F274" s="848" t="s">
        <v>491</v>
      </c>
      <c r="G274" s="848" t="s">
        <v>491</v>
      </c>
      <c r="H274" s="848"/>
      <c r="I274" s="848"/>
      <c r="J274" s="848" t="s">
        <v>491</v>
      </c>
      <c r="K274" s="848" t="s">
        <v>491</v>
      </c>
      <c r="L274" s="848" t="s">
        <v>491</v>
      </c>
      <c r="M274" s="848" t="s">
        <v>491</v>
      </c>
      <c r="N274" s="772" t="s">
        <v>491</v>
      </c>
      <c r="O274" s="772"/>
      <c r="P274" s="848"/>
      <c r="Q274" s="848" t="s">
        <v>491</v>
      </c>
      <c r="R274" s="848" t="s">
        <v>491</v>
      </c>
      <c r="S274" s="848" t="s">
        <v>491</v>
      </c>
      <c r="T274" s="848" t="s">
        <v>491</v>
      </c>
      <c r="U274" s="848" t="s">
        <v>491</v>
      </c>
      <c r="V274" s="848"/>
      <c r="W274" s="848"/>
      <c r="X274" s="1208" t="s">
        <v>491</v>
      </c>
      <c r="Y274" s="1208" t="s">
        <v>491</v>
      </c>
      <c r="Z274" s="848"/>
      <c r="AA274" s="848"/>
      <c r="AB274" s="772"/>
      <c r="AC274" s="772"/>
      <c r="AD274" s="848"/>
      <c r="AE274" s="848" t="s">
        <v>491</v>
      </c>
      <c r="AF274" s="1280" t="s">
        <v>491</v>
      </c>
      <c r="AG274" s="848"/>
      <c r="AH274" s="849">
        <v>24</v>
      </c>
      <c r="AI274" s="850">
        <v>2</v>
      </c>
    </row>
    <row r="275" spans="1:35" ht="21" customHeight="1" thickBot="1">
      <c r="A275" s="917"/>
      <c r="B275" s="917" t="s">
        <v>731</v>
      </c>
      <c r="C275" s="1087" t="s">
        <v>491</v>
      </c>
      <c r="D275" s="1087" t="s">
        <v>491</v>
      </c>
      <c r="E275" s="1087" t="s">
        <v>491</v>
      </c>
      <c r="F275" s="1087" t="s">
        <v>491</v>
      </c>
      <c r="G275" s="1087" t="s">
        <v>491</v>
      </c>
      <c r="H275" s="1087"/>
      <c r="I275" s="1087"/>
      <c r="J275" s="1087" t="s">
        <v>491</v>
      </c>
      <c r="K275" s="1087" t="s">
        <v>491</v>
      </c>
      <c r="L275" s="1087" t="s">
        <v>491</v>
      </c>
      <c r="M275" s="1087" t="s">
        <v>491</v>
      </c>
      <c r="N275" s="1205" t="s">
        <v>491</v>
      </c>
      <c r="O275" s="1205"/>
      <c r="P275" s="1087"/>
      <c r="Q275" s="1087" t="s">
        <v>491</v>
      </c>
      <c r="R275" s="1087" t="s">
        <v>491</v>
      </c>
      <c r="S275" s="1087" t="s">
        <v>491</v>
      </c>
      <c r="T275" s="1087" t="s">
        <v>491</v>
      </c>
      <c r="U275" s="1087" t="s">
        <v>491</v>
      </c>
      <c r="V275" s="1087"/>
      <c r="W275" s="1087"/>
      <c r="X275" s="1087" t="s">
        <v>491</v>
      </c>
      <c r="Y275" s="1087" t="s">
        <v>491</v>
      </c>
      <c r="Z275" s="1087"/>
      <c r="AA275" s="1087"/>
      <c r="AB275" s="1205"/>
      <c r="AC275" s="1205"/>
      <c r="AD275" s="1087"/>
      <c r="AE275" s="1087" t="s">
        <v>491</v>
      </c>
      <c r="AF275" s="1087" t="s">
        <v>491</v>
      </c>
      <c r="AG275" s="875"/>
      <c r="AH275" s="914">
        <v>185</v>
      </c>
      <c r="AI275" s="915">
        <v>37</v>
      </c>
    </row>
  </sheetData>
  <sheetProtection password="CC44" sheet="1" objects="1" scenarios="1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59" max="16383" man="1"/>
  </rowBreaks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45"/>
  <dimension ref="A1:AL275"/>
  <sheetViews>
    <sheetView zoomScale="70" zoomScaleNormal="70" workbookViewId="0">
      <selection activeCell="D156" sqref="D156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17" width="3.7109375" customWidth="1"/>
    <col min="18" max="18" width="3.5703125" bestFit="1" customWidth="1"/>
    <col min="19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449</v>
      </c>
    </row>
    <row r="2" spans="1:35" ht="13.35" customHeight="1">
      <c r="B2" s="443" t="s">
        <v>450</v>
      </c>
      <c r="C2" s="444" t="s">
        <v>451</v>
      </c>
      <c r="D2" s="445"/>
      <c r="E2" s="446" t="s">
        <v>452</v>
      </c>
      <c r="F2" s="447"/>
      <c r="G2" s="448"/>
      <c r="H2" s="448"/>
      <c r="I2" s="448"/>
      <c r="J2" s="448"/>
      <c r="K2" s="449"/>
      <c r="L2" s="450" t="s">
        <v>453</v>
      </c>
      <c r="M2" s="451"/>
      <c r="N2" s="380"/>
      <c r="O2" s="452" t="s">
        <v>454</v>
      </c>
      <c r="P2" s="453"/>
      <c r="Q2" s="454"/>
      <c r="R2" s="455"/>
      <c r="S2" s="456" t="s">
        <v>455</v>
      </c>
      <c r="T2" s="457"/>
      <c r="U2" s="458"/>
      <c r="V2" s="457"/>
      <c r="W2" s="459" t="s">
        <v>456</v>
      </c>
      <c r="X2" s="368"/>
      <c r="Y2" s="460"/>
      <c r="Z2" s="461" t="s">
        <v>457</v>
      </c>
      <c r="AA2" s="462"/>
      <c r="AB2" s="463"/>
      <c r="AC2" s="464"/>
      <c r="AD2" s="465" t="s">
        <v>458</v>
      </c>
      <c r="AE2" s="466"/>
      <c r="AF2" s="466"/>
      <c r="AG2" s="467"/>
    </row>
    <row r="3" spans="1:35" ht="13.35" customHeight="1">
      <c r="A3" s="1"/>
      <c r="B3" s="468" t="s">
        <v>459</v>
      </c>
      <c r="C3" s="469" t="s">
        <v>460</v>
      </c>
      <c r="D3" s="470"/>
      <c r="E3" s="471"/>
      <c r="F3" s="472"/>
      <c r="G3" s="472"/>
      <c r="H3" s="473" t="s">
        <v>461</v>
      </c>
      <c r="I3" s="474"/>
      <c r="J3" s="474"/>
      <c r="K3" s="475"/>
      <c r="L3" s="476" t="s">
        <v>462</v>
      </c>
      <c r="M3" s="157"/>
      <c r="N3" s="477"/>
      <c r="O3" s="474"/>
      <c r="P3" s="474"/>
      <c r="Q3" s="474"/>
      <c r="R3" s="474"/>
      <c r="S3" s="55"/>
      <c r="T3" s="478" t="s">
        <v>463</v>
      </c>
      <c r="U3" s="479"/>
      <c r="V3" s="480"/>
      <c r="W3" s="481"/>
      <c r="X3" s="482"/>
      <c r="Y3" s="473" t="s">
        <v>464</v>
      </c>
      <c r="Z3" s="157"/>
      <c r="AA3" s="157"/>
      <c r="AB3" s="483"/>
      <c r="AC3" s="484"/>
      <c r="AD3" s="485" t="s">
        <v>465</v>
      </c>
      <c r="AE3" s="486"/>
      <c r="AF3" s="486"/>
      <c r="AG3" s="487"/>
    </row>
    <row r="4" spans="1:35" ht="13.35" customHeight="1">
      <c r="A4" s="1" t="s">
        <v>776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 t="s">
        <v>14</v>
      </c>
      <c r="B5" s="1"/>
    </row>
    <row r="6" spans="1:35" ht="21.95" customHeight="1">
      <c r="A6" s="488" t="s">
        <v>467</v>
      </c>
      <c r="B6" s="157"/>
      <c r="C6" s="489"/>
      <c r="D6" s="488" t="s">
        <v>468</v>
      </c>
      <c r="E6" s="157"/>
      <c r="F6" s="157"/>
      <c r="G6" s="157"/>
      <c r="H6" s="490"/>
      <c r="I6" s="157"/>
      <c r="J6" s="157"/>
      <c r="K6" s="157"/>
      <c r="L6" s="488" t="s">
        <v>769</v>
      </c>
      <c r="M6" s="157"/>
      <c r="N6" s="157"/>
      <c r="O6" s="157"/>
      <c r="P6" s="157"/>
      <c r="Q6" s="157"/>
      <c r="R6" s="157"/>
      <c r="S6" s="489"/>
      <c r="T6" s="491" t="s">
        <v>470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35" ht="21.95" customHeight="1">
      <c r="A7" s="488" t="s">
        <v>471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472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35" ht="21.95" customHeight="1">
      <c r="A8" s="496" t="s">
        <v>473</v>
      </c>
      <c r="L8" s="496"/>
      <c r="AB8" s="1"/>
    </row>
    <row r="9" spans="1:35" ht="21.95" customHeight="1" thickBot="1">
      <c r="B9" s="497" t="s">
        <v>474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35" ht="21.95" customHeight="1" thickBot="1">
      <c r="A10" s="906" t="s">
        <v>475</v>
      </c>
      <c r="B10" s="862" t="s">
        <v>476</v>
      </c>
      <c r="C10" s="880">
        <v>1</v>
      </c>
      <c r="D10" s="863">
        <v>2</v>
      </c>
      <c r="E10" s="880">
        <v>3</v>
      </c>
      <c r="F10" s="880">
        <v>4</v>
      </c>
      <c r="G10" s="863">
        <v>5</v>
      </c>
      <c r="H10" s="863">
        <v>6</v>
      </c>
      <c r="I10" s="863">
        <v>7</v>
      </c>
      <c r="J10" s="863">
        <v>8</v>
      </c>
      <c r="K10" s="863">
        <v>9</v>
      </c>
      <c r="L10" s="880">
        <v>10</v>
      </c>
      <c r="M10" s="880">
        <v>11</v>
      </c>
      <c r="N10" s="863">
        <v>12</v>
      </c>
      <c r="O10" s="863">
        <v>13</v>
      </c>
      <c r="P10" s="863">
        <v>14</v>
      </c>
      <c r="Q10" s="863">
        <v>15</v>
      </c>
      <c r="R10" s="863">
        <v>16</v>
      </c>
      <c r="S10" s="880">
        <v>17</v>
      </c>
      <c r="T10" s="880">
        <v>18</v>
      </c>
      <c r="U10" s="863">
        <v>19</v>
      </c>
      <c r="V10" s="863">
        <v>20</v>
      </c>
      <c r="W10" s="863">
        <v>21</v>
      </c>
      <c r="X10" s="863">
        <v>22</v>
      </c>
      <c r="Y10" s="863">
        <v>23</v>
      </c>
      <c r="Z10" s="880">
        <v>24</v>
      </c>
      <c r="AA10" s="880">
        <v>25</v>
      </c>
      <c r="AB10" s="863">
        <v>26</v>
      </c>
      <c r="AC10" s="863">
        <v>27</v>
      </c>
      <c r="AD10" s="863">
        <v>28</v>
      </c>
      <c r="AE10" s="863">
        <v>29</v>
      </c>
      <c r="AF10" s="863">
        <v>30</v>
      </c>
      <c r="AG10" s="880">
        <v>31</v>
      </c>
      <c r="AH10" s="864" t="s">
        <v>477</v>
      </c>
      <c r="AI10" s="865" t="s">
        <v>478</v>
      </c>
    </row>
    <row r="11" spans="1:35" ht="21.95" customHeight="1">
      <c r="A11" s="508"/>
      <c r="B11" s="947"/>
      <c r="C11" s="764"/>
      <c r="D11" s="764"/>
      <c r="E11" s="764"/>
      <c r="F11" s="764"/>
      <c r="G11" s="764"/>
      <c r="H11" s="764"/>
      <c r="I11" s="764"/>
      <c r="J11" s="764"/>
      <c r="K11" s="764"/>
      <c r="L11" s="764"/>
      <c r="M11" s="764"/>
      <c r="N11" s="764"/>
      <c r="O11" s="764"/>
      <c r="P11" s="764"/>
      <c r="Q11" s="764"/>
      <c r="R11" s="764"/>
      <c r="S11" s="764"/>
      <c r="T11" s="764"/>
      <c r="U11" s="764"/>
      <c r="V11" s="764"/>
      <c r="W11" s="764"/>
      <c r="X11" s="764"/>
      <c r="Y11" s="764"/>
      <c r="Z11" s="764"/>
      <c r="AA11" s="764"/>
      <c r="AB11" s="764"/>
      <c r="AC11" s="764"/>
      <c r="AD11" s="764"/>
      <c r="AE11" s="764"/>
      <c r="AF11" s="764"/>
      <c r="AG11" s="948"/>
      <c r="AH11" s="510"/>
      <c r="AI11" s="511"/>
    </row>
    <row r="12" spans="1:35" ht="21.95" customHeight="1">
      <c r="A12" s="503" t="s">
        <v>479</v>
      </c>
      <c r="B12" s="457"/>
      <c r="C12" s="504"/>
      <c r="D12" s="504"/>
      <c r="E12" s="504"/>
      <c r="F12" s="504"/>
      <c r="G12" s="504"/>
      <c r="H12" s="504"/>
      <c r="I12" s="504"/>
      <c r="J12" s="504"/>
      <c r="K12" s="504"/>
      <c r="L12" s="504"/>
      <c r="M12" s="504"/>
      <c r="N12" s="504"/>
      <c r="O12" s="504"/>
      <c r="P12" s="504"/>
      <c r="Q12" s="504"/>
      <c r="R12" s="504"/>
      <c r="S12" s="504"/>
      <c r="T12" s="504"/>
      <c r="U12" s="504"/>
      <c r="V12" s="504"/>
      <c r="W12" s="504"/>
      <c r="X12" s="504"/>
      <c r="Y12" s="504"/>
      <c r="Z12" s="504"/>
      <c r="AA12" s="504"/>
      <c r="AB12" s="504"/>
      <c r="AC12" s="504"/>
      <c r="AD12" s="504"/>
      <c r="AE12" s="504"/>
      <c r="AF12" s="504"/>
      <c r="AG12" s="505"/>
      <c r="AH12" s="506"/>
      <c r="AI12" s="507"/>
    </row>
    <row r="13" spans="1:35" ht="21.95" customHeight="1">
      <c r="A13" s="508">
        <v>8546</v>
      </c>
      <c r="B13" s="509" t="s">
        <v>480</v>
      </c>
      <c r="C13" s="764">
        <v>2</v>
      </c>
      <c r="D13" s="764">
        <v>2</v>
      </c>
      <c r="E13" s="764" t="s">
        <v>484</v>
      </c>
      <c r="F13" s="764" t="s">
        <v>484</v>
      </c>
      <c r="G13" s="764" t="s">
        <v>481</v>
      </c>
      <c r="H13" s="768" t="s">
        <v>481</v>
      </c>
      <c r="I13" s="764" t="s">
        <v>481</v>
      </c>
      <c r="J13" s="764" t="s">
        <v>481</v>
      </c>
      <c r="K13" s="764" t="s">
        <v>481</v>
      </c>
      <c r="L13" s="764"/>
      <c r="M13" s="764"/>
      <c r="N13" s="764">
        <v>3</v>
      </c>
      <c r="O13" s="764">
        <v>3</v>
      </c>
      <c r="P13" s="764">
        <v>3</v>
      </c>
      <c r="Q13" s="764">
        <v>3</v>
      </c>
      <c r="R13" s="764">
        <v>3</v>
      </c>
      <c r="S13" s="764"/>
      <c r="T13" s="764"/>
      <c r="U13" s="764">
        <v>4</v>
      </c>
      <c r="V13" s="1000">
        <v>4</v>
      </c>
      <c r="W13" s="1000">
        <v>4</v>
      </c>
      <c r="X13" s="1000" t="s">
        <v>792</v>
      </c>
      <c r="Y13" s="764">
        <v>4</v>
      </c>
      <c r="Z13" s="764" t="s">
        <v>482</v>
      </c>
      <c r="AA13" s="764" t="s">
        <v>482</v>
      </c>
      <c r="AB13" s="764" t="s">
        <v>793</v>
      </c>
      <c r="AC13" s="764" t="s">
        <v>481</v>
      </c>
      <c r="AD13" s="764" t="s">
        <v>481</v>
      </c>
      <c r="AE13" s="764" t="s">
        <v>481</v>
      </c>
      <c r="AF13" s="764" t="s">
        <v>481</v>
      </c>
      <c r="AG13" s="771"/>
      <c r="AH13" s="924">
        <v>47</v>
      </c>
      <c r="AI13" s="925">
        <v>37</v>
      </c>
    </row>
    <row r="14" spans="1:35" ht="21.95" customHeight="1">
      <c r="A14" s="500">
        <v>8546</v>
      </c>
      <c r="B14" s="347" t="s">
        <v>483</v>
      </c>
      <c r="C14" s="768" t="s">
        <v>481</v>
      </c>
      <c r="D14" s="768" t="s">
        <v>481</v>
      </c>
      <c r="E14" s="768"/>
      <c r="F14" s="768"/>
      <c r="G14" s="768">
        <v>1</v>
      </c>
      <c r="H14" s="768">
        <v>1</v>
      </c>
      <c r="I14" s="768">
        <v>1</v>
      </c>
      <c r="J14" s="768">
        <v>1</v>
      </c>
      <c r="K14" s="768">
        <v>1</v>
      </c>
      <c r="L14" s="768"/>
      <c r="M14" s="768"/>
      <c r="N14" s="768">
        <v>2</v>
      </c>
      <c r="O14" s="768">
        <v>2</v>
      </c>
      <c r="P14" s="768">
        <v>2</v>
      </c>
      <c r="Q14" s="768">
        <v>2</v>
      </c>
      <c r="R14" s="768">
        <v>2</v>
      </c>
      <c r="S14" s="768" t="s">
        <v>484</v>
      </c>
      <c r="T14" s="768" t="s">
        <v>484</v>
      </c>
      <c r="U14" s="768" t="s">
        <v>481</v>
      </c>
      <c r="V14" s="768" t="s">
        <v>481</v>
      </c>
      <c r="W14" s="768" t="s">
        <v>481</v>
      </c>
      <c r="X14" s="768" t="s">
        <v>481</v>
      </c>
      <c r="Y14" s="768" t="s">
        <v>481</v>
      </c>
      <c r="Z14" s="768"/>
      <c r="AA14" s="768"/>
      <c r="AB14" s="768">
        <v>3</v>
      </c>
      <c r="AC14" s="768">
        <v>3</v>
      </c>
      <c r="AD14" s="768">
        <v>3</v>
      </c>
      <c r="AE14" s="768">
        <v>3</v>
      </c>
      <c r="AF14" s="768">
        <v>3</v>
      </c>
      <c r="AG14" s="769"/>
      <c r="AH14" s="924">
        <v>82.5</v>
      </c>
      <c r="AI14" s="925">
        <v>37</v>
      </c>
    </row>
    <row r="15" spans="1:35" ht="21.95" customHeight="1">
      <c r="A15" s="500">
        <v>8546</v>
      </c>
      <c r="B15" s="347" t="s">
        <v>174</v>
      </c>
      <c r="C15" s="768">
        <v>1</v>
      </c>
      <c r="D15" s="768">
        <v>1</v>
      </c>
      <c r="E15" s="768"/>
      <c r="F15" s="768"/>
      <c r="G15" s="768">
        <v>2</v>
      </c>
      <c r="H15" s="768">
        <v>2</v>
      </c>
      <c r="I15" s="768">
        <v>2</v>
      </c>
      <c r="J15" s="768">
        <v>2</v>
      </c>
      <c r="K15" s="768">
        <v>2</v>
      </c>
      <c r="L15" s="768" t="s">
        <v>484</v>
      </c>
      <c r="M15" s="768" t="s">
        <v>484</v>
      </c>
      <c r="N15" s="768" t="s">
        <v>481</v>
      </c>
      <c r="O15" s="768" t="s">
        <v>481</v>
      </c>
      <c r="P15" s="768" t="s">
        <v>481</v>
      </c>
      <c r="Q15" s="768" t="s">
        <v>481</v>
      </c>
      <c r="R15" s="768" t="s">
        <v>481</v>
      </c>
      <c r="S15" s="768"/>
      <c r="T15" s="768"/>
      <c r="U15" s="980">
        <v>3</v>
      </c>
      <c r="V15" s="980">
        <v>3</v>
      </c>
      <c r="W15" s="980">
        <v>3</v>
      </c>
      <c r="X15" s="980">
        <v>3</v>
      </c>
      <c r="Y15" s="980">
        <v>3</v>
      </c>
      <c r="Z15" s="980"/>
      <c r="AA15" s="980"/>
      <c r="AB15" s="768">
        <v>4</v>
      </c>
      <c r="AC15" s="768">
        <v>4</v>
      </c>
      <c r="AD15" s="768">
        <v>4</v>
      </c>
      <c r="AE15" s="768">
        <v>4</v>
      </c>
      <c r="AF15" s="768">
        <v>4</v>
      </c>
      <c r="AG15" s="769" t="s">
        <v>482</v>
      </c>
      <c r="AH15" s="924">
        <v>0</v>
      </c>
      <c r="AI15" s="925">
        <v>0</v>
      </c>
    </row>
    <row r="16" spans="1:35" ht="21.95" customHeight="1">
      <c r="A16" s="500">
        <v>8546</v>
      </c>
      <c r="B16" s="347" t="s">
        <v>486</v>
      </c>
      <c r="C16" s="768">
        <v>3</v>
      </c>
      <c r="D16" s="768">
        <v>3</v>
      </c>
      <c r="E16" s="768"/>
      <c r="F16" s="768"/>
      <c r="G16" s="768">
        <v>4</v>
      </c>
      <c r="H16" s="768">
        <v>4</v>
      </c>
      <c r="I16" s="768">
        <v>4</v>
      </c>
      <c r="J16" s="768">
        <v>4</v>
      </c>
      <c r="K16" s="977">
        <v>4</v>
      </c>
      <c r="L16" s="977" t="s">
        <v>482</v>
      </c>
      <c r="M16" s="768" t="s">
        <v>482</v>
      </c>
      <c r="N16" s="768" t="s">
        <v>481</v>
      </c>
      <c r="O16" s="768" t="s">
        <v>481</v>
      </c>
      <c r="P16" s="768" t="s">
        <v>481</v>
      </c>
      <c r="Q16" s="768" t="s">
        <v>481</v>
      </c>
      <c r="R16" s="768" t="s">
        <v>481</v>
      </c>
      <c r="S16" s="768"/>
      <c r="T16" s="768"/>
      <c r="U16" s="768">
        <v>1</v>
      </c>
      <c r="V16" s="768">
        <v>1</v>
      </c>
      <c r="W16" s="768">
        <v>1</v>
      </c>
      <c r="X16" s="768">
        <v>1</v>
      </c>
      <c r="Y16" s="768">
        <v>1</v>
      </c>
      <c r="Z16" s="768"/>
      <c r="AA16" s="768"/>
      <c r="AB16" s="768">
        <v>2</v>
      </c>
      <c r="AC16" s="768">
        <v>2</v>
      </c>
      <c r="AD16" s="768">
        <v>2</v>
      </c>
      <c r="AE16" s="768">
        <v>2</v>
      </c>
      <c r="AF16" s="768">
        <v>2</v>
      </c>
      <c r="AG16" s="769" t="s">
        <v>484</v>
      </c>
      <c r="AH16" s="924">
        <v>1.5</v>
      </c>
      <c r="AI16" s="925">
        <v>37</v>
      </c>
    </row>
    <row r="17" spans="1:37" ht="21.95" customHeight="1">
      <c r="A17" s="500">
        <v>8546</v>
      </c>
      <c r="B17" s="347" t="s">
        <v>487</v>
      </c>
      <c r="C17" s="768" t="s">
        <v>481</v>
      </c>
      <c r="D17" s="768" t="s">
        <v>481</v>
      </c>
      <c r="E17" s="768"/>
      <c r="F17" s="768"/>
      <c r="G17" s="768">
        <v>3</v>
      </c>
      <c r="H17" s="768">
        <v>3</v>
      </c>
      <c r="I17" s="768">
        <v>3</v>
      </c>
      <c r="J17" s="768">
        <v>3</v>
      </c>
      <c r="K17" s="1044">
        <v>3</v>
      </c>
      <c r="L17" s="1044" t="s">
        <v>482</v>
      </c>
      <c r="M17" s="768"/>
      <c r="N17" s="768">
        <v>4</v>
      </c>
      <c r="O17" s="768">
        <v>4</v>
      </c>
      <c r="P17" s="768">
        <v>4</v>
      </c>
      <c r="Q17" s="768">
        <v>4</v>
      </c>
      <c r="R17" s="768">
        <v>4</v>
      </c>
      <c r="S17" s="768" t="s">
        <v>482</v>
      </c>
      <c r="T17" s="768" t="s">
        <v>482</v>
      </c>
      <c r="U17" s="768" t="s">
        <v>481</v>
      </c>
      <c r="V17" s="768" t="s">
        <v>481</v>
      </c>
      <c r="W17" s="768" t="s">
        <v>481</v>
      </c>
      <c r="X17" s="768" t="s">
        <v>481</v>
      </c>
      <c r="Y17" s="768" t="s">
        <v>481</v>
      </c>
      <c r="Z17" s="768"/>
      <c r="AA17" s="768"/>
      <c r="AB17" s="768">
        <v>1</v>
      </c>
      <c r="AC17" s="768">
        <v>1</v>
      </c>
      <c r="AD17" s="768">
        <v>1</v>
      </c>
      <c r="AE17" s="768">
        <v>1</v>
      </c>
      <c r="AF17" s="768">
        <v>1</v>
      </c>
      <c r="AG17" s="769"/>
      <c r="AH17" s="924">
        <v>0</v>
      </c>
      <c r="AI17" s="925">
        <v>5.75</v>
      </c>
    </row>
    <row r="18" spans="1:37" ht="21.95" customHeight="1">
      <c r="A18" s="500">
        <v>8546</v>
      </c>
      <c r="B18" s="347" t="s">
        <v>488</v>
      </c>
      <c r="C18" s="768">
        <v>4</v>
      </c>
      <c r="D18" s="768">
        <v>4</v>
      </c>
      <c r="E18" s="768" t="s">
        <v>482</v>
      </c>
      <c r="F18" s="768" t="s">
        <v>482</v>
      </c>
      <c r="G18" s="768" t="s">
        <v>481</v>
      </c>
      <c r="H18" s="768" t="s">
        <v>481</v>
      </c>
      <c r="I18" s="768" t="s">
        <v>481</v>
      </c>
      <c r="J18" s="768" t="s">
        <v>481</v>
      </c>
      <c r="K18" s="768" t="s">
        <v>481</v>
      </c>
      <c r="L18" s="768"/>
      <c r="M18" s="768"/>
      <c r="N18" s="768">
        <v>1</v>
      </c>
      <c r="O18" s="768">
        <v>1</v>
      </c>
      <c r="P18" s="768">
        <v>1</v>
      </c>
      <c r="Q18" s="977">
        <v>1</v>
      </c>
      <c r="R18" s="977">
        <v>1</v>
      </c>
      <c r="S18" s="768"/>
      <c r="T18" s="768"/>
      <c r="U18" s="768">
        <v>2</v>
      </c>
      <c r="V18" s="768">
        <v>2</v>
      </c>
      <c r="W18" s="768">
        <v>2</v>
      </c>
      <c r="X18" s="768">
        <v>2</v>
      </c>
      <c r="Y18" s="768">
        <v>2</v>
      </c>
      <c r="Z18" s="768" t="s">
        <v>484</v>
      </c>
      <c r="AA18" s="768" t="s">
        <v>484</v>
      </c>
      <c r="AB18" s="768" t="s">
        <v>481</v>
      </c>
      <c r="AC18" s="768" t="s">
        <v>481</v>
      </c>
      <c r="AD18" s="768" t="s">
        <v>481</v>
      </c>
      <c r="AE18" s="768" t="s">
        <v>481</v>
      </c>
      <c r="AF18" s="768" t="s">
        <v>481</v>
      </c>
      <c r="AG18" s="769"/>
      <c r="AH18" s="924">
        <v>13</v>
      </c>
      <c r="AI18" s="925">
        <v>37</v>
      </c>
    </row>
    <row r="19" spans="1:37" ht="21.95" customHeight="1">
      <c r="A19" s="512" t="s">
        <v>489</v>
      </c>
      <c r="B19" s="513"/>
      <c r="C19" s="504"/>
      <c r="D19" s="504"/>
      <c r="E19" s="504"/>
      <c r="F19" s="504"/>
      <c r="G19" s="504"/>
      <c r="H19" s="504"/>
      <c r="I19" s="504"/>
      <c r="J19" s="504"/>
      <c r="K19" s="504"/>
      <c r="L19" s="504"/>
      <c r="M19" s="504"/>
      <c r="N19" s="504"/>
      <c r="O19" s="504"/>
      <c r="P19" s="504"/>
      <c r="Q19" s="504"/>
      <c r="R19" s="504"/>
      <c r="S19" s="504"/>
      <c r="T19" s="504"/>
      <c r="U19" s="504"/>
      <c r="V19" s="504"/>
      <c r="W19" s="504"/>
      <c r="X19" s="504"/>
      <c r="Y19" s="504"/>
      <c r="Z19" s="504"/>
      <c r="AA19" s="504"/>
      <c r="AB19" s="504"/>
      <c r="AC19" s="504"/>
      <c r="AD19" s="504"/>
      <c r="AE19" s="504"/>
      <c r="AF19" s="504"/>
      <c r="AG19" s="505"/>
      <c r="AH19" s="506"/>
      <c r="AI19" s="507"/>
    </row>
    <row r="20" spans="1:37" ht="21.95" customHeight="1">
      <c r="A20" s="500">
        <v>8500</v>
      </c>
      <c r="B20" s="186" t="s">
        <v>188</v>
      </c>
      <c r="C20" s="768"/>
      <c r="D20" s="768" t="s">
        <v>491</v>
      </c>
      <c r="E20" s="768"/>
      <c r="F20" s="768"/>
      <c r="G20" s="768" t="s">
        <v>491</v>
      </c>
      <c r="H20" s="768" t="s">
        <v>491</v>
      </c>
      <c r="I20" s="768" t="s">
        <v>491</v>
      </c>
      <c r="J20" s="768" t="s">
        <v>491</v>
      </c>
      <c r="K20" s="768" t="s">
        <v>491</v>
      </c>
      <c r="L20" s="768"/>
      <c r="M20" s="768"/>
      <c r="N20" s="768" t="s">
        <v>491</v>
      </c>
      <c r="O20" s="768" t="s">
        <v>491</v>
      </c>
      <c r="P20" s="768" t="s">
        <v>491</v>
      </c>
      <c r="Q20" s="768" t="s">
        <v>485</v>
      </c>
      <c r="R20" s="768" t="s">
        <v>485</v>
      </c>
      <c r="S20" s="768"/>
      <c r="T20" s="768"/>
      <c r="U20" s="768" t="s">
        <v>491</v>
      </c>
      <c r="V20" s="768" t="s">
        <v>491</v>
      </c>
      <c r="W20" s="768" t="s">
        <v>491</v>
      </c>
      <c r="X20" s="768" t="s">
        <v>491</v>
      </c>
      <c r="Y20" s="768" t="s">
        <v>491</v>
      </c>
      <c r="Z20" s="768"/>
      <c r="AA20" s="768"/>
      <c r="AB20" s="768" t="s">
        <v>491</v>
      </c>
      <c r="AC20" s="768" t="s">
        <v>491</v>
      </c>
      <c r="AD20" s="768" t="s">
        <v>491</v>
      </c>
      <c r="AE20" s="768" t="s">
        <v>491</v>
      </c>
      <c r="AF20" s="768" t="s">
        <v>491</v>
      </c>
      <c r="AG20" s="768"/>
      <c r="AH20" s="924">
        <v>103.25</v>
      </c>
      <c r="AI20" s="925">
        <v>37</v>
      </c>
    </row>
    <row r="21" spans="1:37" ht="21.95" customHeight="1">
      <c r="A21" s="500">
        <v>8500</v>
      </c>
      <c r="B21" s="153" t="s">
        <v>492</v>
      </c>
      <c r="C21" s="768"/>
      <c r="D21" s="1007" t="s">
        <v>491</v>
      </c>
      <c r="E21" s="768"/>
      <c r="F21" s="768"/>
      <c r="G21" s="768" t="s">
        <v>491</v>
      </c>
      <c r="H21" s="768" t="s">
        <v>491</v>
      </c>
      <c r="I21" s="768" t="s">
        <v>491</v>
      </c>
      <c r="J21" s="768" t="s">
        <v>491</v>
      </c>
      <c r="K21" s="768" t="s">
        <v>491</v>
      </c>
      <c r="L21" s="768"/>
      <c r="M21" s="768"/>
      <c r="N21" s="768" t="s">
        <v>481</v>
      </c>
      <c r="O21" s="768" t="s">
        <v>481</v>
      </c>
      <c r="P21" s="768" t="s">
        <v>491</v>
      </c>
      <c r="Q21" s="768">
        <v>1</v>
      </c>
      <c r="R21" s="768">
        <v>1</v>
      </c>
      <c r="S21" s="768"/>
      <c r="T21" s="768"/>
      <c r="U21" s="768" t="s">
        <v>485</v>
      </c>
      <c r="V21" s="768" t="s">
        <v>485</v>
      </c>
      <c r="W21" s="768" t="s">
        <v>485</v>
      </c>
      <c r="X21" s="768" t="s">
        <v>485</v>
      </c>
      <c r="Y21" s="768" t="s">
        <v>485</v>
      </c>
      <c r="Z21" s="768" t="s">
        <v>490</v>
      </c>
      <c r="AA21" s="768" t="s">
        <v>490</v>
      </c>
      <c r="AB21" s="768" t="s">
        <v>485</v>
      </c>
      <c r="AC21" s="768" t="s">
        <v>491</v>
      </c>
      <c r="AD21" s="768" t="s">
        <v>491</v>
      </c>
      <c r="AE21" s="768" t="s">
        <v>491</v>
      </c>
      <c r="AF21" s="768" t="s">
        <v>491</v>
      </c>
      <c r="AG21" s="768"/>
      <c r="AH21" s="924">
        <v>43</v>
      </c>
      <c r="AI21" s="925">
        <v>37</v>
      </c>
    </row>
    <row r="22" spans="1:37" ht="21.95" customHeight="1" thickBot="1">
      <c r="A22" s="500"/>
      <c r="B22" s="153"/>
      <c r="C22" s="768"/>
      <c r="D22" s="768"/>
      <c r="E22" s="768"/>
      <c r="F22" s="768"/>
      <c r="G22" s="768"/>
      <c r="H22" s="768"/>
      <c r="I22" s="768"/>
      <c r="J22" s="768"/>
      <c r="K22" s="768"/>
      <c r="L22" s="768"/>
      <c r="M22" s="768"/>
      <c r="N22" s="768"/>
      <c r="O22" s="768"/>
      <c r="P22" s="768"/>
      <c r="Q22" s="768"/>
      <c r="R22" s="768"/>
      <c r="S22" s="768"/>
      <c r="T22" s="768"/>
      <c r="U22" s="768"/>
      <c r="V22" s="768"/>
      <c r="W22" s="768"/>
      <c r="X22" s="768"/>
      <c r="Y22" s="768"/>
      <c r="Z22" s="768"/>
      <c r="AA22" s="768"/>
      <c r="AB22" s="768"/>
      <c r="AC22" s="768"/>
      <c r="AD22" s="768"/>
      <c r="AE22" s="768"/>
      <c r="AF22" s="768"/>
      <c r="AG22" s="768"/>
      <c r="AH22" s="514">
        <v>185</v>
      </c>
      <c r="AI22" s="515">
        <v>37</v>
      </c>
    </row>
    <row r="23" spans="1:37" ht="21.95" customHeight="1">
      <c r="A23" s="516"/>
      <c r="C23" s="517"/>
      <c r="D23" s="517"/>
      <c r="E23" s="517"/>
      <c r="F23" s="517"/>
      <c r="G23" s="517"/>
      <c r="H23" s="517"/>
      <c r="I23" s="517"/>
      <c r="J23" s="517"/>
      <c r="K23" s="517"/>
      <c r="L23" s="517"/>
      <c r="M23" s="517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17"/>
      <c r="Y23" s="517"/>
      <c r="Z23" s="517"/>
      <c r="AA23" s="517"/>
      <c r="AB23" s="517"/>
      <c r="AC23" s="517"/>
      <c r="AD23" s="517"/>
      <c r="AE23" s="517"/>
      <c r="AF23" s="517"/>
      <c r="AG23" s="517"/>
    </row>
    <row r="24" spans="1:37" ht="21.95" customHeight="1">
      <c r="A24" s="516"/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</row>
    <row r="25" spans="1:37" ht="21.95" customHeight="1">
      <c r="A25" s="516"/>
      <c r="C25" s="517"/>
      <c r="D25" s="517"/>
      <c r="E25" s="517"/>
      <c r="F25" s="517"/>
      <c r="G25" s="517"/>
      <c r="H25" s="517"/>
      <c r="I25" s="517"/>
      <c r="J25" s="517"/>
      <c r="K25" s="517"/>
      <c r="L25" s="517"/>
      <c r="M25" s="517"/>
      <c r="N25" s="517"/>
      <c r="O25" s="517"/>
      <c r="P25" s="517"/>
      <c r="Q25" s="517"/>
      <c r="R25" s="517"/>
      <c r="S25" s="517"/>
      <c r="T25" s="517"/>
      <c r="U25" s="517"/>
      <c r="V25" s="517"/>
      <c r="W25" s="517"/>
      <c r="X25" s="517"/>
      <c r="Y25" s="517"/>
      <c r="Z25" s="517"/>
      <c r="AA25" s="517"/>
      <c r="AB25" s="517"/>
      <c r="AC25" s="517"/>
      <c r="AD25" s="517"/>
      <c r="AE25" s="517"/>
      <c r="AF25" s="517"/>
      <c r="AG25" s="517"/>
    </row>
    <row r="26" spans="1:37" ht="21.95" customHeight="1">
      <c r="A26" s="516"/>
      <c r="C26" s="517"/>
      <c r="D26" s="517"/>
      <c r="E26" s="517"/>
      <c r="F26" s="517"/>
      <c r="G26" s="517"/>
      <c r="H26" s="517"/>
      <c r="I26" s="517"/>
      <c r="J26" s="517"/>
      <c r="K26" s="517"/>
      <c r="L26" s="517"/>
      <c r="M26" s="517"/>
      <c r="N26" s="517"/>
      <c r="O26" s="517"/>
      <c r="P26" s="517"/>
      <c r="Q26" s="517"/>
      <c r="R26" s="517"/>
      <c r="S26" s="517"/>
      <c r="T26" s="517"/>
      <c r="U26" s="517"/>
      <c r="V26" s="517"/>
      <c r="W26" s="517"/>
      <c r="X26" s="517"/>
      <c r="Y26" s="517"/>
      <c r="Z26" s="517"/>
      <c r="AA26" s="517"/>
      <c r="AB26" s="517"/>
      <c r="AC26" s="517"/>
      <c r="AD26" s="517"/>
      <c r="AE26" s="517"/>
      <c r="AF26" s="517"/>
      <c r="AG26" s="517"/>
    </row>
    <row r="27" spans="1:37" ht="21.95" customHeight="1">
      <c r="A27" s="516"/>
      <c r="C27" s="517"/>
      <c r="D27" s="517"/>
      <c r="E27" s="517"/>
      <c r="F27" s="517"/>
      <c r="G27" s="517"/>
      <c r="H27" s="517"/>
      <c r="I27" s="517"/>
      <c r="J27" s="517"/>
      <c r="K27" s="517"/>
      <c r="L27" s="517"/>
      <c r="M27" s="517"/>
      <c r="N27" s="517"/>
      <c r="O27" s="517"/>
      <c r="P27" s="517"/>
      <c r="Q27" s="517"/>
      <c r="R27" s="517"/>
      <c r="S27" s="517"/>
      <c r="T27" s="517"/>
      <c r="U27" s="517"/>
      <c r="V27" s="517"/>
      <c r="W27" s="517"/>
      <c r="X27" s="517"/>
      <c r="Y27" s="517"/>
      <c r="Z27" s="517"/>
      <c r="AA27" s="517"/>
      <c r="AB27" s="517"/>
      <c r="AC27" s="517"/>
      <c r="AD27" s="517"/>
      <c r="AE27" s="517"/>
      <c r="AF27" s="517"/>
      <c r="AG27" s="517"/>
    </row>
    <row r="28" spans="1:37" ht="21.95" customHeight="1">
      <c r="A28" s="516"/>
      <c r="C28" s="517"/>
      <c r="D28" s="517"/>
      <c r="E28" s="517"/>
      <c r="F28" s="517"/>
      <c r="G28" s="517"/>
      <c r="H28" s="517"/>
      <c r="I28" s="517"/>
      <c r="J28" s="517"/>
      <c r="K28" s="517"/>
      <c r="L28" s="517"/>
      <c r="M28" s="517"/>
      <c r="N28" s="517"/>
      <c r="O28" s="517"/>
      <c r="P28" s="517"/>
      <c r="Q28" s="517"/>
      <c r="R28" s="517"/>
      <c r="S28" s="517"/>
      <c r="T28" s="517"/>
      <c r="U28" s="517"/>
      <c r="V28" s="517"/>
      <c r="W28" s="517"/>
      <c r="X28" s="517"/>
      <c r="Y28" s="517"/>
      <c r="Z28" s="517"/>
      <c r="AA28" s="517"/>
      <c r="AB28" s="517"/>
      <c r="AC28" s="517"/>
      <c r="AD28" s="517"/>
      <c r="AE28" s="517"/>
      <c r="AF28" s="517"/>
      <c r="AG28" s="517"/>
    </row>
    <row r="29" spans="1:37" ht="21.95" customHeight="1">
      <c r="A29" s="516"/>
      <c r="C29" s="517"/>
      <c r="D29" s="517"/>
      <c r="E29" s="517"/>
      <c r="F29" s="517"/>
      <c r="G29" s="517"/>
      <c r="H29" s="517"/>
      <c r="I29" s="517"/>
      <c r="J29" s="517"/>
      <c r="K29" s="517"/>
      <c r="L29" s="517"/>
      <c r="M29" s="517"/>
      <c r="N29" s="517"/>
      <c r="O29" s="517"/>
      <c r="P29" s="517"/>
      <c r="Q29" s="517"/>
      <c r="R29" s="517"/>
      <c r="S29" s="517"/>
      <c r="T29" s="517"/>
      <c r="U29" s="517"/>
      <c r="V29" s="517"/>
      <c r="W29" s="517"/>
      <c r="X29" s="517"/>
      <c r="Y29" s="517"/>
      <c r="Z29" s="517"/>
      <c r="AA29" s="517"/>
      <c r="AB29" s="517"/>
      <c r="AC29" s="517"/>
      <c r="AD29" s="517"/>
      <c r="AE29" s="517"/>
      <c r="AF29" s="517"/>
      <c r="AG29" s="517"/>
    </row>
    <row r="30" spans="1:37" ht="21.95" customHeight="1" thickBot="1">
      <c r="A30" s="1" t="s">
        <v>494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495</v>
      </c>
      <c r="B31" s="518"/>
      <c r="C31" s="518"/>
      <c r="D31" s="425" t="s">
        <v>496</v>
      </c>
      <c r="E31" s="519"/>
      <c r="F31" s="519"/>
      <c r="G31" s="519"/>
      <c r="H31" s="519"/>
      <c r="I31" s="519"/>
      <c r="J31" s="519"/>
      <c r="K31" s="519"/>
      <c r="L31" s="519"/>
      <c r="M31" s="520" t="s">
        <v>497</v>
      </c>
      <c r="N31" s="519"/>
      <c r="O31" s="519"/>
      <c r="P31" s="519"/>
      <c r="Q31" s="519"/>
      <c r="R31" s="519"/>
      <c r="S31" s="521"/>
      <c r="T31" s="521" t="s">
        <v>770</v>
      </c>
      <c r="U31" s="519"/>
      <c r="V31" s="519"/>
      <c r="W31" s="519"/>
      <c r="X31" s="519"/>
      <c r="Y31" s="519"/>
      <c r="Z31" s="238"/>
      <c r="AA31" s="522" t="s">
        <v>499</v>
      </c>
      <c r="AB31" s="51"/>
      <c r="AC31" s="51"/>
      <c r="AD31" s="51"/>
      <c r="AE31" s="51"/>
      <c r="AF31" s="51"/>
      <c r="AG31" s="523"/>
      <c r="AK31" s="1"/>
    </row>
    <row r="32" spans="1:37" ht="21.95" customHeight="1">
      <c r="A32" s="524" t="s">
        <v>500</v>
      </c>
      <c r="B32" s="135"/>
      <c r="C32" s="135"/>
      <c r="D32" s="495" t="s">
        <v>501</v>
      </c>
      <c r="E32" s="491"/>
      <c r="F32" s="157"/>
      <c r="G32" s="157"/>
      <c r="H32" s="157"/>
      <c r="I32" s="157"/>
      <c r="J32" s="157"/>
      <c r="K32" s="157"/>
      <c r="L32" s="489"/>
      <c r="M32" s="525" t="s">
        <v>502</v>
      </c>
      <c r="N32" s="135"/>
      <c r="O32" s="526"/>
      <c r="P32" s="135"/>
      <c r="Q32" s="135"/>
      <c r="R32" s="135"/>
      <c r="S32" s="527"/>
      <c r="T32" s="495" t="s">
        <v>503</v>
      </c>
      <c r="U32" s="157"/>
      <c r="V32" s="491"/>
      <c r="W32" s="157"/>
      <c r="X32" s="157"/>
      <c r="Y32" s="157"/>
      <c r="Z32" s="489"/>
      <c r="AA32" s="1" t="s">
        <v>504</v>
      </c>
      <c r="AD32" s="496"/>
      <c r="AG32" s="528"/>
      <c r="AK32" s="1"/>
    </row>
    <row r="33" spans="1:38" ht="21.95" customHeight="1">
      <c r="A33" s="529" t="s">
        <v>505</v>
      </c>
      <c r="B33" s="157"/>
      <c r="C33" s="157"/>
      <c r="D33" s="157"/>
      <c r="E33" s="157"/>
      <c r="F33" s="157"/>
      <c r="G33" s="489"/>
      <c r="H33" s="495" t="s">
        <v>506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0" t="s">
        <v>507</v>
      </c>
      <c r="AA33" s="526"/>
      <c r="AB33" s="135"/>
      <c r="AC33" s="135"/>
      <c r="AD33" s="135"/>
      <c r="AE33" s="135"/>
      <c r="AF33" s="135"/>
      <c r="AG33" s="531"/>
      <c r="AK33" s="312"/>
    </row>
    <row r="34" spans="1:38" ht="21.95" customHeight="1" thickBot="1">
      <c r="A34" s="532" t="s">
        <v>508</v>
      </c>
      <c r="B34" s="53"/>
      <c r="C34" s="53"/>
      <c r="D34" s="53"/>
      <c r="E34" s="53"/>
      <c r="F34" s="53"/>
      <c r="G34" s="533"/>
      <c r="H34" s="534" t="s">
        <v>509</v>
      </c>
      <c r="I34" s="533"/>
      <c r="J34" s="53"/>
      <c r="K34" s="53"/>
      <c r="L34" s="53"/>
      <c r="M34" s="53"/>
      <c r="N34" s="53"/>
      <c r="O34" s="53"/>
      <c r="P34" s="53"/>
      <c r="Q34" s="535"/>
      <c r="R34" s="535"/>
      <c r="S34" s="535"/>
      <c r="T34" s="53"/>
      <c r="U34" s="534" t="s">
        <v>510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6"/>
      <c r="AK34" s="1"/>
    </row>
    <row r="35" spans="1:38" ht="21.95" customHeight="1" thickBot="1">
      <c r="B35" s="537" t="s">
        <v>474</v>
      </c>
      <c r="C35" s="538"/>
      <c r="D35" s="538"/>
      <c r="E35" s="538"/>
      <c r="F35" s="538"/>
      <c r="G35" s="538"/>
      <c r="H35" s="538"/>
      <c r="I35" s="538"/>
      <c r="J35" s="538"/>
      <c r="K35" s="538"/>
      <c r="L35" s="538"/>
      <c r="M35" s="538"/>
      <c r="N35" s="538"/>
      <c r="O35" s="538"/>
      <c r="P35" s="538"/>
      <c r="Q35" s="538"/>
      <c r="R35" s="538"/>
      <c r="S35" s="538"/>
      <c r="T35" s="538"/>
      <c r="U35" s="538"/>
      <c r="V35" s="538"/>
      <c r="W35" s="538"/>
      <c r="X35" s="538"/>
      <c r="Y35" s="538"/>
      <c r="Z35" s="538"/>
      <c r="AA35" s="538"/>
      <c r="AB35" s="538"/>
      <c r="AC35" s="538"/>
      <c r="AD35" s="538"/>
      <c r="AE35" s="538"/>
      <c r="AF35" s="538"/>
      <c r="AG35" s="538"/>
      <c r="AH35" s="1"/>
    </row>
    <row r="36" spans="1:38" ht="21.95" customHeight="1" thickBot="1">
      <c r="A36" s="539" t="s">
        <v>475</v>
      </c>
      <c r="B36" s="182" t="s">
        <v>476</v>
      </c>
      <c r="C36" s="788">
        <v>1</v>
      </c>
      <c r="D36" s="787">
        <v>2</v>
      </c>
      <c r="E36" s="788">
        <v>3</v>
      </c>
      <c r="F36" s="788">
        <v>4</v>
      </c>
      <c r="G36" s="787">
        <v>5</v>
      </c>
      <c r="H36" s="787">
        <v>6</v>
      </c>
      <c r="I36" s="766">
        <v>7</v>
      </c>
      <c r="J36" s="766">
        <v>8</v>
      </c>
      <c r="K36" s="787">
        <v>9</v>
      </c>
      <c r="L36" s="788">
        <v>10</v>
      </c>
      <c r="M36" s="788">
        <v>11</v>
      </c>
      <c r="N36" s="787">
        <v>12</v>
      </c>
      <c r="O36" s="787">
        <v>13</v>
      </c>
      <c r="P36" s="766">
        <v>14</v>
      </c>
      <c r="Q36" s="766">
        <v>15</v>
      </c>
      <c r="R36" s="787">
        <v>16</v>
      </c>
      <c r="S36" s="788">
        <v>17</v>
      </c>
      <c r="T36" s="788">
        <v>18</v>
      </c>
      <c r="U36" s="787">
        <v>19</v>
      </c>
      <c r="V36" s="766">
        <v>20</v>
      </c>
      <c r="W36" s="766">
        <v>21</v>
      </c>
      <c r="X36" s="766">
        <v>22</v>
      </c>
      <c r="Y36" s="787">
        <v>23</v>
      </c>
      <c r="Z36" s="788">
        <v>24</v>
      </c>
      <c r="AA36" s="788">
        <v>25</v>
      </c>
      <c r="AB36" s="787">
        <v>26</v>
      </c>
      <c r="AC36" s="787">
        <v>27</v>
      </c>
      <c r="AD36" s="766">
        <v>28</v>
      </c>
      <c r="AE36" s="766">
        <v>29</v>
      </c>
      <c r="AF36" s="787">
        <v>30</v>
      </c>
      <c r="AG36" s="788">
        <v>31</v>
      </c>
      <c r="AH36" s="498" t="s">
        <v>477</v>
      </c>
      <c r="AI36" s="499" t="s">
        <v>478</v>
      </c>
      <c r="AL36" t="s">
        <v>28</v>
      </c>
    </row>
    <row r="37" spans="1:38" ht="21.95" customHeight="1">
      <c r="A37" s="540">
        <v>1</v>
      </c>
      <c r="B37" s="45" t="s">
        <v>511</v>
      </c>
      <c r="C37" s="763">
        <v>7</v>
      </c>
      <c r="D37" s="763">
        <v>7</v>
      </c>
      <c r="E37" s="763"/>
      <c r="F37" s="763"/>
      <c r="G37" s="763">
        <v>4</v>
      </c>
      <c r="H37" s="763">
        <v>4</v>
      </c>
      <c r="I37" s="763">
        <v>4</v>
      </c>
      <c r="J37" s="763">
        <v>4</v>
      </c>
      <c r="K37" s="763">
        <v>4</v>
      </c>
      <c r="L37" s="763"/>
      <c r="M37" s="763"/>
      <c r="N37" s="763">
        <v>3</v>
      </c>
      <c r="O37" s="763">
        <v>3</v>
      </c>
      <c r="P37" s="763">
        <v>3</v>
      </c>
      <c r="Q37" s="763">
        <v>3</v>
      </c>
      <c r="R37" s="763">
        <v>3</v>
      </c>
      <c r="S37" s="763"/>
      <c r="T37" s="763"/>
      <c r="U37" s="763">
        <v>11</v>
      </c>
      <c r="V37" s="763">
        <v>11</v>
      </c>
      <c r="W37" s="763">
        <v>11</v>
      </c>
      <c r="X37" s="763">
        <v>11</v>
      </c>
      <c r="Y37" s="763">
        <v>11</v>
      </c>
      <c r="Z37" s="763" t="s">
        <v>517</v>
      </c>
      <c r="AA37" s="763" t="s">
        <v>517</v>
      </c>
      <c r="AB37" s="763" t="s">
        <v>481</v>
      </c>
      <c r="AC37" s="763" t="s">
        <v>481</v>
      </c>
      <c r="AD37" s="763" t="s">
        <v>481</v>
      </c>
      <c r="AE37" s="763" t="s">
        <v>481</v>
      </c>
      <c r="AF37" s="1069" t="s">
        <v>481</v>
      </c>
      <c r="AG37" s="773"/>
      <c r="AH37" s="924">
        <v>91.5</v>
      </c>
      <c r="AI37" s="925">
        <v>37</v>
      </c>
    </row>
    <row r="38" spans="1:38" ht="21.95" customHeight="1">
      <c r="A38" s="541">
        <v>6</v>
      </c>
      <c r="B38" s="153" t="s">
        <v>794</v>
      </c>
      <c r="C38" s="768">
        <v>8</v>
      </c>
      <c r="D38" s="768">
        <v>8</v>
      </c>
      <c r="E38" s="768" t="s">
        <v>513</v>
      </c>
      <c r="F38" s="768" t="s">
        <v>513</v>
      </c>
      <c r="G38" s="768" t="s">
        <v>481</v>
      </c>
      <c r="H38" s="768" t="s">
        <v>481</v>
      </c>
      <c r="I38" s="768" t="s">
        <v>481</v>
      </c>
      <c r="J38" s="768" t="s">
        <v>481</v>
      </c>
      <c r="K38" s="768" t="s">
        <v>481</v>
      </c>
      <c r="L38" s="768"/>
      <c r="M38" s="768"/>
      <c r="N38" s="768">
        <v>1</v>
      </c>
      <c r="O38" s="768">
        <v>1</v>
      </c>
      <c r="P38" s="768">
        <v>1</v>
      </c>
      <c r="Q38" s="768">
        <v>1</v>
      </c>
      <c r="R38" s="1038" t="s">
        <v>732</v>
      </c>
      <c r="S38" s="768"/>
      <c r="T38" s="768"/>
      <c r="U38" s="768">
        <v>9</v>
      </c>
      <c r="V38" s="768">
        <v>9</v>
      </c>
      <c r="W38" s="768">
        <v>9</v>
      </c>
      <c r="X38" s="768">
        <v>9</v>
      </c>
      <c r="Y38" s="768">
        <v>9</v>
      </c>
      <c r="Z38" s="970" t="s">
        <v>519</v>
      </c>
      <c r="AA38" s="970" t="s">
        <v>519</v>
      </c>
      <c r="AB38" s="768" t="s">
        <v>481</v>
      </c>
      <c r="AC38" s="768" t="s">
        <v>481</v>
      </c>
      <c r="AD38" s="768" t="s">
        <v>481</v>
      </c>
      <c r="AE38" s="768" t="s">
        <v>481</v>
      </c>
      <c r="AF38" s="768" t="s">
        <v>481</v>
      </c>
      <c r="AG38" s="774"/>
      <c r="AH38" s="924">
        <v>12</v>
      </c>
      <c r="AI38" s="925">
        <v>37</v>
      </c>
    </row>
    <row r="39" spans="1:38" ht="21.95" customHeight="1" thickBot="1">
      <c r="A39" s="543">
        <v>11</v>
      </c>
      <c r="B39" s="794" t="s">
        <v>518</v>
      </c>
      <c r="C39" s="761">
        <v>6</v>
      </c>
      <c r="D39" s="761">
        <v>6</v>
      </c>
      <c r="E39" s="761" t="s">
        <v>512</v>
      </c>
      <c r="F39" s="761" t="s">
        <v>513</v>
      </c>
      <c r="G39" s="761" t="s">
        <v>481</v>
      </c>
      <c r="H39" s="761" t="s">
        <v>481</v>
      </c>
      <c r="I39" s="761" t="s">
        <v>481</v>
      </c>
      <c r="J39" s="761" t="s">
        <v>481</v>
      </c>
      <c r="K39" s="761" t="s">
        <v>481</v>
      </c>
      <c r="L39" s="761"/>
      <c r="M39" s="761"/>
      <c r="N39" s="967">
        <v>5</v>
      </c>
      <c r="O39" s="967">
        <v>5</v>
      </c>
      <c r="P39" s="967">
        <v>5</v>
      </c>
      <c r="Q39" s="967">
        <v>5</v>
      </c>
      <c r="R39" s="967">
        <v>5</v>
      </c>
      <c r="S39" s="967"/>
      <c r="T39" s="967"/>
      <c r="U39" s="1068">
        <v>10</v>
      </c>
      <c r="V39" s="1068">
        <v>10</v>
      </c>
      <c r="W39" s="1068">
        <v>10</v>
      </c>
      <c r="X39" s="1068">
        <v>10</v>
      </c>
      <c r="Y39" s="1068">
        <v>10</v>
      </c>
      <c r="Z39" s="1068" t="s">
        <v>514</v>
      </c>
      <c r="AA39" s="1068" t="s">
        <v>514</v>
      </c>
      <c r="AB39" s="1068" t="s">
        <v>481</v>
      </c>
      <c r="AC39" s="1068" t="s">
        <v>481</v>
      </c>
      <c r="AD39" s="1068" t="s">
        <v>481</v>
      </c>
      <c r="AE39" s="1068" t="s">
        <v>481</v>
      </c>
      <c r="AF39" s="1068" t="s">
        <v>481</v>
      </c>
      <c r="AG39" s="1303" t="s">
        <v>515</v>
      </c>
      <c r="AH39" s="924">
        <v>5.5</v>
      </c>
      <c r="AI39" s="925">
        <v>37</v>
      </c>
    </row>
    <row r="40" spans="1:38" ht="21.95" customHeight="1">
      <c r="A40" s="540">
        <v>2</v>
      </c>
      <c r="B40" s="45" t="s">
        <v>520</v>
      </c>
      <c r="C40" s="763">
        <v>4</v>
      </c>
      <c r="D40" s="1156">
        <v>4</v>
      </c>
      <c r="E40" s="763"/>
      <c r="F40" s="776"/>
      <c r="G40" s="776">
        <v>3</v>
      </c>
      <c r="H40" s="763">
        <v>3</v>
      </c>
      <c r="I40" s="763">
        <v>3</v>
      </c>
      <c r="J40" s="763">
        <v>3</v>
      </c>
      <c r="K40" s="763">
        <v>3</v>
      </c>
      <c r="L40" s="763"/>
      <c r="M40" s="763"/>
      <c r="N40" s="763">
        <v>11</v>
      </c>
      <c r="O40" s="763">
        <v>11</v>
      </c>
      <c r="P40" s="763">
        <v>11</v>
      </c>
      <c r="Q40" s="763">
        <v>11</v>
      </c>
      <c r="R40" s="763">
        <v>11</v>
      </c>
      <c r="S40" s="763" t="s">
        <v>517</v>
      </c>
      <c r="T40" s="776" t="s">
        <v>517</v>
      </c>
      <c r="U40" s="776" t="s">
        <v>481</v>
      </c>
      <c r="V40" s="763" t="s">
        <v>481</v>
      </c>
      <c r="W40" s="763" t="s">
        <v>481</v>
      </c>
      <c r="X40" s="763" t="s">
        <v>481</v>
      </c>
      <c r="Y40" s="763" t="s">
        <v>481</v>
      </c>
      <c r="Z40" s="763"/>
      <c r="AA40" s="763"/>
      <c r="AB40" s="1016">
        <v>8</v>
      </c>
      <c r="AC40" s="1016">
        <v>8</v>
      </c>
      <c r="AD40" s="1016" t="s">
        <v>766</v>
      </c>
      <c r="AE40" s="1305">
        <v>8</v>
      </c>
      <c r="AF40" s="1305">
        <v>8</v>
      </c>
      <c r="AG40" s="763" t="s">
        <v>513</v>
      </c>
      <c r="AH40" s="924">
        <v>60</v>
      </c>
      <c r="AI40" s="925">
        <v>37</v>
      </c>
    </row>
    <row r="41" spans="1:38" ht="21.95" customHeight="1">
      <c r="A41" s="541">
        <v>7</v>
      </c>
      <c r="B41" s="153" t="s">
        <v>522</v>
      </c>
      <c r="C41" s="768" t="s">
        <v>481</v>
      </c>
      <c r="D41" s="768" t="s">
        <v>481</v>
      </c>
      <c r="E41" s="768"/>
      <c r="F41" s="768"/>
      <c r="G41" s="768">
        <v>1</v>
      </c>
      <c r="H41" s="768">
        <v>1</v>
      </c>
      <c r="I41" s="768">
        <v>1</v>
      </c>
      <c r="J41" s="768">
        <v>1</v>
      </c>
      <c r="K41" s="768">
        <v>1</v>
      </c>
      <c r="L41" s="768"/>
      <c r="M41" s="768"/>
      <c r="N41" s="768">
        <v>9</v>
      </c>
      <c r="O41" s="768">
        <v>9</v>
      </c>
      <c r="P41" s="768">
        <v>9</v>
      </c>
      <c r="Q41" s="768">
        <v>9</v>
      </c>
      <c r="R41" s="768">
        <v>9</v>
      </c>
      <c r="S41" s="768" t="s">
        <v>519</v>
      </c>
      <c r="T41" s="768" t="s">
        <v>514</v>
      </c>
      <c r="U41" s="768" t="s">
        <v>481</v>
      </c>
      <c r="V41" s="768" t="s">
        <v>481</v>
      </c>
      <c r="W41" s="768" t="s">
        <v>481</v>
      </c>
      <c r="X41" s="768" t="s">
        <v>481</v>
      </c>
      <c r="Y41" s="768" t="s">
        <v>481</v>
      </c>
      <c r="Z41" s="768"/>
      <c r="AA41" s="768"/>
      <c r="AB41" s="768">
        <v>6</v>
      </c>
      <c r="AC41" s="768">
        <v>6</v>
      </c>
      <c r="AD41" s="768">
        <v>6</v>
      </c>
      <c r="AE41" s="768">
        <v>6</v>
      </c>
      <c r="AF41" s="768">
        <v>6</v>
      </c>
      <c r="AG41" s="774" t="s">
        <v>512</v>
      </c>
      <c r="AH41" s="924">
        <v>48</v>
      </c>
      <c r="AI41" s="925">
        <v>37</v>
      </c>
    </row>
    <row r="42" spans="1:38" ht="21.95" customHeight="1" thickBot="1">
      <c r="A42" s="543">
        <v>12</v>
      </c>
      <c r="B42" s="544" t="s">
        <v>523</v>
      </c>
      <c r="C42" s="761" t="s">
        <v>481</v>
      </c>
      <c r="D42" s="761" t="s">
        <v>481</v>
      </c>
      <c r="E42" s="761"/>
      <c r="F42" s="761"/>
      <c r="G42" s="761">
        <v>5</v>
      </c>
      <c r="H42" s="761">
        <v>5</v>
      </c>
      <c r="I42" s="761">
        <v>5</v>
      </c>
      <c r="J42" s="761">
        <v>5</v>
      </c>
      <c r="K42" s="761">
        <v>5</v>
      </c>
      <c r="L42" s="761"/>
      <c r="M42" s="761"/>
      <c r="N42" s="761">
        <v>10</v>
      </c>
      <c r="O42" s="761">
        <v>10</v>
      </c>
      <c r="P42" s="761">
        <v>10</v>
      </c>
      <c r="Q42" s="761">
        <v>10</v>
      </c>
      <c r="R42" s="761">
        <v>10</v>
      </c>
      <c r="S42" s="761" t="s">
        <v>514</v>
      </c>
      <c r="T42" s="761" t="s">
        <v>514</v>
      </c>
      <c r="U42" s="761" t="s">
        <v>481</v>
      </c>
      <c r="V42" s="761" t="s">
        <v>481</v>
      </c>
      <c r="W42" s="761" t="s">
        <v>481</v>
      </c>
      <c r="X42" s="761" t="s">
        <v>481</v>
      </c>
      <c r="Y42" s="761" t="s">
        <v>481</v>
      </c>
      <c r="Z42" s="761" t="s">
        <v>515</v>
      </c>
      <c r="AA42" s="761" t="s">
        <v>515</v>
      </c>
      <c r="AB42" s="761">
        <v>7</v>
      </c>
      <c r="AC42" s="761">
        <v>7</v>
      </c>
      <c r="AD42" s="761">
        <v>7</v>
      </c>
      <c r="AE42" s="761">
        <v>7</v>
      </c>
      <c r="AF42" s="761">
        <v>7</v>
      </c>
      <c r="AG42" s="775"/>
      <c r="AH42" s="924">
        <v>86</v>
      </c>
      <c r="AI42" s="925">
        <v>37</v>
      </c>
    </row>
    <row r="43" spans="1:38" ht="21.95" customHeight="1">
      <c r="A43" s="545">
        <v>3</v>
      </c>
      <c r="B43" s="836" t="s">
        <v>524</v>
      </c>
      <c r="C43" s="764">
        <v>3</v>
      </c>
      <c r="D43" s="972">
        <v>3</v>
      </c>
      <c r="E43" s="764"/>
      <c r="F43" s="764"/>
      <c r="G43" s="1032">
        <v>11</v>
      </c>
      <c r="H43" s="1032">
        <v>11</v>
      </c>
      <c r="I43" s="1032">
        <v>11</v>
      </c>
      <c r="J43" s="1032">
        <v>11</v>
      </c>
      <c r="K43" s="1032">
        <v>11</v>
      </c>
      <c r="L43" s="764" t="s">
        <v>517</v>
      </c>
      <c r="M43" s="764" t="s">
        <v>517</v>
      </c>
      <c r="N43" s="764" t="s">
        <v>481</v>
      </c>
      <c r="O43" s="764" t="s">
        <v>481</v>
      </c>
      <c r="P43" s="764" t="s">
        <v>481</v>
      </c>
      <c r="Q43" s="764" t="s">
        <v>481</v>
      </c>
      <c r="R43" s="767" t="s">
        <v>481</v>
      </c>
      <c r="S43" s="764"/>
      <c r="T43" s="764"/>
      <c r="U43" s="764">
        <v>8</v>
      </c>
      <c r="V43" s="764">
        <v>8</v>
      </c>
      <c r="W43" s="764">
        <v>8</v>
      </c>
      <c r="X43" s="764">
        <v>8</v>
      </c>
      <c r="Y43" s="764">
        <v>8</v>
      </c>
      <c r="Z43" s="764" t="s">
        <v>513</v>
      </c>
      <c r="AA43" s="764" t="s">
        <v>513</v>
      </c>
      <c r="AB43" s="764" t="s">
        <v>481</v>
      </c>
      <c r="AC43" s="764" t="s">
        <v>481</v>
      </c>
      <c r="AD43" s="764" t="s">
        <v>481</v>
      </c>
      <c r="AE43" s="764" t="s">
        <v>481</v>
      </c>
      <c r="AF43" s="764" t="s">
        <v>755</v>
      </c>
      <c r="AG43" s="777"/>
      <c r="AH43" s="924">
        <v>93</v>
      </c>
      <c r="AI43" s="925">
        <v>37</v>
      </c>
    </row>
    <row r="44" spans="1:38" ht="21.95" customHeight="1">
      <c r="A44" s="541">
        <v>8</v>
      </c>
      <c r="B44" s="319" t="s">
        <v>525</v>
      </c>
      <c r="C44" s="1038">
        <v>1</v>
      </c>
      <c r="D44" s="1038" t="s">
        <v>732</v>
      </c>
      <c r="E44" s="987"/>
      <c r="F44" s="987"/>
      <c r="G44" s="538">
        <v>9</v>
      </c>
      <c r="H44" s="987">
        <v>9</v>
      </c>
      <c r="I44" s="987">
        <v>9</v>
      </c>
      <c r="J44" s="987">
        <v>9</v>
      </c>
      <c r="K44" s="987">
        <v>9</v>
      </c>
      <c r="L44" s="987" t="s">
        <v>519</v>
      </c>
      <c r="M44" s="987" t="s">
        <v>514</v>
      </c>
      <c r="N44" s="987" t="s">
        <v>481</v>
      </c>
      <c r="O44" s="987" t="s">
        <v>481</v>
      </c>
      <c r="P44" s="987" t="s">
        <v>481</v>
      </c>
      <c r="Q44" s="1276" t="s">
        <v>481</v>
      </c>
      <c r="R44" s="987" t="s">
        <v>481</v>
      </c>
      <c r="S44" s="1277"/>
      <c r="T44" s="987"/>
      <c r="U44" s="987">
        <v>6</v>
      </c>
      <c r="V44" s="987">
        <v>6</v>
      </c>
      <c r="W44" s="987">
        <v>6</v>
      </c>
      <c r="X44" s="987">
        <v>6</v>
      </c>
      <c r="Y44" s="987">
        <v>6</v>
      </c>
      <c r="Z44" s="987" t="s">
        <v>512</v>
      </c>
      <c r="AA44" s="987" t="s">
        <v>513</v>
      </c>
      <c r="AB44" s="987" t="s">
        <v>481</v>
      </c>
      <c r="AC44" s="987" t="s">
        <v>481</v>
      </c>
      <c r="AD44" s="987" t="s">
        <v>481</v>
      </c>
      <c r="AE44" s="987" t="s">
        <v>481</v>
      </c>
      <c r="AF44" s="987" t="s">
        <v>481</v>
      </c>
      <c r="AG44" s="768"/>
      <c r="AH44" s="924">
        <v>100.5</v>
      </c>
      <c r="AI44" s="925">
        <v>12.5</v>
      </c>
    </row>
    <row r="45" spans="1:38" ht="21.95" customHeight="1" thickBot="1">
      <c r="A45" s="543">
        <v>13</v>
      </c>
      <c r="B45" s="52" t="s">
        <v>526</v>
      </c>
      <c r="C45" s="761">
        <v>5</v>
      </c>
      <c r="D45" s="1037">
        <v>5</v>
      </c>
      <c r="E45" s="761"/>
      <c r="F45" s="761"/>
      <c r="G45" s="761">
        <v>10</v>
      </c>
      <c r="H45" s="761">
        <v>10</v>
      </c>
      <c r="I45" s="761">
        <v>10</v>
      </c>
      <c r="J45" s="761">
        <v>10</v>
      </c>
      <c r="K45" s="761">
        <v>10</v>
      </c>
      <c r="L45" s="761" t="s">
        <v>514</v>
      </c>
      <c r="M45" s="761" t="s">
        <v>514</v>
      </c>
      <c r="N45" s="761" t="s">
        <v>481</v>
      </c>
      <c r="O45" s="761" t="s">
        <v>481</v>
      </c>
      <c r="P45" s="761" t="s">
        <v>481</v>
      </c>
      <c r="Q45" s="761" t="s">
        <v>481</v>
      </c>
      <c r="R45" s="770" t="s">
        <v>481</v>
      </c>
      <c r="S45" s="761" t="s">
        <v>515</v>
      </c>
      <c r="T45" s="761" t="s">
        <v>515</v>
      </c>
      <c r="U45" s="1047">
        <v>7</v>
      </c>
      <c r="V45" s="761">
        <v>7</v>
      </c>
      <c r="W45" s="761">
        <v>7</v>
      </c>
      <c r="X45" s="761">
        <v>7</v>
      </c>
      <c r="Y45" s="761">
        <v>7</v>
      </c>
      <c r="Z45" s="761"/>
      <c r="AA45" s="761"/>
      <c r="AB45" s="967">
        <v>4</v>
      </c>
      <c r="AC45" s="967">
        <v>4</v>
      </c>
      <c r="AD45" s="967">
        <v>4</v>
      </c>
      <c r="AE45" s="967">
        <v>4</v>
      </c>
      <c r="AF45" s="967">
        <v>4</v>
      </c>
      <c r="AG45" s="761"/>
      <c r="AH45" s="924">
        <v>110</v>
      </c>
      <c r="AI45" s="925">
        <v>37</v>
      </c>
    </row>
    <row r="46" spans="1:38" ht="21.95" customHeight="1">
      <c r="A46" s="545">
        <v>4</v>
      </c>
      <c r="B46" s="319" t="s">
        <v>527</v>
      </c>
      <c r="C46" s="768">
        <v>11</v>
      </c>
      <c r="D46" s="768">
        <v>11</v>
      </c>
      <c r="E46" s="768" t="s">
        <v>517</v>
      </c>
      <c r="F46" s="768" t="s">
        <v>517</v>
      </c>
      <c r="G46" s="768" t="s">
        <v>481</v>
      </c>
      <c r="H46" s="768" t="s">
        <v>481</v>
      </c>
      <c r="I46" s="768" t="s">
        <v>481</v>
      </c>
      <c r="J46" s="764" t="s">
        <v>481</v>
      </c>
      <c r="K46" s="764" t="s">
        <v>481</v>
      </c>
      <c r="L46" s="764"/>
      <c r="M46" s="764"/>
      <c r="N46" s="764">
        <v>8</v>
      </c>
      <c r="O46" s="764">
        <v>8</v>
      </c>
      <c r="P46" s="764">
        <v>8</v>
      </c>
      <c r="Q46" s="764">
        <v>8</v>
      </c>
      <c r="R46" s="764">
        <v>8</v>
      </c>
      <c r="S46" s="764" t="s">
        <v>513</v>
      </c>
      <c r="T46" s="764" t="s">
        <v>513</v>
      </c>
      <c r="U46" s="764" t="s">
        <v>481</v>
      </c>
      <c r="V46" s="1024">
        <v>4</v>
      </c>
      <c r="W46" s="1024">
        <v>4</v>
      </c>
      <c r="X46" s="764" t="s">
        <v>481</v>
      </c>
      <c r="Y46" s="764" t="s">
        <v>481</v>
      </c>
      <c r="Z46" s="764"/>
      <c r="AA46" s="764"/>
      <c r="AB46" s="964">
        <v>1</v>
      </c>
      <c r="AC46" s="964">
        <v>1</v>
      </c>
      <c r="AD46" s="964">
        <v>1</v>
      </c>
      <c r="AE46" s="964">
        <v>1</v>
      </c>
      <c r="AF46" s="964">
        <v>1</v>
      </c>
      <c r="AG46" s="771"/>
      <c r="AH46" s="924">
        <v>62</v>
      </c>
      <c r="AI46" s="925">
        <v>37</v>
      </c>
    </row>
    <row r="47" spans="1:38" ht="21.95" customHeight="1">
      <c r="A47" s="541">
        <v>9</v>
      </c>
      <c r="B47" s="319" t="s">
        <v>528</v>
      </c>
      <c r="C47" s="768">
        <v>9</v>
      </c>
      <c r="D47" s="768">
        <v>9</v>
      </c>
      <c r="E47" s="768" t="s">
        <v>519</v>
      </c>
      <c r="F47" s="768" t="s">
        <v>514</v>
      </c>
      <c r="G47" s="768" t="s">
        <v>481</v>
      </c>
      <c r="H47" s="768" t="s">
        <v>481</v>
      </c>
      <c r="I47" s="768" t="s">
        <v>481</v>
      </c>
      <c r="J47" s="768" t="s">
        <v>481</v>
      </c>
      <c r="K47" s="768" t="s">
        <v>481</v>
      </c>
      <c r="L47" s="768"/>
      <c r="M47" s="768"/>
      <c r="N47" s="768">
        <v>6</v>
      </c>
      <c r="O47" s="768">
        <v>6</v>
      </c>
      <c r="P47" s="768">
        <v>6</v>
      </c>
      <c r="Q47" s="768">
        <v>6</v>
      </c>
      <c r="R47" s="768">
        <v>6</v>
      </c>
      <c r="S47" s="768" t="s">
        <v>512</v>
      </c>
      <c r="T47" s="768" t="s">
        <v>513</v>
      </c>
      <c r="U47" s="768" t="s">
        <v>481</v>
      </c>
      <c r="V47" s="768" t="s">
        <v>481</v>
      </c>
      <c r="W47" s="768" t="s">
        <v>481</v>
      </c>
      <c r="X47" s="768" t="s">
        <v>481</v>
      </c>
      <c r="Y47" s="768" t="s">
        <v>481</v>
      </c>
      <c r="Z47" s="768"/>
      <c r="AA47" s="768"/>
      <c r="AB47" s="768">
        <v>5</v>
      </c>
      <c r="AC47" s="768">
        <v>5</v>
      </c>
      <c r="AD47" s="768">
        <v>5</v>
      </c>
      <c r="AE47" s="768">
        <v>5</v>
      </c>
      <c r="AF47" s="768">
        <v>5</v>
      </c>
      <c r="AG47" s="769"/>
      <c r="AH47" s="924">
        <v>0</v>
      </c>
      <c r="AI47" s="925">
        <v>0</v>
      </c>
    </row>
    <row r="48" spans="1:38" ht="21.95" customHeight="1" thickBot="1">
      <c r="A48" s="543">
        <v>14</v>
      </c>
      <c r="B48" s="544" t="s">
        <v>529</v>
      </c>
      <c r="C48" s="761">
        <v>10</v>
      </c>
      <c r="D48" s="761">
        <v>10</v>
      </c>
      <c r="E48" s="764" t="s">
        <v>514</v>
      </c>
      <c r="F48" s="764" t="s">
        <v>514</v>
      </c>
      <c r="G48" s="764" t="s">
        <v>481</v>
      </c>
      <c r="H48" s="764" t="s">
        <v>481</v>
      </c>
      <c r="I48" s="764" t="s">
        <v>481</v>
      </c>
      <c r="J48" s="764" t="s">
        <v>481</v>
      </c>
      <c r="K48" s="764" t="s">
        <v>481</v>
      </c>
      <c r="L48" s="761" t="s">
        <v>515</v>
      </c>
      <c r="M48" s="761" t="s">
        <v>515</v>
      </c>
      <c r="N48" s="761">
        <v>7</v>
      </c>
      <c r="O48" s="1236">
        <v>7</v>
      </c>
      <c r="P48" s="1126">
        <v>7</v>
      </c>
      <c r="Q48" s="1126">
        <v>7</v>
      </c>
      <c r="R48" s="1126">
        <v>7</v>
      </c>
      <c r="S48" s="761"/>
      <c r="T48" s="761"/>
      <c r="U48" s="761">
        <v>4</v>
      </c>
      <c r="V48" s="761">
        <v>4</v>
      </c>
      <c r="W48" s="761">
        <v>4</v>
      </c>
      <c r="X48" s="761">
        <v>4</v>
      </c>
      <c r="Y48" s="761">
        <v>4</v>
      </c>
      <c r="Z48" s="761"/>
      <c r="AA48" s="761"/>
      <c r="AB48" s="1047">
        <v>3</v>
      </c>
      <c r="AC48" s="761">
        <v>3</v>
      </c>
      <c r="AD48" s="1047">
        <v>3</v>
      </c>
      <c r="AE48" s="761">
        <v>3</v>
      </c>
      <c r="AF48" s="761">
        <v>3</v>
      </c>
      <c r="AG48" s="780"/>
      <c r="AH48" s="924">
        <v>108</v>
      </c>
      <c r="AI48" s="925">
        <v>37</v>
      </c>
    </row>
    <row r="49" spans="1:35" ht="21.95" customHeight="1">
      <c r="A49" s="540">
        <v>5</v>
      </c>
      <c r="B49" s="542" t="s">
        <v>530</v>
      </c>
      <c r="C49" s="763" t="s">
        <v>481</v>
      </c>
      <c r="D49" s="763" t="s">
        <v>481</v>
      </c>
      <c r="E49" s="763"/>
      <c r="F49" s="763"/>
      <c r="G49" s="763">
        <v>8</v>
      </c>
      <c r="H49" s="763">
        <v>8</v>
      </c>
      <c r="I49" s="763">
        <v>8</v>
      </c>
      <c r="J49" s="763">
        <v>8</v>
      </c>
      <c r="K49" s="763">
        <v>8</v>
      </c>
      <c r="L49" s="763" t="s">
        <v>513</v>
      </c>
      <c r="M49" s="763" t="s">
        <v>513</v>
      </c>
      <c r="N49" s="763" t="s">
        <v>481</v>
      </c>
      <c r="O49" s="763" t="s">
        <v>481</v>
      </c>
      <c r="P49" s="763" t="s">
        <v>481</v>
      </c>
      <c r="Q49" s="763" t="s">
        <v>481</v>
      </c>
      <c r="R49" s="763" t="s">
        <v>481</v>
      </c>
      <c r="S49" s="768"/>
      <c r="T49" s="768"/>
      <c r="U49" s="977">
        <v>1</v>
      </c>
      <c r="V49" s="977">
        <v>1</v>
      </c>
      <c r="W49" s="977">
        <v>1</v>
      </c>
      <c r="X49" s="977">
        <v>1</v>
      </c>
      <c r="Y49" s="977">
        <v>1</v>
      </c>
      <c r="Z49" s="768"/>
      <c r="AA49" s="768"/>
      <c r="AB49" s="768">
        <v>9</v>
      </c>
      <c r="AC49" s="768">
        <v>9</v>
      </c>
      <c r="AD49" s="768">
        <v>9</v>
      </c>
      <c r="AE49" s="781">
        <v>9</v>
      </c>
      <c r="AF49" s="763">
        <v>9</v>
      </c>
      <c r="AG49" s="781" t="s">
        <v>519</v>
      </c>
      <c r="AH49" s="924">
        <v>33</v>
      </c>
      <c r="AI49" s="925">
        <v>37</v>
      </c>
    </row>
    <row r="50" spans="1:35" ht="21.95" customHeight="1">
      <c r="A50" s="541">
        <v>10</v>
      </c>
      <c r="B50" s="319" t="s">
        <v>531</v>
      </c>
      <c r="C50" s="768" t="s">
        <v>481</v>
      </c>
      <c r="D50" s="768" t="s">
        <v>481</v>
      </c>
      <c r="E50" s="768"/>
      <c r="F50" s="768"/>
      <c r="G50" s="768">
        <v>6</v>
      </c>
      <c r="H50" s="768">
        <v>6</v>
      </c>
      <c r="I50" s="768">
        <v>6</v>
      </c>
      <c r="J50" s="768">
        <v>6</v>
      </c>
      <c r="K50" s="768">
        <v>6</v>
      </c>
      <c r="L50" s="768" t="s">
        <v>512</v>
      </c>
      <c r="M50" s="768" t="s">
        <v>513</v>
      </c>
      <c r="N50" s="768" t="s">
        <v>481</v>
      </c>
      <c r="O50" s="768" t="s">
        <v>481</v>
      </c>
      <c r="P50" s="768" t="s">
        <v>481</v>
      </c>
      <c r="Q50" s="768" t="s">
        <v>481</v>
      </c>
      <c r="R50" s="768" t="s">
        <v>481</v>
      </c>
      <c r="S50" s="768"/>
      <c r="T50" s="768"/>
      <c r="U50" s="970">
        <v>5</v>
      </c>
      <c r="V50" s="970">
        <v>5</v>
      </c>
      <c r="W50" s="970">
        <v>5</v>
      </c>
      <c r="X50" s="970">
        <v>5</v>
      </c>
      <c r="Y50" s="970">
        <v>5</v>
      </c>
      <c r="Z50" s="970"/>
      <c r="AA50" s="970"/>
      <c r="AB50" s="768">
        <v>10</v>
      </c>
      <c r="AC50" s="1038">
        <v>10</v>
      </c>
      <c r="AD50" s="1038">
        <v>10</v>
      </c>
      <c r="AE50" s="1042">
        <v>10</v>
      </c>
      <c r="AF50" s="1038">
        <v>10</v>
      </c>
      <c r="AG50" s="1042" t="s">
        <v>514</v>
      </c>
      <c r="AH50" s="924">
        <v>63</v>
      </c>
      <c r="AI50" s="925">
        <v>37</v>
      </c>
    </row>
    <row r="51" spans="1:35" ht="21.95" customHeight="1" thickBot="1">
      <c r="A51" s="543">
        <v>15</v>
      </c>
      <c r="B51" s="52" t="s">
        <v>532</v>
      </c>
      <c r="C51" s="761" t="s">
        <v>481</v>
      </c>
      <c r="D51" s="761" t="s">
        <v>481</v>
      </c>
      <c r="E51" s="761" t="s">
        <v>515</v>
      </c>
      <c r="F51" s="761" t="s">
        <v>515</v>
      </c>
      <c r="G51" s="761">
        <v>7</v>
      </c>
      <c r="H51" s="761">
        <v>7</v>
      </c>
      <c r="I51" s="761">
        <v>7</v>
      </c>
      <c r="J51" s="761">
        <v>7</v>
      </c>
      <c r="K51" s="761">
        <v>7</v>
      </c>
      <c r="L51" s="761"/>
      <c r="M51" s="761"/>
      <c r="N51" s="761">
        <v>4</v>
      </c>
      <c r="O51" s="761">
        <v>4</v>
      </c>
      <c r="P51" s="761">
        <v>4</v>
      </c>
      <c r="Q51" s="761">
        <v>4</v>
      </c>
      <c r="R51" s="761">
        <v>4</v>
      </c>
      <c r="S51" s="761"/>
      <c r="T51" s="761"/>
      <c r="U51" s="967">
        <v>3</v>
      </c>
      <c r="V51" s="967">
        <v>3</v>
      </c>
      <c r="W51" s="967">
        <v>3</v>
      </c>
      <c r="X51" s="967">
        <v>3</v>
      </c>
      <c r="Y51" s="967">
        <v>3</v>
      </c>
      <c r="Z51" s="761"/>
      <c r="AA51" s="761"/>
      <c r="AB51" s="761">
        <v>11</v>
      </c>
      <c r="AC51" s="761">
        <v>11</v>
      </c>
      <c r="AD51" s="761">
        <v>11</v>
      </c>
      <c r="AE51" s="780">
        <v>11</v>
      </c>
      <c r="AF51" s="761">
        <v>11</v>
      </c>
      <c r="AG51" s="780" t="s">
        <v>517</v>
      </c>
      <c r="AH51" s="924">
        <v>16</v>
      </c>
      <c r="AI51" s="925">
        <v>37</v>
      </c>
    </row>
    <row r="52" spans="1:35" ht="21.95" customHeight="1">
      <c r="A52" s="516"/>
      <c r="C52" s="538"/>
      <c r="D52" s="538"/>
      <c r="E52" s="538"/>
      <c r="F52" s="538"/>
      <c r="G52" s="538"/>
      <c r="H52" s="538"/>
      <c r="I52" s="538"/>
      <c r="J52" s="538"/>
      <c r="K52" s="538"/>
      <c r="L52" s="538"/>
      <c r="M52" s="538"/>
      <c r="N52" s="538"/>
      <c r="O52" s="538"/>
      <c r="P52" s="538"/>
      <c r="Q52" s="538"/>
      <c r="R52" s="538"/>
      <c r="S52" s="538"/>
      <c r="T52" s="538"/>
      <c r="U52" s="538"/>
      <c r="V52" s="538"/>
      <c r="W52" s="538"/>
      <c r="X52" s="538"/>
      <c r="Y52" s="538"/>
      <c r="Z52" s="538"/>
      <c r="AA52" s="538"/>
      <c r="AB52" s="538"/>
      <c r="AC52" s="538"/>
      <c r="AD52" s="538"/>
      <c r="AE52" s="538"/>
      <c r="AF52" s="538"/>
      <c r="AG52" s="538"/>
      <c r="AH52" s="1"/>
    </row>
    <row r="53" spans="1:35" ht="21.95" customHeight="1">
      <c r="A53" s="516"/>
      <c r="C53" s="538"/>
      <c r="D53" s="538"/>
      <c r="E53" s="538"/>
      <c r="F53" s="538"/>
      <c r="G53" s="538"/>
      <c r="H53" s="538"/>
      <c r="I53" s="538"/>
      <c r="J53" s="538"/>
      <c r="K53" s="538"/>
      <c r="L53" s="538"/>
      <c r="M53" s="538"/>
      <c r="N53" s="538"/>
      <c r="O53" s="538"/>
      <c r="P53" s="538"/>
      <c r="Q53" s="538"/>
      <c r="R53" s="538"/>
      <c r="S53" s="538"/>
      <c r="T53" s="538"/>
      <c r="U53" s="538"/>
      <c r="V53" s="538"/>
      <c r="W53" s="538"/>
      <c r="X53" s="538"/>
      <c r="Y53" s="538"/>
      <c r="Z53" s="538"/>
      <c r="AA53" s="538"/>
      <c r="AB53" s="538"/>
      <c r="AC53" s="538"/>
      <c r="AD53" s="538"/>
      <c r="AE53" s="538"/>
      <c r="AF53" s="538"/>
      <c r="AG53" s="538"/>
      <c r="AH53" s="1"/>
    </row>
    <row r="54" spans="1:35" ht="21.95" customHeight="1">
      <c r="A54" s="516"/>
      <c r="C54" s="538"/>
      <c r="D54" s="538"/>
      <c r="E54" s="538"/>
      <c r="F54" s="538"/>
      <c r="G54" s="538"/>
      <c r="H54" s="538"/>
      <c r="I54" s="538"/>
      <c r="J54" s="538"/>
      <c r="K54" s="538"/>
      <c r="L54" s="538"/>
      <c r="M54" s="538"/>
      <c r="N54" s="538"/>
      <c r="O54" s="538"/>
      <c r="P54" s="538"/>
      <c r="Q54" s="538"/>
      <c r="R54" s="538"/>
      <c r="S54" s="538"/>
      <c r="T54" s="538"/>
      <c r="U54" s="538"/>
      <c r="V54" s="538"/>
      <c r="W54" s="538"/>
      <c r="X54" s="538"/>
      <c r="Y54" s="538"/>
      <c r="Z54" s="538"/>
      <c r="AA54" s="538"/>
      <c r="AB54" s="538"/>
      <c r="AC54" s="538"/>
      <c r="AD54" s="538"/>
      <c r="AE54" s="538"/>
      <c r="AF54" s="538"/>
      <c r="AG54" s="538"/>
      <c r="AH54" s="1"/>
    </row>
    <row r="55" spans="1:35" ht="21.95" customHeight="1" thickBot="1">
      <c r="A55" s="554"/>
      <c r="C55" s="555"/>
      <c r="D55" s="555"/>
      <c r="E55" s="555"/>
      <c r="F55" s="555"/>
      <c r="G55" s="555"/>
      <c r="H55" s="555"/>
      <c r="I55" s="555"/>
      <c r="J55" s="555"/>
      <c r="K55" s="555"/>
      <c r="L55" s="555"/>
      <c r="M55" s="555"/>
      <c r="N55" s="555"/>
      <c r="O55" s="555"/>
      <c r="P55" s="555"/>
      <c r="Q55" s="555"/>
      <c r="R55" s="555"/>
      <c r="S55" s="555"/>
      <c r="T55" s="555"/>
      <c r="U55" s="555"/>
      <c r="V55" s="555"/>
      <c r="W55" s="555"/>
      <c r="X55" s="555"/>
      <c r="Y55" s="555"/>
      <c r="Z55" s="555"/>
      <c r="AA55" s="555"/>
      <c r="AB55" s="555"/>
      <c r="AC55" s="555"/>
      <c r="AD55" s="555"/>
      <c r="AE55" s="555"/>
      <c r="AF55" s="555"/>
      <c r="AG55" s="555"/>
      <c r="AH55" s="556"/>
      <c r="AI55" s="556"/>
    </row>
    <row r="56" spans="1:35" ht="21.95" customHeight="1">
      <c r="A56" s="361"/>
      <c r="B56" s="23" t="s">
        <v>533</v>
      </c>
      <c r="C56" s="7"/>
      <c r="D56" s="414" t="s">
        <v>2</v>
      </c>
      <c r="E56" s="547"/>
      <c r="F56" s="7"/>
      <c r="G56" s="6" t="s">
        <v>3</v>
      </c>
      <c r="H56" s="548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49"/>
      <c r="R56" s="118"/>
      <c r="S56" s="6" t="s">
        <v>7</v>
      </c>
      <c r="T56" s="550"/>
      <c r="U56" s="118"/>
      <c r="V56" s="6" t="s">
        <v>8</v>
      </c>
      <c r="W56" s="549"/>
      <c r="X56" s="349" t="s">
        <v>9</v>
      </c>
      <c r="Y56" s="557"/>
      <c r="Z56" s="557"/>
      <c r="AA56" s="558"/>
      <c r="AB56" s="27" t="s">
        <v>10</v>
      </c>
      <c r="AC56" s="551"/>
      <c r="AD56" s="551"/>
      <c r="AE56" s="559"/>
      <c r="AF56" s="559"/>
      <c r="AG56" s="560"/>
    </row>
    <row r="57" spans="1:35" ht="21.95" customHeight="1">
      <c r="A57" s="361"/>
      <c r="B57" s="306" t="s">
        <v>534</v>
      </c>
      <c r="C57" s="561" t="s">
        <v>535</v>
      </c>
      <c r="D57" s="483"/>
      <c r="E57" s="484"/>
      <c r="F57" s="561" t="s">
        <v>535</v>
      </c>
      <c r="G57" s="483"/>
      <c r="H57" s="484"/>
      <c r="I57" s="561" t="s">
        <v>535</v>
      </c>
      <c r="J57" s="483"/>
      <c r="K57" s="484"/>
      <c r="L57" s="561" t="s">
        <v>535</v>
      </c>
      <c r="M57" s="483"/>
      <c r="N57" s="484"/>
      <c r="O57" s="561" t="s">
        <v>116</v>
      </c>
      <c r="P57" s="483"/>
      <c r="Q57" s="484"/>
      <c r="R57" s="561"/>
      <c r="S57" s="483"/>
      <c r="T57" s="484"/>
      <c r="U57" s="561"/>
      <c r="V57" s="483"/>
      <c r="W57" s="484"/>
      <c r="X57" s="561"/>
      <c r="Y57" s="483"/>
      <c r="Z57" s="483"/>
      <c r="AA57" s="483"/>
      <c r="AB57" s="476"/>
      <c r="AC57" s="483"/>
      <c r="AD57" s="483"/>
      <c r="AE57" s="483"/>
      <c r="AF57" s="483"/>
      <c r="AG57" s="562"/>
    </row>
    <row r="58" spans="1:35" ht="21.95" customHeight="1">
      <c r="A58" s="361"/>
      <c r="B58" s="306" t="s">
        <v>536</v>
      </c>
      <c r="C58" s="561" t="s">
        <v>147</v>
      </c>
      <c r="D58" s="483"/>
      <c r="E58" s="484"/>
      <c r="F58" s="561" t="s">
        <v>147</v>
      </c>
      <c r="G58" s="483"/>
      <c r="H58" s="484"/>
      <c r="I58" s="561" t="s">
        <v>147</v>
      </c>
      <c r="J58" s="483"/>
      <c r="K58" s="484"/>
      <c r="L58" s="561" t="s">
        <v>147</v>
      </c>
      <c r="M58" s="483"/>
      <c r="N58" s="484"/>
      <c r="O58" s="561" t="s">
        <v>537</v>
      </c>
      <c r="P58" s="483"/>
      <c r="Q58" s="484"/>
      <c r="R58" s="561"/>
      <c r="S58" s="483"/>
      <c r="T58" s="484"/>
      <c r="U58" s="561"/>
      <c r="V58" s="483"/>
      <c r="W58" s="484"/>
      <c r="X58" s="561"/>
      <c r="Y58" s="483"/>
      <c r="Z58" s="483"/>
      <c r="AA58" s="483"/>
      <c r="AB58" s="476"/>
      <c r="AC58" s="483"/>
      <c r="AD58" s="483"/>
      <c r="AE58" s="483"/>
      <c r="AF58" s="483"/>
      <c r="AG58" s="562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 thickBot="1">
      <c r="A60" s="861" t="s">
        <v>475</v>
      </c>
      <c r="B60" s="862" t="s">
        <v>476</v>
      </c>
      <c r="C60" s="880">
        <v>1</v>
      </c>
      <c r="D60" s="863">
        <v>2</v>
      </c>
      <c r="E60" s="880">
        <v>3</v>
      </c>
      <c r="F60" s="880">
        <v>4</v>
      </c>
      <c r="G60" s="863">
        <v>5</v>
      </c>
      <c r="H60" s="863">
        <v>6</v>
      </c>
      <c r="I60" s="863">
        <v>7</v>
      </c>
      <c r="J60" s="863">
        <v>8</v>
      </c>
      <c r="K60" s="863">
        <v>9</v>
      </c>
      <c r="L60" s="880">
        <v>10</v>
      </c>
      <c r="M60" s="880">
        <v>11</v>
      </c>
      <c r="N60" s="863">
        <v>12</v>
      </c>
      <c r="O60" s="863">
        <v>13</v>
      </c>
      <c r="P60" s="863">
        <v>14</v>
      </c>
      <c r="Q60" s="863">
        <v>15</v>
      </c>
      <c r="R60" s="863">
        <v>16</v>
      </c>
      <c r="S60" s="880">
        <v>17</v>
      </c>
      <c r="T60" s="880">
        <v>18</v>
      </c>
      <c r="U60" s="863">
        <v>19</v>
      </c>
      <c r="V60" s="863">
        <v>20</v>
      </c>
      <c r="W60" s="863">
        <v>21</v>
      </c>
      <c r="X60" s="863">
        <v>22</v>
      </c>
      <c r="Y60" s="863">
        <v>23</v>
      </c>
      <c r="Z60" s="880">
        <v>24</v>
      </c>
      <c r="AA60" s="880">
        <v>25</v>
      </c>
      <c r="AB60" s="863">
        <v>26</v>
      </c>
      <c r="AC60" s="863">
        <v>27</v>
      </c>
      <c r="AD60" s="863">
        <v>28</v>
      </c>
      <c r="AE60" s="863">
        <v>29</v>
      </c>
      <c r="AF60" s="863">
        <v>30</v>
      </c>
      <c r="AG60" s="880">
        <v>31</v>
      </c>
      <c r="AH60" s="864" t="s">
        <v>477</v>
      </c>
      <c r="AI60" s="865" t="s">
        <v>478</v>
      </c>
    </row>
    <row r="61" spans="1:35" ht="21.95" customHeight="1">
      <c r="A61" s="860">
        <v>8520</v>
      </c>
      <c r="B61" s="860" t="s">
        <v>538</v>
      </c>
      <c r="C61" s="764"/>
      <c r="D61" s="964" t="s">
        <v>539</v>
      </c>
      <c r="E61" s="764"/>
      <c r="F61" s="764"/>
      <c r="G61" s="764" t="s">
        <v>539</v>
      </c>
      <c r="H61" s="764" t="s">
        <v>539</v>
      </c>
      <c r="I61" s="764" t="s">
        <v>539</v>
      </c>
      <c r="J61" s="764" t="s">
        <v>539</v>
      </c>
      <c r="K61" s="764" t="s">
        <v>539</v>
      </c>
      <c r="L61" s="764"/>
      <c r="M61" s="764"/>
      <c r="N61" s="764" t="s">
        <v>539</v>
      </c>
      <c r="O61" s="764" t="s">
        <v>539</v>
      </c>
      <c r="P61" s="764" t="s">
        <v>539</v>
      </c>
      <c r="Q61" s="764" t="s">
        <v>539</v>
      </c>
      <c r="R61" s="764" t="s">
        <v>539</v>
      </c>
      <c r="S61" s="764"/>
      <c r="T61" s="764"/>
      <c r="U61" s="985" t="s">
        <v>539</v>
      </c>
      <c r="V61" s="964" t="s">
        <v>539</v>
      </c>
      <c r="W61" s="764" t="s">
        <v>539</v>
      </c>
      <c r="X61" s="764" t="s">
        <v>539</v>
      </c>
      <c r="Y61" s="764" t="s">
        <v>539</v>
      </c>
      <c r="Z61" s="764"/>
      <c r="AA61" s="764"/>
      <c r="AB61" s="764" t="s">
        <v>539</v>
      </c>
      <c r="AC61" s="764" t="s">
        <v>539</v>
      </c>
      <c r="AD61" s="764" t="s">
        <v>539</v>
      </c>
      <c r="AE61" s="764" t="s">
        <v>539</v>
      </c>
      <c r="AF61" s="764" t="s">
        <v>539</v>
      </c>
      <c r="AG61" s="764"/>
      <c r="AH61" s="510">
        <v>75</v>
      </c>
      <c r="AI61" s="511">
        <v>37</v>
      </c>
    </row>
    <row r="62" spans="1:35" ht="21.95" customHeight="1" thickBot="1">
      <c r="A62" s="866">
        <v>8521</v>
      </c>
      <c r="B62" s="866"/>
      <c r="C62" s="867"/>
      <c r="D62" s="867" t="s">
        <v>540</v>
      </c>
      <c r="E62" s="867"/>
      <c r="F62" s="867"/>
      <c r="G62" s="867" t="s">
        <v>540</v>
      </c>
      <c r="H62" s="867" t="s">
        <v>540</v>
      </c>
      <c r="I62" s="867" t="s">
        <v>540</v>
      </c>
      <c r="J62" s="867" t="s">
        <v>540</v>
      </c>
      <c r="K62" s="867" t="s">
        <v>540</v>
      </c>
      <c r="L62" s="867"/>
      <c r="M62" s="867"/>
      <c r="N62" s="867" t="s">
        <v>540</v>
      </c>
      <c r="O62" s="867" t="s">
        <v>540</v>
      </c>
      <c r="P62" s="867" t="s">
        <v>540</v>
      </c>
      <c r="Q62" s="867" t="s">
        <v>540</v>
      </c>
      <c r="R62" s="867" t="s">
        <v>540</v>
      </c>
      <c r="S62" s="867"/>
      <c r="T62" s="867"/>
      <c r="U62" s="867" t="s">
        <v>540</v>
      </c>
      <c r="V62" s="867" t="s">
        <v>539</v>
      </c>
      <c r="W62" s="867" t="s">
        <v>540</v>
      </c>
      <c r="X62" s="867" t="s">
        <v>540</v>
      </c>
      <c r="Y62" s="867" t="s">
        <v>540</v>
      </c>
      <c r="Z62" s="867"/>
      <c r="AA62" s="867"/>
      <c r="AB62" s="867" t="s">
        <v>540</v>
      </c>
      <c r="AC62" s="867" t="s">
        <v>540</v>
      </c>
      <c r="AD62" s="867" t="s">
        <v>540</v>
      </c>
      <c r="AE62" s="867" t="s">
        <v>540</v>
      </c>
      <c r="AF62" s="867" t="s">
        <v>540</v>
      </c>
      <c r="AG62" s="867"/>
      <c r="AH62" s="868">
        <v>185</v>
      </c>
      <c r="AI62" s="869">
        <v>37</v>
      </c>
    </row>
    <row r="63" spans="1:35" ht="21.95" customHeight="1">
      <c r="A63" s="361"/>
      <c r="B63" s="361"/>
      <c r="C63" s="538"/>
      <c r="D63" s="517"/>
      <c r="E63" s="517"/>
      <c r="F63" s="517"/>
      <c r="G63" s="517"/>
      <c r="H63" s="517"/>
      <c r="I63" s="517"/>
      <c r="J63" s="517"/>
      <c r="K63" s="517"/>
      <c r="L63" s="517"/>
      <c r="M63" s="517"/>
      <c r="N63" s="517"/>
      <c r="O63" s="517"/>
      <c r="P63" s="517"/>
      <c r="Q63" s="517"/>
      <c r="R63" s="517"/>
      <c r="S63" s="517"/>
      <c r="T63" s="517"/>
      <c r="U63" s="517"/>
      <c r="V63" s="517"/>
      <c r="W63" s="517"/>
      <c r="X63" s="517"/>
      <c r="Y63" s="517"/>
      <c r="Z63" s="517"/>
      <c r="AA63" s="517"/>
      <c r="AB63" s="517"/>
      <c r="AC63" s="517"/>
      <c r="AD63" s="517"/>
      <c r="AE63" s="517"/>
      <c r="AF63" s="517"/>
      <c r="AG63" s="517"/>
      <c r="AH63" s="556"/>
      <c r="AI63" s="556"/>
    </row>
    <row r="64" spans="1:35" ht="21.95" customHeight="1">
      <c r="A64" s="361"/>
      <c r="B64" s="361"/>
      <c r="C64" s="538"/>
      <c r="D64" s="517"/>
      <c r="E64" s="517"/>
      <c r="F64" s="517"/>
      <c r="G64" s="517"/>
      <c r="H64" s="517"/>
      <c r="I64" s="517"/>
      <c r="J64" s="517"/>
      <c r="K64" s="517"/>
      <c r="L64" s="517"/>
      <c r="M64" s="517"/>
      <c r="N64" s="517"/>
      <c r="O64" s="517"/>
      <c r="P64" s="517"/>
      <c r="Q64" s="517"/>
      <c r="R64" s="517"/>
      <c r="S64" s="517"/>
      <c r="T64" s="517"/>
      <c r="U64" s="517"/>
      <c r="V64" s="517"/>
      <c r="W64" s="517"/>
      <c r="X64" s="517"/>
      <c r="Y64" s="517"/>
      <c r="Z64" s="517"/>
      <c r="AA64" s="517"/>
      <c r="AB64" s="517"/>
      <c r="AC64" s="517"/>
      <c r="AD64" s="517"/>
      <c r="AE64" s="517"/>
      <c r="AF64" s="517"/>
      <c r="AG64" s="517"/>
      <c r="AH64" s="556"/>
      <c r="AI64" s="556"/>
    </row>
    <row r="65" spans="1:35" ht="21.95" customHeight="1">
      <c r="A65" s="361"/>
      <c r="B65" s="361"/>
      <c r="C65" s="538"/>
      <c r="D65" s="517"/>
      <c r="E65" s="517"/>
      <c r="F65" s="517"/>
      <c r="G65" s="517"/>
      <c r="H65" s="517"/>
      <c r="I65" s="517"/>
      <c r="J65" s="517"/>
      <c r="K65" s="517"/>
      <c r="L65" s="517"/>
      <c r="M65" s="517"/>
      <c r="N65" s="517"/>
      <c r="O65" s="517"/>
      <c r="P65" s="517"/>
      <c r="Q65" s="517"/>
      <c r="R65" s="517"/>
      <c r="S65" s="517"/>
      <c r="T65" s="517"/>
      <c r="U65" s="517"/>
      <c r="V65" s="517"/>
      <c r="W65" s="517"/>
      <c r="X65" s="517"/>
      <c r="Y65" s="517"/>
      <c r="Z65" s="517"/>
      <c r="AA65" s="517"/>
      <c r="AB65" s="517"/>
      <c r="AC65" s="517"/>
      <c r="AD65" s="517"/>
      <c r="AE65" s="517"/>
      <c r="AF65" s="517"/>
      <c r="AG65" s="517"/>
      <c r="AH65" s="556"/>
      <c r="AI65" s="556"/>
    </row>
    <row r="66" spans="1:35" ht="21.95" customHeight="1" thickBot="1">
      <c r="A66" s="1" t="s">
        <v>541</v>
      </c>
      <c r="D66" s="361"/>
      <c r="E66" s="361"/>
      <c r="F66" s="361"/>
      <c r="G66" s="546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35" ht="21.95" customHeight="1">
      <c r="A67" s="1"/>
      <c r="B67" s="23" t="s">
        <v>542</v>
      </c>
      <c r="C67" s="7"/>
      <c r="D67" s="522" t="s">
        <v>2</v>
      </c>
      <c r="E67" s="51"/>
      <c r="F67" s="548"/>
      <c r="G67" s="7"/>
      <c r="H67" s="522" t="s">
        <v>3</v>
      </c>
      <c r="I67" s="51"/>
      <c r="J67" s="548"/>
      <c r="K67" s="7"/>
      <c r="L67" s="522" t="s">
        <v>4</v>
      </c>
      <c r="M67" s="51"/>
      <c r="N67" s="548"/>
      <c r="O67" s="7"/>
      <c r="P67" s="522" t="s">
        <v>5</v>
      </c>
      <c r="Q67" s="51"/>
      <c r="R67" s="548"/>
      <c r="S67" s="7"/>
      <c r="T67" s="522" t="s">
        <v>6</v>
      </c>
      <c r="U67" s="51"/>
      <c r="V67" s="548"/>
      <c r="W67" s="27"/>
      <c r="X67" s="713" t="s">
        <v>7</v>
      </c>
      <c r="Y67" s="519"/>
      <c r="Z67" s="238"/>
      <c r="AA67" s="7"/>
      <c r="AB67" s="522" t="s">
        <v>8</v>
      </c>
      <c r="AC67" s="51"/>
      <c r="AD67" s="51"/>
      <c r="AE67" s="349" t="s">
        <v>9</v>
      </c>
      <c r="AF67" s="51"/>
      <c r="AG67" s="51"/>
      <c r="AH67" s="51"/>
      <c r="AI67" s="523"/>
    </row>
    <row r="68" spans="1:35" ht="21.95" customHeight="1">
      <c r="A68" s="1"/>
      <c r="B68" s="129" t="s">
        <v>324</v>
      </c>
      <c r="C68" s="563" t="s">
        <v>795</v>
      </c>
      <c r="E68" s="157"/>
      <c r="F68" s="564"/>
      <c r="G68" s="563" t="s">
        <v>795</v>
      </c>
      <c r="H68" s="157"/>
      <c r="I68" s="157"/>
      <c r="J68" s="564"/>
      <c r="K68" s="563" t="s">
        <v>795</v>
      </c>
      <c r="L68" s="157"/>
      <c r="M68" s="157"/>
      <c r="N68" s="564"/>
      <c r="O68" s="563" t="s">
        <v>796</v>
      </c>
      <c r="P68" s="157"/>
      <c r="Q68" s="157"/>
      <c r="R68" s="564"/>
      <c r="S68" s="563" t="s">
        <v>797</v>
      </c>
      <c r="T68" s="157"/>
      <c r="U68" s="157"/>
      <c r="V68" s="565"/>
      <c r="W68" s="714"/>
      <c r="X68" s="715"/>
      <c r="Y68" s="715"/>
      <c r="Z68" s="716"/>
      <c r="AA68" s="565"/>
      <c r="AB68" s="157"/>
      <c r="AC68" s="157"/>
      <c r="AD68" s="565"/>
      <c r="AE68" s="121">
        <v>37</v>
      </c>
      <c r="AG68" s="157"/>
      <c r="AH68" s="565"/>
      <c r="AI68" s="490"/>
    </row>
    <row r="69" spans="1:35" ht="21.95" customHeight="1">
      <c r="A69" s="1"/>
      <c r="B69" s="129" t="s">
        <v>325</v>
      </c>
      <c r="C69" s="563" t="s">
        <v>546</v>
      </c>
      <c r="D69" s="157"/>
      <c r="E69" s="157"/>
      <c r="F69" s="564"/>
      <c r="G69" s="563" t="s">
        <v>546</v>
      </c>
      <c r="H69" s="157"/>
      <c r="I69" s="157"/>
      <c r="J69" s="564"/>
      <c r="K69" s="563" t="s">
        <v>546</v>
      </c>
      <c r="L69" s="157"/>
      <c r="M69" s="157"/>
      <c r="N69" s="564"/>
      <c r="O69" s="563" t="s">
        <v>547</v>
      </c>
      <c r="P69" s="157"/>
      <c r="Q69" s="157"/>
      <c r="R69" s="564"/>
      <c r="S69" s="563" t="s">
        <v>548</v>
      </c>
      <c r="T69" s="157"/>
      <c r="U69" s="157"/>
      <c r="V69" s="564"/>
      <c r="W69" s="604" t="s">
        <v>798</v>
      </c>
      <c r="X69" s="55"/>
      <c r="Y69" s="55"/>
      <c r="Z69" s="55"/>
      <c r="AA69" s="563" t="s">
        <v>550</v>
      </c>
      <c r="AB69" s="563"/>
      <c r="AC69" s="563"/>
      <c r="AD69" s="563"/>
      <c r="AE69" s="155">
        <v>68.25</v>
      </c>
      <c r="AF69" s="157"/>
      <c r="AG69" s="567"/>
      <c r="AH69" s="568"/>
      <c r="AI69" s="569"/>
    </row>
    <row r="70" spans="1:35" ht="21.95" customHeight="1">
      <c r="A70" s="1"/>
      <c r="B70" s="129" t="s">
        <v>326</v>
      </c>
      <c r="C70" s="712" t="s">
        <v>167</v>
      </c>
      <c r="D70" s="157"/>
      <c r="E70" s="157"/>
      <c r="F70" s="564"/>
      <c r="G70" s="157" t="s">
        <v>167</v>
      </c>
      <c r="H70" s="157"/>
      <c r="I70" s="157"/>
      <c r="J70" s="564"/>
      <c r="K70" s="157" t="s">
        <v>167</v>
      </c>
      <c r="L70" s="157"/>
      <c r="M70" s="157"/>
      <c r="N70" s="564"/>
      <c r="O70" s="157" t="s">
        <v>167</v>
      </c>
      <c r="P70" s="157"/>
      <c r="Q70" s="157"/>
      <c r="R70" s="564"/>
      <c r="S70" s="157" t="s">
        <v>167</v>
      </c>
      <c r="T70" s="157"/>
      <c r="U70" s="157"/>
      <c r="V70" s="564"/>
      <c r="W70" s="563"/>
      <c r="X70" s="157"/>
      <c r="Y70" s="157"/>
      <c r="Z70" s="564"/>
      <c r="AA70" s="563"/>
      <c r="AB70" s="157"/>
      <c r="AC70" s="157"/>
      <c r="AD70" s="565"/>
      <c r="AE70" s="566">
        <v>0</v>
      </c>
      <c r="AF70" s="567"/>
      <c r="AG70" s="157"/>
      <c r="AH70" s="565"/>
      <c r="AI70" s="490"/>
    </row>
    <row r="71" spans="1:35" ht="21.95" customHeight="1" thickBot="1">
      <c r="A71" s="1"/>
      <c r="B71" s="47"/>
      <c r="C71" s="570"/>
      <c r="D71" s="53"/>
      <c r="E71" s="53"/>
      <c r="F71" s="571"/>
      <c r="G71" s="570"/>
      <c r="H71" s="53"/>
      <c r="I71" s="53"/>
      <c r="J71" s="571"/>
      <c r="K71" s="570"/>
      <c r="L71" s="53"/>
      <c r="M71" s="53"/>
      <c r="N71" s="571"/>
      <c r="O71" s="570"/>
      <c r="P71" s="53"/>
      <c r="Q71" s="53"/>
      <c r="R71" s="571"/>
      <c r="S71" s="570"/>
      <c r="T71" s="53"/>
      <c r="U71" s="53"/>
      <c r="V71" s="571"/>
      <c r="W71" s="53"/>
      <c r="X71" s="53"/>
      <c r="Y71" s="53"/>
      <c r="Z71" s="53"/>
      <c r="AA71" s="53"/>
      <c r="AB71" s="53"/>
      <c r="AC71" s="53"/>
      <c r="AD71" s="53"/>
      <c r="AE71" s="572"/>
      <c r="AF71" s="53"/>
      <c r="AG71" s="53"/>
      <c r="AH71" s="573"/>
      <c r="AI71" s="536"/>
    </row>
    <row r="72" spans="1:35" ht="21.95" customHeight="1" thickBot="1">
      <c r="A72" s="574"/>
      <c r="B72" s="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</row>
    <row r="73" spans="1:35" ht="21.95" customHeight="1" thickBot="1">
      <c r="A73" s="861"/>
      <c r="B73" s="862" t="s">
        <v>476</v>
      </c>
      <c r="C73" s="880">
        <v>1</v>
      </c>
      <c r="D73" s="863">
        <v>2</v>
      </c>
      <c r="E73" s="880">
        <v>3</v>
      </c>
      <c r="F73" s="880">
        <v>4</v>
      </c>
      <c r="G73" s="863">
        <v>5</v>
      </c>
      <c r="H73" s="863">
        <v>6</v>
      </c>
      <c r="I73" s="863">
        <v>7</v>
      </c>
      <c r="J73" s="863">
        <v>8</v>
      </c>
      <c r="K73" s="863">
        <v>9</v>
      </c>
      <c r="L73" s="880">
        <v>10</v>
      </c>
      <c r="M73" s="880">
        <v>11</v>
      </c>
      <c r="N73" s="863">
        <v>12</v>
      </c>
      <c r="O73" s="863">
        <v>13</v>
      </c>
      <c r="P73" s="863">
        <v>14</v>
      </c>
      <c r="Q73" s="863">
        <v>15</v>
      </c>
      <c r="R73" s="863">
        <v>16</v>
      </c>
      <c r="S73" s="880">
        <v>17</v>
      </c>
      <c r="T73" s="880">
        <v>18</v>
      </c>
      <c r="U73" s="863">
        <v>19</v>
      </c>
      <c r="V73" s="863">
        <v>20</v>
      </c>
      <c r="W73" s="863">
        <v>21</v>
      </c>
      <c r="X73" s="863">
        <v>22</v>
      </c>
      <c r="Y73" s="863">
        <v>23</v>
      </c>
      <c r="Z73" s="880">
        <v>24</v>
      </c>
      <c r="AA73" s="880">
        <v>25</v>
      </c>
      <c r="AB73" s="863">
        <v>26</v>
      </c>
      <c r="AC73" s="863">
        <v>27</v>
      </c>
      <c r="AD73" s="863">
        <v>28</v>
      </c>
      <c r="AE73" s="863">
        <v>29</v>
      </c>
      <c r="AF73" s="863">
        <v>30</v>
      </c>
      <c r="AG73" s="949">
        <v>31</v>
      </c>
      <c r="AH73" s="864" t="s">
        <v>477</v>
      </c>
      <c r="AI73" s="865" t="s">
        <v>478</v>
      </c>
    </row>
    <row r="74" spans="1:35" ht="21.95" customHeight="1">
      <c r="A74" s="870">
        <v>1</v>
      </c>
      <c r="B74" s="836" t="s">
        <v>551</v>
      </c>
      <c r="C74" s="1257" t="s">
        <v>555</v>
      </c>
      <c r="D74" s="871" t="s">
        <v>554</v>
      </c>
      <c r="E74" s="871" t="s">
        <v>555</v>
      </c>
      <c r="F74" s="871" t="s">
        <v>555</v>
      </c>
      <c r="G74" s="871" t="s">
        <v>611</v>
      </c>
      <c r="H74" s="871" t="s">
        <v>611</v>
      </c>
      <c r="I74" s="871" t="s">
        <v>611</v>
      </c>
      <c r="J74" s="871" t="s">
        <v>611</v>
      </c>
      <c r="K74" s="871" t="s">
        <v>611</v>
      </c>
      <c r="L74" s="871"/>
      <c r="M74" s="871"/>
      <c r="N74" s="871" t="s">
        <v>552</v>
      </c>
      <c r="O74" s="871" t="s">
        <v>552</v>
      </c>
      <c r="P74" s="871" t="s">
        <v>552</v>
      </c>
      <c r="Q74" s="871" t="s">
        <v>552</v>
      </c>
      <c r="R74" s="871" t="s">
        <v>552</v>
      </c>
      <c r="S74" s="871"/>
      <c r="T74" s="871"/>
      <c r="U74" s="871" t="s">
        <v>553</v>
      </c>
      <c r="V74" s="871" t="s">
        <v>553</v>
      </c>
      <c r="W74" s="871" t="s">
        <v>553</v>
      </c>
      <c r="X74" s="871" t="s">
        <v>554</v>
      </c>
      <c r="Y74" s="871" t="s">
        <v>554</v>
      </c>
      <c r="Z74" s="871" t="s">
        <v>555</v>
      </c>
      <c r="AA74" s="1014" t="s">
        <v>555</v>
      </c>
      <c r="AB74" s="762" t="s">
        <v>481</v>
      </c>
      <c r="AC74" s="871" t="s">
        <v>481</v>
      </c>
      <c r="AD74" s="871" t="s">
        <v>481</v>
      </c>
      <c r="AE74" s="871" t="s">
        <v>481</v>
      </c>
      <c r="AF74" s="871" t="s">
        <v>481</v>
      </c>
      <c r="AG74" s="871"/>
      <c r="AH74" s="510">
        <v>9.5</v>
      </c>
      <c r="AI74" s="511">
        <v>37</v>
      </c>
    </row>
    <row r="75" spans="1:35" ht="21.95" customHeight="1">
      <c r="A75" s="575">
        <v>2</v>
      </c>
      <c r="B75" s="542" t="s">
        <v>556</v>
      </c>
      <c r="C75" s="762" t="s">
        <v>481</v>
      </c>
      <c r="D75" s="762" t="s">
        <v>481</v>
      </c>
      <c r="E75" s="762"/>
      <c r="F75" s="762"/>
      <c r="G75" s="762" t="s">
        <v>552</v>
      </c>
      <c r="H75" s="762" t="s">
        <v>552</v>
      </c>
      <c r="I75" s="762" t="s">
        <v>552</v>
      </c>
      <c r="J75" s="762" t="s">
        <v>552</v>
      </c>
      <c r="K75" s="762" t="s">
        <v>552</v>
      </c>
      <c r="L75" s="762"/>
      <c r="M75" s="762"/>
      <c r="N75" s="762" t="s">
        <v>553</v>
      </c>
      <c r="O75" s="762" t="s">
        <v>553</v>
      </c>
      <c r="P75" s="762" t="s">
        <v>553</v>
      </c>
      <c r="Q75" s="762" t="s">
        <v>554</v>
      </c>
      <c r="R75" s="762" t="s">
        <v>485</v>
      </c>
      <c r="S75" s="762" t="s">
        <v>555</v>
      </c>
      <c r="T75" s="762" t="s">
        <v>555</v>
      </c>
      <c r="U75" s="762" t="s">
        <v>481</v>
      </c>
      <c r="V75" s="762" t="s">
        <v>481</v>
      </c>
      <c r="W75" s="762" t="s">
        <v>481</v>
      </c>
      <c r="X75" s="762" t="s">
        <v>481</v>
      </c>
      <c r="Y75" s="762" t="s">
        <v>481</v>
      </c>
      <c r="Z75" s="762"/>
      <c r="AA75" s="762"/>
      <c r="AB75" s="762" t="s">
        <v>552</v>
      </c>
      <c r="AC75" s="762" t="s">
        <v>552</v>
      </c>
      <c r="AD75" s="762" t="s">
        <v>552</v>
      </c>
      <c r="AE75" s="762" t="s">
        <v>552</v>
      </c>
      <c r="AF75" s="762" t="s">
        <v>552</v>
      </c>
      <c r="AG75" s="553"/>
      <c r="AH75" s="924">
        <v>71</v>
      </c>
      <c r="AI75" s="925">
        <v>37</v>
      </c>
    </row>
    <row r="76" spans="1:35" ht="21.95" customHeight="1" thickBot="1">
      <c r="A76" s="873">
        <v>3</v>
      </c>
      <c r="B76" s="874" t="s">
        <v>558</v>
      </c>
      <c r="C76" s="875" t="s">
        <v>552</v>
      </c>
      <c r="D76" s="875" t="s">
        <v>552</v>
      </c>
      <c r="E76" s="875"/>
      <c r="F76" s="875"/>
      <c r="G76" s="875" t="s">
        <v>553</v>
      </c>
      <c r="H76" s="875" t="s">
        <v>553</v>
      </c>
      <c r="I76" s="875" t="s">
        <v>553</v>
      </c>
      <c r="J76" s="875" t="s">
        <v>554</v>
      </c>
      <c r="K76" s="875" t="s">
        <v>554</v>
      </c>
      <c r="L76" s="875" t="s">
        <v>555</v>
      </c>
      <c r="M76" s="875" t="s">
        <v>555</v>
      </c>
      <c r="N76" s="875" t="s">
        <v>481</v>
      </c>
      <c r="O76" s="875" t="s">
        <v>481</v>
      </c>
      <c r="P76" s="875" t="s">
        <v>481</v>
      </c>
      <c r="Q76" s="875" t="s">
        <v>481</v>
      </c>
      <c r="R76" s="875" t="s">
        <v>481</v>
      </c>
      <c r="S76" s="875"/>
      <c r="T76" s="875"/>
      <c r="U76" s="875" t="s">
        <v>485</v>
      </c>
      <c r="V76" s="875" t="s">
        <v>485</v>
      </c>
      <c r="W76" s="875" t="s">
        <v>485</v>
      </c>
      <c r="X76" s="875" t="s">
        <v>485</v>
      </c>
      <c r="Y76" s="875" t="s">
        <v>485</v>
      </c>
      <c r="Z76" s="875"/>
      <c r="AA76" s="875"/>
      <c r="AB76" s="875" t="s">
        <v>553</v>
      </c>
      <c r="AC76" s="875" t="s">
        <v>553</v>
      </c>
      <c r="AD76" s="875" t="s">
        <v>553</v>
      </c>
      <c r="AE76" s="875" t="s">
        <v>554</v>
      </c>
      <c r="AF76" s="875" t="s">
        <v>554</v>
      </c>
      <c r="AG76" s="876" t="s">
        <v>555</v>
      </c>
      <c r="AH76" s="868">
        <v>97</v>
      </c>
      <c r="AI76" s="869">
        <v>37</v>
      </c>
    </row>
    <row r="77" spans="1:35" ht="21.95" customHeight="1"/>
    <row r="78" spans="1:35" ht="21.95" customHeight="1" thickBot="1">
      <c r="A78" s="312" t="s">
        <v>559</v>
      </c>
      <c r="C78" s="555"/>
      <c r="D78" s="555"/>
      <c r="E78" s="555"/>
      <c r="F78" s="555"/>
      <c r="G78" s="555"/>
      <c r="H78" s="555"/>
      <c r="I78" s="555"/>
      <c r="J78" s="555"/>
      <c r="K78" s="555"/>
      <c r="L78" s="555"/>
      <c r="M78" s="555"/>
      <c r="N78" s="555"/>
      <c r="O78" s="555"/>
      <c r="P78" s="555"/>
      <c r="Q78" s="555"/>
      <c r="R78" s="555"/>
      <c r="S78" s="555"/>
      <c r="T78" s="555"/>
      <c r="U78" s="555"/>
      <c r="V78" s="555"/>
      <c r="W78" s="555"/>
      <c r="X78" s="555"/>
      <c r="Y78" s="555"/>
      <c r="Z78" s="555"/>
      <c r="AA78" s="555"/>
      <c r="AB78" s="555"/>
      <c r="AC78" s="555"/>
      <c r="AD78" s="555"/>
      <c r="AE78" s="555"/>
      <c r="AF78" s="555"/>
      <c r="AH78" s="556"/>
      <c r="AI78" s="556"/>
    </row>
    <row r="79" spans="1:35" ht="21.95" customHeight="1">
      <c r="A79" s="576"/>
      <c r="B79" s="23" t="s">
        <v>542</v>
      </c>
      <c r="C79" s="7"/>
      <c r="D79" s="522" t="s">
        <v>2</v>
      </c>
      <c r="E79" s="51"/>
      <c r="F79" s="548"/>
      <c r="G79" s="7"/>
      <c r="H79" s="522" t="s">
        <v>3</v>
      </c>
      <c r="I79" s="51"/>
      <c r="J79" s="548"/>
      <c r="K79" s="7"/>
      <c r="L79" s="522" t="s">
        <v>4</v>
      </c>
      <c r="M79" s="51"/>
      <c r="N79" s="548"/>
      <c r="O79" s="7"/>
      <c r="P79" s="522" t="s">
        <v>5</v>
      </c>
      <c r="Q79" s="51"/>
      <c r="R79" s="548"/>
      <c r="S79" s="7"/>
      <c r="T79" s="522" t="s">
        <v>6</v>
      </c>
      <c r="U79" s="51"/>
      <c r="V79" s="548"/>
      <c r="W79" s="27"/>
      <c r="X79" s="713" t="s">
        <v>7</v>
      </c>
      <c r="Y79" s="519"/>
      <c r="Z79" s="238"/>
      <c r="AA79" s="7"/>
      <c r="AB79" s="522" t="s">
        <v>8</v>
      </c>
      <c r="AC79" s="51"/>
      <c r="AD79" s="51"/>
      <c r="AE79" s="349" t="s">
        <v>9</v>
      </c>
      <c r="AF79" s="51"/>
      <c r="AG79" s="51"/>
      <c r="AH79" s="51"/>
      <c r="AI79" s="523"/>
    </row>
    <row r="80" spans="1:35" ht="21.95" customHeight="1">
      <c r="B80" s="129" t="s">
        <v>324</v>
      </c>
      <c r="C80" s="589" t="s">
        <v>560</v>
      </c>
      <c r="E80" s="157"/>
      <c r="F80" s="564"/>
      <c r="G80" s="563" t="s">
        <v>561</v>
      </c>
      <c r="H80" s="483" t="s">
        <v>562</v>
      </c>
      <c r="I80" s="157"/>
      <c r="J80" s="564"/>
      <c r="K80" s="589" t="s">
        <v>560</v>
      </c>
      <c r="L80" s="483"/>
      <c r="M80" s="483"/>
      <c r="N80" s="588"/>
      <c r="O80" s="589" t="s">
        <v>563</v>
      </c>
      <c r="P80" s="483"/>
      <c r="Q80" s="483"/>
      <c r="R80" s="588"/>
      <c r="S80" s="589" t="s">
        <v>738</v>
      </c>
      <c r="T80" s="483"/>
      <c r="U80" s="483"/>
      <c r="V80" s="477"/>
      <c r="W80" s="714"/>
      <c r="X80" s="715"/>
      <c r="Y80" s="715"/>
      <c r="Z80" s="716"/>
      <c r="AA80" s="565"/>
      <c r="AB80" s="157"/>
      <c r="AC80" s="157"/>
      <c r="AD80" s="565"/>
      <c r="AE80" s="121">
        <v>37</v>
      </c>
      <c r="AG80" s="157"/>
      <c r="AH80" s="565"/>
      <c r="AI80" s="490"/>
    </row>
    <row r="81" spans="1:35" ht="21.95" customHeight="1">
      <c r="B81" s="129" t="s">
        <v>325</v>
      </c>
      <c r="C81" s="589" t="s">
        <v>565</v>
      </c>
      <c r="E81" s="157"/>
      <c r="F81" s="564"/>
      <c r="G81" s="589" t="s">
        <v>565</v>
      </c>
      <c r="I81" s="157"/>
      <c r="J81" s="564"/>
      <c r="K81" s="589" t="s">
        <v>565</v>
      </c>
      <c r="L81" s="157"/>
      <c r="M81" s="157"/>
      <c r="N81" s="564"/>
      <c r="O81" s="589" t="s">
        <v>566</v>
      </c>
      <c r="P81" s="157"/>
      <c r="Q81" s="157"/>
      <c r="R81" s="564"/>
      <c r="S81" s="563" t="s">
        <v>567</v>
      </c>
      <c r="T81" s="157"/>
      <c r="U81" s="157"/>
      <c r="V81" s="564"/>
      <c r="W81" s="604" t="s">
        <v>291</v>
      </c>
      <c r="X81" s="55"/>
      <c r="Y81" s="55"/>
      <c r="Z81" s="55"/>
      <c r="AA81" s="563" t="s">
        <v>28</v>
      </c>
      <c r="AB81" s="563"/>
      <c r="AC81" s="563"/>
      <c r="AD81" s="563"/>
      <c r="AE81" s="155">
        <v>37</v>
      </c>
      <c r="AF81" s="157"/>
      <c r="AG81" s="567"/>
      <c r="AH81" s="568"/>
      <c r="AI81" s="569"/>
    </row>
    <row r="82" spans="1:35" ht="21.95" customHeight="1">
      <c r="B82" s="129" t="s">
        <v>326</v>
      </c>
      <c r="C82" s="834" t="s">
        <v>568</v>
      </c>
      <c r="D82" s="157"/>
      <c r="E82" s="157"/>
      <c r="F82" s="564"/>
      <c r="G82" s="157" t="s">
        <v>569</v>
      </c>
      <c r="H82" s="157"/>
      <c r="I82" s="157"/>
      <c r="J82" s="564"/>
      <c r="K82" s="835" t="s">
        <v>570</v>
      </c>
      <c r="L82" s="157"/>
      <c r="M82" s="157"/>
      <c r="N82" s="564"/>
      <c r="O82" s="835" t="s">
        <v>571</v>
      </c>
      <c r="P82" s="157"/>
      <c r="Q82" s="157"/>
      <c r="R82" s="564"/>
      <c r="S82" s="835" t="s">
        <v>571</v>
      </c>
      <c r="T82" s="157"/>
      <c r="U82" s="157"/>
      <c r="V82" s="564"/>
      <c r="W82" s="563"/>
      <c r="X82" s="157"/>
      <c r="Y82" s="157"/>
      <c r="Z82" s="564"/>
      <c r="AA82" s="563"/>
      <c r="AB82" s="157"/>
      <c r="AC82" s="157"/>
      <c r="AD82" s="565"/>
      <c r="AE82" s="566">
        <v>36</v>
      </c>
      <c r="AF82" s="567"/>
      <c r="AG82" s="157"/>
      <c r="AH82" s="565"/>
      <c r="AI82" s="490"/>
    </row>
    <row r="83" spans="1:35" ht="21.95" customHeight="1" thickBot="1">
      <c r="B83" s="47"/>
      <c r="C83" s="570"/>
      <c r="D83" s="53"/>
      <c r="E83" s="53"/>
      <c r="F83" s="571"/>
      <c r="G83" s="570"/>
      <c r="H83" s="53"/>
      <c r="I83" s="53"/>
      <c r="J83" s="571"/>
      <c r="K83" s="570"/>
      <c r="L83" s="53"/>
      <c r="M83" s="53"/>
      <c r="N83" s="571"/>
      <c r="O83" s="570"/>
      <c r="P83" s="53"/>
      <c r="Q83" s="53"/>
      <c r="R83" s="571"/>
      <c r="S83" s="570"/>
      <c r="T83" s="53"/>
      <c r="U83" s="53"/>
      <c r="V83" s="571"/>
      <c r="W83" s="53"/>
      <c r="X83" s="53"/>
      <c r="Y83" s="53"/>
      <c r="Z83" s="53"/>
      <c r="AA83" s="53"/>
      <c r="AB83" s="53"/>
      <c r="AC83" s="53"/>
      <c r="AD83" s="53"/>
      <c r="AE83" s="572"/>
      <c r="AF83" s="53"/>
      <c r="AG83" s="53"/>
      <c r="AH83" s="573"/>
      <c r="AI83" s="536"/>
    </row>
    <row r="84" spans="1:35" ht="21.95" customHeight="1" thickBot="1"/>
    <row r="85" spans="1:35" ht="21.95" customHeight="1" thickBot="1">
      <c r="A85" s="861"/>
      <c r="B85" s="862" t="s">
        <v>476</v>
      </c>
      <c r="C85" s="880">
        <v>1</v>
      </c>
      <c r="D85" s="863">
        <v>2</v>
      </c>
      <c r="E85" s="880">
        <v>3</v>
      </c>
      <c r="F85" s="880">
        <v>4</v>
      </c>
      <c r="G85" s="863">
        <v>5</v>
      </c>
      <c r="H85" s="863">
        <v>6</v>
      </c>
      <c r="I85" s="863">
        <v>7</v>
      </c>
      <c r="J85" s="863">
        <v>8</v>
      </c>
      <c r="K85" s="863">
        <v>9</v>
      </c>
      <c r="L85" s="880">
        <v>10</v>
      </c>
      <c r="M85" s="880">
        <v>11</v>
      </c>
      <c r="N85" s="863">
        <v>12</v>
      </c>
      <c r="O85" s="863">
        <v>13</v>
      </c>
      <c r="P85" s="863">
        <v>14</v>
      </c>
      <c r="Q85" s="863">
        <v>15</v>
      </c>
      <c r="R85" s="863">
        <v>16</v>
      </c>
      <c r="S85" s="880">
        <v>17</v>
      </c>
      <c r="T85" s="880">
        <v>18</v>
      </c>
      <c r="U85" s="863">
        <v>19</v>
      </c>
      <c r="V85" s="863">
        <v>20</v>
      </c>
      <c r="W85" s="863">
        <v>21</v>
      </c>
      <c r="X85" s="863">
        <v>22</v>
      </c>
      <c r="Y85" s="863">
        <v>23</v>
      </c>
      <c r="Z85" s="880">
        <v>24</v>
      </c>
      <c r="AA85" s="880">
        <v>25</v>
      </c>
      <c r="AB85" s="863">
        <v>26</v>
      </c>
      <c r="AC85" s="863">
        <v>27</v>
      </c>
      <c r="AD85" s="863">
        <v>28</v>
      </c>
      <c r="AE85" s="863">
        <v>29</v>
      </c>
      <c r="AF85" s="863">
        <v>30</v>
      </c>
      <c r="AG85" s="880">
        <v>31</v>
      </c>
      <c r="AH85" s="864" t="s">
        <v>477</v>
      </c>
      <c r="AI85" s="865" t="s">
        <v>478</v>
      </c>
    </row>
    <row r="86" spans="1:35" ht="21.95" customHeight="1">
      <c r="A86" s="870">
        <v>1</v>
      </c>
      <c r="B86" s="54" t="s">
        <v>572</v>
      </c>
      <c r="C86" s="871" t="s">
        <v>555</v>
      </c>
      <c r="D86" s="871" t="s">
        <v>573</v>
      </c>
      <c r="E86" s="871"/>
      <c r="F86" s="871"/>
      <c r="G86" s="871" t="s">
        <v>554</v>
      </c>
      <c r="H86" s="871" t="s">
        <v>554</v>
      </c>
      <c r="I86" s="1014" t="s">
        <v>554</v>
      </c>
      <c r="J86" s="871" t="s">
        <v>553</v>
      </c>
      <c r="K86" s="871" t="s">
        <v>553</v>
      </c>
      <c r="L86" s="871"/>
      <c r="M86" s="871"/>
      <c r="N86" s="976" t="s">
        <v>561</v>
      </c>
      <c r="O86" s="976" t="s">
        <v>561</v>
      </c>
      <c r="P86" s="976" t="s">
        <v>561</v>
      </c>
      <c r="Q86" s="976" t="s">
        <v>561</v>
      </c>
      <c r="R86" s="976" t="s">
        <v>561</v>
      </c>
      <c r="S86" s="976"/>
      <c r="T86" s="976"/>
      <c r="U86" s="976" t="s">
        <v>573</v>
      </c>
      <c r="V86" s="976" t="s">
        <v>573</v>
      </c>
      <c r="W86" s="976" t="s">
        <v>573</v>
      </c>
      <c r="X86" s="976" t="s">
        <v>573</v>
      </c>
      <c r="Y86" s="976" t="s">
        <v>573</v>
      </c>
      <c r="Z86" s="976"/>
      <c r="AA86" s="976"/>
      <c r="AB86" s="871" t="s">
        <v>554</v>
      </c>
      <c r="AC86" s="871" t="s">
        <v>554</v>
      </c>
      <c r="AD86" s="871" t="s">
        <v>554</v>
      </c>
      <c r="AE86" s="871" t="s">
        <v>553</v>
      </c>
      <c r="AF86" s="871" t="s">
        <v>553</v>
      </c>
      <c r="AG86" s="871"/>
      <c r="AH86" s="510">
        <v>30</v>
      </c>
      <c r="AI86" s="511">
        <v>37</v>
      </c>
    </row>
    <row r="87" spans="1:35" ht="21.95" customHeight="1">
      <c r="A87" s="1266">
        <v>2</v>
      </c>
      <c r="B87" s="853" t="s">
        <v>574</v>
      </c>
      <c r="C87" s="848" t="s">
        <v>553</v>
      </c>
      <c r="D87" s="848" t="s">
        <v>553</v>
      </c>
      <c r="E87" s="848"/>
      <c r="F87" s="848"/>
      <c r="G87" s="848" t="s">
        <v>561</v>
      </c>
      <c r="H87" s="848" t="s">
        <v>561</v>
      </c>
      <c r="I87" s="848" t="s">
        <v>561</v>
      </c>
      <c r="J87" s="848" t="s">
        <v>561</v>
      </c>
      <c r="K87" s="848" t="s">
        <v>561</v>
      </c>
      <c r="L87" s="848"/>
      <c r="M87" s="848"/>
      <c r="N87" s="1207" t="s">
        <v>573</v>
      </c>
      <c r="O87" s="848" t="s">
        <v>573</v>
      </c>
      <c r="P87" s="848" t="s">
        <v>573</v>
      </c>
      <c r="Q87" s="848" t="s">
        <v>573</v>
      </c>
      <c r="R87" s="848" t="s">
        <v>573</v>
      </c>
      <c r="S87" s="848"/>
      <c r="T87" s="848"/>
      <c r="U87" s="848" t="s">
        <v>554</v>
      </c>
      <c r="V87" s="848" t="s">
        <v>554</v>
      </c>
      <c r="W87" s="848" t="s">
        <v>554</v>
      </c>
      <c r="X87" s="848" t="s">
        <v>553</v>
      </c>
      <c r="Y87" s="848" t="s">
        <v>553</v>
      </c>
      <c r="Z87" s="848"/>
      <c r="AA87" s="848"/>
      <c r="AB87" s="848" t="s">
        <v>561</v>
      </c>
      <c r="AC87" s="848" t="s">
        <v>561</v>
      </c>
      <c r="AD87" s="848" t="s">
        <v>561</v>
      </c>
      <c r="AE87" s="848" t="s">
        <v>561</v>
      </c>
      <c r="AF87" s="848" t="s">
        <v>561</v>
      </c>
      <c r="AG87" s="848"/>
      <c r="AH87" s="924">
        <v>85</v>
      </c>
      <c r="AI87" s="925">
        <v>37</v>
      </c>
    </row>
    <row r="88" spans="1:35" ht="21.95" customHeight="1" thickBot="1">
      <c r="A88" s="1262">
        <v>3</v>
      </c>
      <c r="B88" s="793" t="s">
        <v>657</v>
      </c>
      <c r="C88" s="852" t="s">
        <v>561</v>
      </c>
      <c r="D88" s="1036" t="s">
        <v>561</v>
      </c>
      <c r="E88" s="852"/>
      <c r="F88" s="852"/>
      <c r="G88" s="1018" t="s">
        <v>573</v>
      </c>
      <c r="H88" s="1018" t="s">
        <v>573</v>
      </c>
      <c r="I88" s="1018" t="s">
        <v>573</v>
      </c>
      <c r="J88" s="1018" t="s">
        <v>573</v>
      </c>
      <c r="K88" s="1018" t="s">
        <v>573</v>
      </c>
      <c r="L88" s="851"/>
      <c r="M88" s="851"/>
      <c r="N88" s="852" t="s">
        <v>554</v>
      </c>
      <c r="O88" s="852" t="s">
        <v>554</v>
      </c>
      <c r="P88" s="1189" t="s">
        <v>554</v>
      </c>
      <c r="Q88" s="1189" t="s">
        <v>553</v>
      </c>
      <c r="R88" s="1189" t="s">
        <v>553</v>
      </c>
      <c r="S88" s="852"/>
      <c r="T88" s="852"/>
      <c r="U88" s="1189" t="s">
        <v>561</v>
      </c>
      <c r="V88" s="1189" t="s">
        <v>561</v>
      </c>
      <c r="W88" s="1004">
        <v>3</v>
      </c>
      <c r="X88" s="1004">
        <v>3</v>
      </c>
      <c r="Y88" s="1004">
        <v>3</v>
      </c>
      <c r="Z88" s="852"/>
      <c r="AA88" s="852"/>
      <c r="AB88" s="1047">
        <v>1</v>
      </c>
      <c r="AC88" s="852" t="s">
        <v>573</v>
      </c>
      <c r="AD88" s="852" t="s">
        <v>573</v>
      </c>
      <c r="AE88" s="852" t="s">
        <v>573</v>
      </c>
      <c r="AF88" s="852" t="s">
        <v>573</v>
      </c>
      <c r="AG88" s="852"/>
      <c r="AH88" s="868">
        <v>128.69999999999999</v>
      </c>
      <c r="AI88" s="869">
        <v>37</v>
      </c>
    </row>
    <row r="89" spans="1:35" ht="21.95" customHeight="1">
      <c r="A89" s="576"/>
      <c r="B89" s="583"/>
      <c r="C89" s="583"/>
      <c r="D89" s="583"/>
      <c r="E89" s="583"/>
      <c r="F89" s="583"/>
      <c r="G89" s="583"/>
      <c r="H89" s="583"/>
      <c r="I89" s="555"/>
      <c r="J89" s="555"/>
      <c r="K89" s="555"/>
      <c r="L89" s="555"/>
      <c r="M89" s="555"/>
      <c r="N89" s="555"/>
      <c r="O89" s="555"/>
      <c r="P89" s="555"/>
      <c r="Q89" s="555"/>
      <c r="R89" s="555"/>
      <c r="S89" s="555"/>
      <c r="T89" s="555"/>
      <c r="U89" s="555"/>
      <c r="V89" s="555"/>
      <c r="W89" s="555"/>
      <c r="X89" s="555"/>
      <c r="Y89" s="555"/>
      <c r="Z89" s="555"/>
      <c r="AA89" s="555"/>
      <c r="AB89" s="555"/>
      <c r="AC89" s="555"/>
      <c r="AD89" s="555"/>
      <c r="AE89" s="555"/>
      <c r="AF89" s="555"/>
      <c r="AH89" s="556"/>
      <c r="AI89" s="556"/>
    </row>
    <row r="90" spans="1:35" ht="21.95" customHeight="1">
      <c r="A90" s="576"/>
      <c r="B90" s="583"/>
      <c r="C90" s="555"/>
      <c r="D90" s="555"/>
      <c r="E90" s="555"/>
      <c r="F90" s="555"/>
      <c r="G90" s="555"/>
      <c r="H90" s="555"/>
      <c r="I90" s="555"/>
      <c r="J90" s="555"/>
      <c r="K90" s="555"/>
      <c r="L90" s="555"/>
      <c r="M90" s="555"/>
      <c r="N90" s="555"/>
      <c r="O90" s="555"/>
      <c r="P90" s="555"/>
      <c r="Q90" s="555"/>
      <c r="R90" s="555"/>
      <c r="S90" s="555"/>
      <c r="T90" s="555"/>
      <c r="U90" s="555"/>
      <c r="V90" s="555"/>
      <c r="W90" s="555"/>
      <c r="X90" s="555"/>
      <c r="Y90" s="555"/>
      <c r="Z90" s="555"/>
      <c r="AA90" s="555"/>
      <c r="AB90" s="555"/>
      <c r="AC90" s="555"/>
      <c r="AD90" s="555"/>
      <c r="AE90" s="555"/>
      <c r="AF90" s="555"/>
      <c r="AG90" s="555"/>
      <c r="AH90" s="556"/>
      <c r="AI90" s="556"/>
    </row>
    <row r="91" spans="1:35" ht="21.95" customHeight="1" thickBot="1">
      <c r="A91" s="1" t="s">
        <v>576</v>
      </c>
      <c r="D91" s="361"/>
      <c r="E91" s="361"/>
      <c r="F91" s="361"/>
      <c r="G91" s="546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5" ht="21.95" customHeight="1">
      <c r="A92" s="1"/>
      <c r="B92" s="23" t="s">
        <v>577</v>
      </c>
      <c r="C92" s="7"/>
      <c r="D92" s="522" t="s">
        <v>2</v>
      </c>
      <c r="E92" s="51"/>
      <c r="F92" s="548"/>
      <c r="G92" s="7"/>
      <c r="H92" s="522" t="s">
        <v>3</v>
      </c>
      <c r="I92" s="51"/>
      <c r="J92" s="548"/>
      <c r="K92" s="7"/>
      <c r="L92" s="522" t="s">
        <v>4</v>
      </c>
      <c r="M92" s="51"/>
      <c r="N92" s="548"/>
      <c r="O92" s="7"/>
      <c r="P92" s="522" t="s">
        <v>5</v>
      </c>
      <c r="Q92" s="51"/>
      <c r="R92" s="548"/>
      <c r="S92" s="7"/>
      <c r="T92" s="522" t="s">
        <v>6</v>
      </c>
      <c r="U92" s="51"/>
      <c r="V92" s="548"/>
      <c r="W92" s="7"/>
      <c r="X92" s="522" t="s">
        <v>7</v>
      </c>
      <c r="Y92" s="51"/>
      <c r="Z92" s="548"/>
      <c r="AA92" s="7"/>
      <c r="AB92" s="522" t="s">
        <v>8</v>
      </c>
      <c r="AC92" s="51"/>
      <c r="AD92" s="51"/>
      <c r="AE92" s="425" t="s">
        <v>10</v>
      </c>
      <c r="AF92" s="51"/>
      <c r="AG92" s="51"/>
      <c r="AH92" s="51"/>
      <c r="AI92" s="523"/>
    </row>
    <row r="93" spans="1:35" ht="21.95" customHeight="1">
      <c r="A93" s="1"/>
      <c r="B93" s="129" t="s">
        <v>324</v>
      </c>
      <c r="C93" s="121" t="s">
        <v>578</v>
      </c>
      <c r="D93" s="157"/>
      <c r="E93" s="157"/>
      <c r="F93" s="564"/>
      <c r="G93" s="121" t="s">
        <v>578</v>
      </c>
      <c r="H93" s="157"/>
      <c r="I93" s="157"/>
      <c r="J93" s="564"/>
      <c r="K93" s="121" t="s">
        <v>578</v>
      </c>
      <c r="L93" s="157"/>
      <c r="M93" s="157"/>
      <c r="N93" s="564"/>
      <c r="O93" s="121" t="s">
        <v>579</v>
      </c>
      <c r="P93" s="157"/>
      <c r="Q93" s="157"/>
      <c r="R93" s="564"/>
      <c r="S93" s="121" t="s">
        <v>167</v>
      </c>
      <c r="T93" s="157"/>
      <c r="U93" s="157"/>
      <c r="V93" s="564"/>
      <c r="W93" s="795"/>
      <c r="X93" s="577"/>
      <c r="Y93" s="577"/>
      <c r="Z93" s="578"/>
      <c r="AA93" s="563"/>
      <c r="AB93" s="157"/>
      <c r="AC93" s="157"/>
      <c r="AD93" s="565"/>
      <c r="AE93" s="128">
        <v>27</v>
      </c>
      <c r="AF93" s="157"/>
      <c r="AG93" s="157" t="s">
        <v>28</v>
      </c>
      <c r="AH93" s="565"/>
      <c r="AI93" s="490"/>
    </row>
    <row r="94" spans="1:35" ht="21.95" customHeight="1">
      <c r="A94" s="1"/>
      <c r="B94" s="129" t="s">
        <v>325</v>
      </c>
      <c r="C94" s="121" t="s">
        <v>580</v>
      </c>
      <c r="D94" s="157"/>
      <c r="E94" s="157"/>
      <c r="F94" s="564"/>
      <c r="G94" s="121" t="s">
        <v>580</v>
      </c>
      <c r="H94" s="157"/>
      <c r="I94" s="157"/>
      <c r="J94" s="564"/>
      <c r="K94" s="121" t="s">
        <v>580</v>
      </c>
      <c r="L94" s="157"/>
      <c r="M94" s="157"/>
      <c r="N94" s="564"/>
      <c r="O94" s="121" t="s">
        <v>580</v>
      </c>
      <c r="P94" s="157"/>
      <c r="Q94" s="157"/>
      <c r="R94" s="564"/>
      <c r="S94" s="121" t="s">
        <v>578</v>
      </c>
      <c r="T94" s="157"/>
      <c r="U94" s="157"/>
      <c r="V94" s="564"/>
      <c r="W94" s="121"/>
      <c r="X94" s="157"/>
      <c r="Y94" s="157"/>
      <c r="Z94" s="564"/>
      <c r="AA94" s="157"/>
      <c r="AB94" s="157"/>
      <c r="AC94" s="157"/>
      <c r="AD94" s="565"/>
      <c r="AE94" s="128">
        <v>39</v>
      </c>
      <c r="AF94" s="157"/>
      <c r="AG94" s="157"/>
      <c r="AH94" s="565"/>
      <c r="AI94" s="490"/>
    </row>
    <row r="95" spans="1:35" ht="21.95" customHeight="1">
      <c r="A95" s="1"/>
      <c r="B95" s="129" t="s">
        <v>326</v>
      </c>
      <c r="C95" s="121" t="s">
        <v>580</v>
      </c>
      <c r="D95" s="157"/>
      <c r="E95" s="157"/>
      <c r="F95" s="564"/>
      <c r="G95" s="121" t="s">
        <v>580</v>
      </c>
      <c r="H95" s="157"/>
      <c r="I95" s="157"/>
      <c r="J95" s="564"/>
      <c r="K95" s="121" t="s">
        <v>580</v>
      </c>
      <c r="L95" s="157"/>
      <c r="M95" s="157"/>
      <c r="N95" s="564"/>
      <c r="O95" s="121" t="s">
        <v>580</v>
      </c>
      <c r="P95" s="157"/>
      <c r="Q95" s="157"/>
      <c r="R95" s="564"/>
      <c r="S95" s="121" t="s">
        <v>580</v>
      </c>
      <c r="T95" s="157"/>
      <c r="U95" s="157"/>
      <c r="V95" s="564"/>
      <c r="W95" s="584" t="s">
        <v>581</v>
      </c>
      <c r="X95" s="135"/>
      <c r="Y95" s="135"/>
      <c r="Z95" s="580"/>
      <c r="AA95" s="579"/>
      <c r="AB95" s="135"/>
      <c r="AC95" s="135"/>
      <c r="AD95" s="581"/>
      <c r="AE95" s="128">
        <v>45</v>
      </c>
      <c r="AF95" s="157"/>
      <c r="AG95" s="157"/>
      <c r="AH95" s="565"/>
      <c r="AI95" s="490"/>
    </row>
    <row r="96" spans="1:35" ht="21.95" customHeight="1" thickBot="1">
      <c r="A96" s="1"/>
      <c r="B96" s="16" t="s">
        <v>236</v>
      </c>
      <c r="C96" s="57"/>
      <c r="D96" s="53"/>
      <c r="E96" s="53"/>
      <c r="F96" s="571"/>
      <c r="G96" s="57"/>
      <c r="H96" s="53"/>
      <c r="I96" s="53"/>
      <c r="J96" s="571"/>
      <c r="K96" s="57"/>
      <c r="L96" s="53"/>
      <c r="M96" s="53"/>
      <c r="N96" s="571"/>
      <c r="O96" s="57"/>
      <c r="P96" s="53"/>
      <c r="Q96" s="53"/>
      <c r="R96" s="571"/>
      <c r="S96" s="57"/>
      <c r="T96" s="53"/>
      <c r="U96" s="53"/>
      <c r="V96" s="573"/>
      <c r="W96" s="57"/>
      <c r="X96" s="573"/>
      <c r="Y96" s="53"/>
      <c r="Z96" s="571"/>
      <c r="AA96" s="57"/>
      <c r="AB96" s="573"/>
      <c r="AC96" s="53"/>
      <c r="AD96" s="571"/>
      <c r="AE96" s="582"/>
      <c r="AF96" s="53"/>
      <c r="AG96" s="53"/>
      <c r="AH96" s="573"/>
      <c r="AI96" s="536"/>
    </row>
    <row r="97" spans="1:35" ht="21.95" customHeight="1" thickBot="1">
      <c r="A97" s="574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 thickBot="1">
      <c r="A98" s="861"/>
      <c r="B98" s="862" t="s">
        <v>476</v>
      </c>
      <c r="C98" s="880">
        <v>1</v>
      </c>
      <c r="D98" s="863">
        <v>2</v>
      </c>
      <c r="E98" s="880">
        <v>3</v>
      </c>
      <c r="F98" s="880">
        <v>4</v>
      </c>
      <c r="G98" s="863">
        <v>5</v>
      </c>
      <c r="H98" s="863">
        <v>6</v>
      </c>
      <c r="I98" s="863">
        <v>7</v>
      </c>
      <c r="J98" s="863">
        <v>8</v>
      </c>
      <c r="K98" s="863">
        <v>9</v>
      </c>
      <c r="L98" s="880">
        <v>10</v>
      </c>
      <c r="M98" s="880">
        <v>11</v>
      </c>
      <c r="N98" s="863">
        <v>12</v>
      </c>
      <c r="O98" s="863">
        <v>13</v>
      </c>
      <c r="P98" s="863">
        <v>14</v>
      </c>
      <c r="Q98" s="863">
        <v>15</v>
      </c>
      <c r="R98" s="863">
        <v>16</v>
      </c>
      <c r="S98" s="880">
        <v>17</v>
      </c>
      <c r="T98" s="880">
        <v>18</v>
      </c>
      <c r="U98" s="863">
        <v>19</v>
      </c>
      <c r="V98" s="863">
        <v>20</v>
      </c>
      <c r="W98" s="863">
        <v>21</v>
      </c>
      <c r="X98" s="863">
        <v>22</v>
      </c>
      <c r="Y98" s="863">
        <v>23</v>
      </c>
      <c r="Z98" s="880">
        <v>24</v>
      </c>
      <c r="AA98" s="880">
        <v>25</v>
      </c>
      <c r="AB98" s="863">
        <v>26</v>
      </c>
      <c r="AC98" s="863">
        <v>27</v>
      </c>
      <c r="AD98" s="863">
        <v>28</v>
      </c>
      <c r="AE98" s="863">
        <v>29</v>
      </c>
      <c r="AF98" s="863">
        <v>30</v>
      </c>
      <c r="AG98" s="949">
        <v>31</v>
      </c>
      <c r="AH98" s="864" t="s">
        <v>477</v>
      </c>
      <c r="AI98" s="865" t="s">
        <v>478</v>
      </c>
    </row>
    <row r="99" spans="1:35" ht="21.95" customHeight="1">
      <c r="A99" s="870">
        <v>1</v>
      </c>
      <c r="B99" s="879" t="s">
        <v>582</v>
      </c>
      <c r="C99" s="1000" t="s">
        <v>585</v>
      </c>
      <c r="D99" s="1000" t="s">
        <v>585</v>
      </c>
      <c r="E99" s="1000"/>
      <c r="F99" s="1000"/>
      <c r="G99" s="1000" t="s">
        <v>583</v>
      </c>
      <c r="H99" s="1000" t="s">
        <v>583</v>
      </c>
      <c r="I99" s="1000" t="s">
        <v>583</v>
      </c>
      <c r="J99" s="1000" t="s">
        <v>583</v>
      </c>
      <c r="K99" s="1000" t="s">
        <v>583</v>
      </c>
      <c r="L99" s="1000" t="s">
        <v>583</v>
      </c>
      <c r="M99" s="764"/>
      <c r="N99" s="1000" t="s">
        <v>584</v>
      </c>
      <c r="O99" s="1000" t="s">
        <v>584</v>
      </c>
      <c r="P99" s="1000" t="s">
        <v>584</v>
      </c>
      <c r="Q99" s="1000" t="s">
        <v>584</v>
      </c>
      <c r="R99" s="1000" t="s">
        <v>481</v>
      </c>
      <c r="S99" s="764"/>
      <c r="T99" s="764"/>
      <c r="U99" s="1000" t="s">
        <v>585</v>
      </c>
      <c r="V99" s="1000" t="s">
        <v>585</v>
      </c>
      <c r="W99" s="1000" t="s">
        <v>585</v>
      </c>
      <c r="X99" s="1000" t="s">
        <v>585</v>
      </c>
      <c r="Y99" s="1000" t="s">
        <v>585</v>
      </c>
      <c r="Z99" s="764"/>
      <c r="AA99" s="764"/>
      <c r="AB99" s="1000" t="s">
        <v>583</v>
      </c>
      <c r="AC99" s="1000" t="s">
        <v>583</v>
      </c>
      <c r="AD99" s="1000" t="s">
        <v>583</v>
      </c>
      <c r="AE99" s="1000" t="s">
        <v>583</v>
      </c>
      <c r="AF99" s="1000" t="s">
        <v>583</v>
      </c>
      <c r="AG99" s="1000" t="s">
        <v>583</v>
      </c>
      <c r="AH99" s="510">
        <v>95</v>
      </c>
      <c r="AI99" s="511">
        <v>37</v>
      </c>
    </row>
    <row r="100" spans="1:35" ht="21.95" customHeight="1">
      <c r="A100" s="575">
        <v>2</v>
      </c>
      <c r="B100" s="857" t="s">
        <v>587</v>
      </c>
      <c r="C100" s="768" t="s">
        <v>583</v>
      </c>
      <c r="D100" s="768" t="s">
        <v>583</v>
      </c>
      <c r="E100" s="768" t="s">
        <v>583</v>
      </c>
      <c r="F100" s="768"/>
      <c r="G100" s="768" t="s">
        <v>584</v>
      </c>
      <c r="H100" s="768" t="s">
        <v>584</v>
      </c>
      <c r="I100" s="768" t="s">
        <v>584</v>
      </c>
      <c r="J100" s="768" t="s">
        <v>584</v>
      </c>
      <c r="K100" s="768" t="s">
        <v>481</v>
      </c>
      <c r="L100" s="768"/>
      <c r="M100" s="768"/>
      <c r="N100" s="768" t="s">
        <v>585</v>
      </c>
      <c r="O100" s="768" t="s">
        <v>585</v>
      </c>
      <c r="P100" s="768" t="s">
        <v>585</v>
      </c>
      <c r="Q100" s="768" t="s">
        <v>585</v>
      </c>
      <c r="R100" s="768" t="s">
        <v>585</v>
      </c>
      <c r="S100" s="768"/>
      <c r="T100" s="768"/>
      <c r="U100" s="768" t="s">
        <v>583</v>
      </c>
      <c r="V100" s="768" t="s">
        <v>583</v>
      </c>
      <c r="W100" s="768" t="s">
        <v>583</v>
      </c>
      <c r="X100" s="768" t="s">
        <v>583</v>
      </c>
      <c r="Y100" s="768" t="s">
        <v>583</v>
      </c>
      <c r="Z100" s="768" t="s">
        <v>583</v>
      </c>
      <c r="AA100" s="768"/>
      <c r="AB100" s="768" t="s">
        <v>584</v>
      </c>
      <c r="AC100" s="768" t="s">
        <v>584</v>
      </c>
      <c r="AD100" s="768" t="s">
        <v>584</v>
      </c>
      <c r="AE100" s="768" t="s">
        <v>584</v>
      </c>
      <c r="AF100" s="768" t="s">
        <v>481</v>
      </c>
      <c r="AG100" s="768"/>
      <c r="AH100" s="924">
        <v>64</v>
      </c>
      <c r="AI100" s="925">
        <v>37</v>
      </c>
    </row>
    <row r="101" spans="1:35" ht="21.95" customHeight="1">
      <c r="A101" s="575">
        <v>3</v>
      </c>
      <c r="B101" s="857" t="s">
        <v>289</v>
      </c>
      <c r="C101" s="768" t="s">
        <v>584</v>
      </c>
      <c r="D101" s="768" t="s">
        <v>481</v>
      </c>
      <c r="E101" s="768"/>
      <c r="F101" s="768"/>
      <c r="G101" s="970" t="s">
        <v>585</v>
      </c>
      <c r="H101" s="970" t="s">
        <v>585</v>
      </c>
      <c r="I101" s="970" t="s">
        <v>585</v>
      </c>
      <c r="J101" s="970" t="s">
        <v>585</v>
      </c>
      <c r="K101" s="970" t="s">
        <v>585</v>
      </c>
      <c r="L101" s="768"/>
      <c r="M101" s="768"/>
      <c r="N101" s="768" t="s">
        <v>583</v>
      </c>
      <c r="O101" s="768" t="s">
        <v>583</v>
      </c>
      <c r="P101" s="768" t="s">
        <v>583</v>
      </c>
      <c r="Q101" s="768" t="s">
        <v>583</v>
      </c>
      <c r="R101" s="768" t="s">
        <v>583</v>
      </c>
      <c r="S101" s="768" t="s">
        <v>583</v>
      </c>
      <c r="T101" s="768"/>
      <c r="U101" s="768" t="s">
        <v>584</v>
      </c>
      <c r="V101" s="768" t="s">
        <v>584</v>
      </c>
      <c r="W101" s="768" t="s">
        <v>584</v>
      </c>
      <c r="X101" s="768" t="s">
        <v>584</v>
      </c>
      <c r="Y101" s="768" t="s">
        <v>481</v>
      </c>
      <c r="Z101" s="768"/>
      <c r="AA101" s="768"/>
      <c r="AB101" s="1038" t="s">
        <v>585</v>
      </c>
      <c r="AC101" s="1038" t="s">
        <v>585</v>
      </c>
      <c r="AD101" s="1038" t="s">
        <v>585</v>
      </c>
      <c r="AE101" s="1038" t="s">
        <v>585</v>
      </c>
      <c r="AF101" s="1038" t="s">
        <v>585</v>
      </c>
      <c r="AG101" s="768"/>
      <c r="AH101" s="924">
        <v>51</v>
      </c>
      <c r="AI101" s="925">
        <v>37</v>
      </c>
    </row>
    <row r="102" spans="1:35" ht="21.95" customHeight="1">
      <c r="A102" s="575">
        <v>4</v>
      </c>
      <c r="B102" s="857"/>
      <c r="C102" s="768"/>
      <c r="D102" s="762"/>
      <c r="E102" s="768"/>
      <c r="F102" s="768"/>
      <c r="G102" s="768"/>
      <c r="H102" s="768"/>
      <c r="I102" s="768"/>
      <c r="J102" s="762"/>
      <c r="K102" s="762"/>
      <c r="L102" s="768"/>
      <c r="M102" s="768"/>
      <c r="N102" s="768"/>
      <c r="O102" s="768"/>
      <c r="P102" s="768"/>
      <c r="Q102" s="762"/>
      <c r="R102" s="762"/>
      <c r="S102" s="762"/>
      <c r="T102" s="762"/>
      <c r="U102" s="762"/>
      <c r="V102" s="762"/>
      <c r="W102" s="762"/>
      <c r="X102" s="768"/>
      <c r="Y102" s="762"/>
      <c r="Z102" s="768"/>
      <c r="AA102" s="768"/>
      <c r="AB102" s="768"/>
      <c r="AC102" s="768"/>
      <c r="AD102" s="768"/>
      <c r="AE102" s="768"/>
      <c r="AF102" s="762"/>
      <c r="AG102" s="768"/>
      <c r="AH102" s="924">
        <v>185</v>
      </c>
      <c r="AI102" s="925">
        <v>37</v>
      </c>
    </row>
    <row r="103" spans="1:35" ht="21.95" customHeight="1">
      <c r="A103" s="576"/>
      <c r="B103" s="583"/>
      <c r="C103" s="555"/>
      <c r="D103" s="538"/>
      <c r="E103" s="538"/>
      <c r="F103" s="538"/>
      <c r="G103" s="538"/>
      <c r="H103" s="538"/>
      <c r="I103" s="555"/>
      <c r="J103" s="555"/>
      <c r="K103" s="538"/>
      <c r="L103" s="538"/>
      <c r="M103" s="538"/>
      <c r="N103" s="538"/>
      <c r="O103" s="538"/>
      <c r="P103" s="538"/>
      <c r="Q103" s="555"/>
      <c r="R103" s="538"/>
      <c r="S103" s="817"/>
      <c r="T103" s="817"/>
      <c r="U103" s="817"/>
      <c r="V103" s="817"/>
      <c r="W103" s="555"/>
      <c r="X103" s="555"/>
      <c r="Y103" s="538"/>
      <c r="Z103" s="538"/>
      <c r="AA103" s="538"/>
      <c r="AB103" s="538"/>
      <c r="AC103" s="538"/>
      <c r="AD103" s="538"/>
      <c r="AE103" s="555"/>
      <c r="AF103" s="538"/>
      <c r="AG103" s="538"/>
      <c r="AH103" s="556"/>
      <c r="AI103" s="556"/>
    </row>
    <row r="104" spans="1:35" ht="21.95" customHeight="1" thickBot="1">
      <c r="A104" s="805" t="s">
        <v>588</v>
      </c>
      <c r="B104" s="538"/>
      <c r="C104" s="555"/>
      <c r="D104" s="538"/>
      <c r="E104" s="538"/>
      <c r="F104" s="538"/>
      <c r="G104" s="538"/>
      <c r="H104" s="538"/>
      <c r="I104" s="555"/>
      <c r="J104" s="555"/>
      <c r="K104" s="538"/>
      <c r="L104" s="538"/>
      <c r="M104" s="538"/>
      <c r="N104" s="538"/>
      <c r="O104" s="538"/>
      <c r="P104" s="538"/>
      <c r="Q104" s="555"/>
      <c r="R104" s="538"/>
      <c r="S104" s="538"/>
      <c r="T104" s="538"/>
      <c r="U104" s="538"/>
      <c r="V104" s="538"/>
      <c r="W104" s="555"/>
      <c r="X104" s="555"/>
      <c r="Y104" s="538"/>
      <c r="Z104" s="538"/>
      <c r="AA104" s="538"/>
      <c r="AB104" s="538"/>
      <c r="AC104" s="538"/>
      <c r="AD104" s="538"/>
      <c r="AE104" s="555"/>
      <c r="AF104" s="538"/>
      <c r="AG104" s="538"/>
      <c r="AH104" s="556"/>
      <c r="AI104" s="556"/>
    </row>
    <row r="105" spans="1:35" ht="21.95" customHeight="1">
      <c r="A105" s="576"/>
      <c r="B105" s="806" t="s">
        <v>589</v>
      </c>
      <c r="C105" s="814"/>
      <c r="D105" s="807" t="s">
        <v>2</v>
      </c>
      <c r="E105" s="808"/>
      <c r="F105" s="809"/>
      <c r="G105" s="810"/>
      <c r="H105" s="807" t="s">
        <v>3</v>
      </c>
      <c r="I105" s="808"/>
      <c r="J105" s="809"/>
      <c r="K105" s="810"/>
      <c r="L105" s="807" t="s">
        <v>4</v>
      </c>
      <c r="M105" s="808"/>
      <c r="N105" s="809"/>
      <c r="O105" s="810"/>
      <c r="P105" s="807" t="s">
        <v>5</v>
      </c>
      <c r="Q105" s="808"/>
      <c r="R105" s="809"/>
      <c r="S105" s="810"/>
      <c r="T105" s="807" t="s">
        <v>6</v>
      </c>
      <c r="U105" s="808"/>
      <c r="V105" s="809"/>
      <c r="W105" s="810"/>
      <c r="X105" s="807" t="s">
        <v>7</v>
      </c>
      <c r="Y105" s="808"/>
      <c r="Z105" s="809"/>
      <c r="AA105" s="810"/>
      <c r="AB105" s="807" t="s">
        <v>8</v>
      </c>
      <c r="AC105" s="808"/>
      <c r="AD105" s="808"/>
      <c r="AE105" s="811" t="s">
        <v>10</v>
      </c>
      <c r="AF105" s="808"/>
      <c r="AG105" s="808"/>
      <c r="AH105" s="808"/>
      <c r="AI105" s="812"/>
    </row>
    <row r="106" spans="1:35" ht="21.95" customHeight="1">
      <c r="A106" s="576"/>
      <c r="B106" s="832" t="s">
        <v>590</v>
      </c>
      <c r="C106" s="815" t="s">
        <v>591</v>
      </c>
      <c r="D106" s="831" t="s">
        <v>592</v>
      </c>
      <c r="E106" s="816"/>
      <c r="F106" s="813"/>
      <c r="G106" s="815"/>
      <c r="H106" s="831" t="s">
        <v>592</v>
      </c>
      <c r="I106" s="816"/>
      <c r="J106" s="813"/>
      <c r="K106" s="815"/>
      <c r="L106" s="831" t="s">
        <v>592</v>
      </c>
      <c r="M106" s="816"/>
      <c r="N106" s="813"/>
      <c r="O106" s="815"/>
      <c r="P106" s="831" t="s">
        <v>593</v>
      </c>
      <c r="Q106" s="816"/>
      <c r="R106" s="813"/>
      <c r="S106" s="815"/>
      <c r="T106" s="831" t="s">
        <v>594</v>
      </c>
      <c r="U106" s="816"/>
      <c r="V106" s="813"/>
      <c r="W106" s="815"/>
      <c r="X106" s="816"/>
      <c r="Y106" s="816"/>
      <c r="Z106" s="813"/>
      <c r="AA106" s="815"/>
      <c r="AB106" s="816"/>
      <c r="AC106" s="816"/>
      <c r="AD106" s="816"/>
      <c r="AE106" s="815"/>
      <c r="AF106" s="816"/>
      <c r="AG106" s="816"/>
      <c r="AH106" s="818"/>
      <c r="AI106" s="819"/>
    </row>
    <row r="107" spans="1:35" ht="21.95" customHeight="1">
      <c r="A107" s="576"/>
      <c r="B107" s="833" t="s">
        <v>595</v>
      </c>
      <c r="C107" s="815" t="s">
        <v>596</v>
      </c>
      <c r="D107" s="831" t="s">
        <v>592</v>
      </c>
      <c r="E107" s="816"/>
      <c r="F107" s="813"/>
      <c r="G107" s="815"/>
      <c r="H107" s="831" t="s">
        <v>592</v>
      </c>
      <c r="I107" s="816"/>
      <c r="J107" s="813"/>
      <c r="K107" s="815"/>
      <c r="L107" s="831" t="s">
        <v>592</v>
      </c>
      <c r="M107" s="816"/>
      <c r="N107" s="813"/>
      <c r="O107" s="815"/>
      <c r="P107" s="831" t="s">
        <v>593</v>
      </c>
      <c r="Q107" s="816"/>
      <c r="R107" s="813"/>
      <c r="S107" s="815"/>
      <c r="T107" s="831" t="s">
        <v>594</v>
      </c>
      <c r="U107" s="816"/>
      <c r="V107" s="813"/>
      <c r="W107" s="815"/>
      <c r="X107" s="816"/>
      <c r="Y107" s="816"/>
      <c r="Z107" s="813"/>
      <c r="AA107" s="815"/>
      <c r="AB107" s="816"/>
      <c r="AC107" s="816"/>
      <c r="AD107" s="816"/>
      <c r="AE107" s="815"/>
      <c r="AF107" s="816"/>
      <c r="AG107" s="816"/>
      <c r="AH107" s="818"/>
      <c r="AI107" s="819"/>
    </row>
    <row r="108" spans="1:35" ht="21.95" customHeight="1">
      <c r="A108" s="576"/>
      <c r="B108" s="833" t="s">
        <v>597</v>
      </c>
      <c r="C108" s="815" t="s">
        <v>598</v>
      </c>
      <c r="D108" s="831" t="s">
        <v>592</v>
      </c>
      <c r="E108" s="816"/>
      <c r="F108" s="813"/>
      <c r="G108" s="815"/>
      <c r="H108" s="831" t="s">
        <v>592</v>
      </c>
      <c r="I108" s="816"/>
      <c r="J108" s="813"/>
      <c r="K108" s="815"/>
      <c r="L108" s="831" t="s">
        <v>592</v>
      </c>
      <c r="M108" s="816"/>
      <c r="N108" s="813"/>
      <c r="O108" s="815"/>
      <c r="P108" s="831" t="s">
        <v>593</v>
      </c>
      <c r="Q108" s="816"/>
      <c r="R108" s="813"/>
      <c r="S108" s="815"/>
      <c r="T108" s="831" t="s">
        <v>594</v>
      </c>
      <c r="U108" s="816"/>
      <c r="V108" s="813"/>
      <c r="W108" s="815"/>
      <c r="X108" s="816"/>
      <c r="Y108" s="816"/>
      <c r="Z108" s="813"/>
      <c r="AA108" s="815"/>
      <c r="AB108" s="816"/>
      <c r="AC108" s="816"/>
      <c r="AD108" s="816"/>
      <c r="AE108" s="815"/>
      <c r="AF108" s="816"/>
      <c r="AG108" s="816"/>
      <c r="AH108" s="818"/>
      <c r="AI108" s="819"/>
    </row>
    <row r="109" spans="1:35" ht="21.95" customHeight="1">
      <c r="A109" s="576"/>
      <c r="B109" s="833" t="s">
        <v>599</v>
      </c>
      <c r="C109" s="815" t="s">
        <v>600</v>
      </c>
      <c r="D109" s="831" t="s">
        <v>592</v>
      </c>
      <c r="E109" s="816"/>
      <c r="F109" s="813"/>
      <c r="G109" s="815"/>
      <c r="H109" s="831" t="s">
        <v>592</v>
      </c>
      <c r="I109" s="816"/>
      <c r="J109" s="813"/>
      <c r="K109" s="815"/>
      <c r="L109" s="831" t="s">
        <v>592</v>
      </c>
      <c r="M109" s="816"/>
      <c r="N109" s="813"/>
      <c r="O109" s="815"/>
      <c r="P109" s="831" t="s">
        <v>593</v>
      </c>
      <c r="Q109" s="816"/>
      <c r="R109" s="813"/>
      <c r="S109" s="815"/>
      <c r="T109" s="831" t="s">
        <v>594</v>
      </c>
      <c r="U109" s="816"/>
      <c r="V109" s="813"/>
      <c r="W109" s="815"/>
      <c r="X109" s="816"/>
      <c r="Y109" s="816"/>
      <c r="Z109" s="813"/>
      <c r="AA109" s="815"/>
      <c r="AB109" s="816"/>
      <c r="AC109" s="816"/>
      <c r="AD109" s="816"/>
      <c r="AE109" s="815"/>
      <c r="AF109" s="816"/>
      <c r="AG109" s="816"/>
      <c r="AH109" s="818"/>
      <c r="AI109" s="819"/>
    </row>
    <row r="110" spans="1:35" ht="21.95" customHeight="1">
      <c r="A110" s="576"/>
      <c r="B110" s="833" t="s">
        <v>601</v>
      </c>
      <c r="C110" s="815" t="s">
        <v>602</v>
      </c>
      <c r="D110" s="831" t="s">
        <v>592</v>
      </c>
      <c r="E110" s="816"/>
      <c r="F110" s="813"/>
      <c r="G110" s="815"/>
      <c r="H110" s="831" t="s">
        <v>592</v>
      </c>
      <c r="I110" s="816"/>
      <c r="J110" s="813"/>
      <c r="K110" s="815"/>
      <c r="L110" s="831" t="s">
        <v>592</v>
      </c>
      <c r="M110" s="816"/>
      <c r="N110" s="813"/>
      <c r="O110" s="815"/>
      <c r="P110" s="831" t="s">
        <v>593</v>
      </c>
      <c r="Q110" s="816"/>
      <c r="R110" s="813"/>
      <c r="S110" s="815"/>
      <c r="T110" s="831" t="s">
        <v>594</v>
      </c>
      <c r="U110" s="816"/>
      <c r="V110" s="813"/>
      <c r="W110" s="815"/>
      <c r="X110" s="816"/>
      <c r="Y110" s="816"/>
      <c r="Z110" s="813"/>
      <c r="AA110" s="815"/>
      <c r="AB110" s="816"/>
      <c r="AC110" s="816"/>
      <c r="AD110" s="816"/>
      <c r="AE110" s="815"/>
      <c r="AF110" s="816"/>
      <c r="AG110" s="816"/>
      <c r="AH110" s="818"/>
      <c r="AI110" s="819"/>
    </row>
    <row r="111" spans="1:35" ht="21.95" customHeight="1">
      <c r="A111" s="576"/>
      <c r="B111" s="833" t="s">
        <v>603</v>
      </c>
      <c r="C111" s="815" t="s">
        <v>604</v>
      </c>
      <c r="D111" s="831" t="s">
        <v>592</v>
      </c>
      <c r="E111" s="816"/>
      <c r="F111" s="813"/>
      <c r="G111" s="815"/>
      <c r="H111" s="831" t="s">
        <v>592</v>
      </c>
      <c r="I111" s="816"/>
      <c r="J111" s="813"/>
      <c r="K111" s="815"/>
      <c r="L111" s="831" t="s">
        <v>592</v>
      </c>
      <c r="M111" s="816"/>
      <c r="N111" s="813"/>
      <c r="O111" s="815"/>
      <c r="P111" s="831" t="s">
        <v>593</v>
      </c>
      <c r="Q111" s="816"/>
      <c r="R111" s="813"/>
      <c r="S111" s="815"/>
      <c r="T111" s="831" t="s">
        <v>594</v>
      </c>
      <c r="U111" s="816"/>
      <c r="V111" s="813"/>
      <c r="W111" s="815"/>
      <c r="X111" s="816"/>
      <c r="Y111" s="816"/>
      <c r="Z111" s="813"/>
      <c r="AA111" s="815"/>
      <c r="AB111" s="816"/>
      <c r="AC111" s="816"/>
      <c r="AD111" s="816"/>
      <c r="AE111" s="815"/>
      <c r="AF111" s="816"/>
      <c r="AG111" s="816"/>
      <c r="AH111" s="818"/>
      <c r="AI111" s="819"/>
    </row>
    <row r="112" spans="1:35" ht="21.95" customHeight="1">
      <c r="A112" s="576"/>
      <c r="B112" s="833" t="s">
        <v>605</v>
      </c>
      <c r="C112" s="815" t="s">
        <v>606</v>
      </c>
      <c r="D112" s="831" t="s">
        <v>592</v>
      </c>
      <c r="E112" s="816"/>
      <c r="F112" s="813"/>
      <c r="G112" s="815"/>
      <c r="H112" s="831" t="s">
        <v>592</v>
      </c>
      <c r="I112" s="816"/>
      <c r="J112" s="813"/>
      <c r="K112" s="815"/>
      <c r="L112" s="831" t="s">
        <v>592</v>
      </c>
      <c r="M112" s="816"/>
      <c r="N112" s="813"/>
      <c r="O112" s="815"/>
      <c r="P112" s="831" t="s">
        <v>593</v>
      </c>
      <c r="Q112" s="816"/>
      <c r="R112" s="813"/>
      <c r="S112" s="815"/>
      <c r="T112" s="831" t="s">
        <v>594</v>
      </c>
      <c r="U112" s="816"/>
      <c r="V112" s="813"/>
      <c r="W112" s="815"/>
      <c r="X112" s="816"/>
      <c r="Y112" s="816"/>
      <c r="Z112" s="813"/>
      <c r="AA112" s="815"/>
      <c r="AB112" s="816"/>
      <c r="AC112" s="816"/>
      <c r="AD112" s="816"/>
      <c r="AE112" s="815"/>
      <c r="AF112" s="816"/>
      <c r="AG112" s="816"/>
      <c r="AH112" s="818"/>
      <c r="AI112" s="819"/>
    </row>
    <row r="113" spans="1:35" ht="21.95" customHeight="1">
      <c r="A113" s="576"/>
      <c r="B113" s="833" t="s">
        <v>605</v>
      </c>
      <c r="C113" s="815" t="s">
        <v>607</v>
      </c>
      <c r="D113" s="831" t="s">
        <v>592</v>
      </c>
      <c r="E113" s="816"/>
      <c r="F113" s="813"/>
      <c r="G113" s="815"/>
      <c r="H113" s="831" t="s">
        <v>592</v>
      </c>
      <c r="I113" s="816"/>
      <c r="J113" s="813"/>
      <c r="K113" s="815"/>
      <c r="L113" s="831" t="s">
        <v>592</v>
      </c>
      <c r="M113" s="816"/>
      <c r="N113" s="813"/>
      <c r="O113" s="815"/>
      <c r="P113" s="831" t="s">
        <v>593</v>
      </c>
      <c r="Q113" s="816"/>
      <c r="R113" s="813"/>
      <c r="S113" s="815"/>
      <c r="T113" s="831" t="s">
        <v>594</v>
      </c>
      <c r="U113" s="816"/>
      <c r="V113" s="813"/>
      <c r="W113" s="815"/>
      <c r="X113" s="816"/>
      <c r="Y113" s="816"/>
      <c r="Z113" s="813"/>
      <c r="AA113" s="815"/>
      <c r="AB113" s="816"/>
      <c r="AC113" s="816"/>
      <c r="AD113" s="816"/>
      <c r="AE113" s="815"/>
      <c r="AF113" s="816"/>
      <c r="AG113" s="816"/>
      <c r="AH113" s="818"/>
      <c r="AI113" s="819"/>
    </row>
    <row r="114" spans="1:35" ht="21.95" customHeight="1">
      <c r="A114" s="576"/>
      <c r="B114" s="833" t="s">
        <v>608</v>
      </c>
      <c r="C114" s="815" t="s">
        <v>609</v>
      </c>
      <c r="D114" s="831" t="s">
        <v>592</v>
      </c>
      <c r="E114" s="816"/>
      <c r="F114" s="813"/>
      <c r="G114" s="815"/>
      <c r="H114" s="831" t="s">
        <v>592</v>
      </c>
      <c r="I114" s="816"/>
      <c r="J114" s="813"/>
      <c r="K114" s="815"/>
      <c r="L114" s="831" t="s">
        <v>592</v>
      </c>
      <c r="M114" s="816"/>
      <c r="N114" s="813"/>
      <c r="O114" s="815"/>
      <c r="P114" s="831" t="s">
        <v>593</v>
      </c>
      <c r="Q114" s="816"/>
      <c r="R114" s="813"/>
      <c r="S114" s="815"/>
      <c r="T114" s="831" t="s">
        <v>594</v>
      </c>
      <c r="U114" s="816"/>
      <c r="V114" s="813"/>
      <c r="W114" s="815"/>
      <c r="X114" s="816"/>
      <c r="Y114" s="816"/>
      <c r="Z114" s="813"/>
      <c r="AA114" s="815"/>
      <c r="AB114" s="816"/>
      <c r="AC114" s="816"/>
      <c r="AD114" s="816"/>
      <c r="AE114" s="815"/>
      <c r="AF114" s="816"/>
      <c r="AG114" s="816"/>
      <c r="AH114" s="818"/>
      <c r="AI114" s="819"/>
    </row>
    <row r="115" spans="1:35" ht="21.95" customHeight="1">
      <c r="A115" s="576"/>
      <c r="B115" s="833" t="s">
        <v>610</v>
      </c>
      <c r="C115" s="815" t="s">
        <v>611</v>
      </c>
      <c r="D115" s="831" t="s">
        <v>592</v>
      </c>
      <c r="E115" s="816"/>
      <c r="F115" s="813"/>
      <c r="G115" s="815"/>
      <c r="H115" s="831" t="s">
        <v>592</v>
      </c>
      <c r="I115" s="816"/>
      <c r="J115" s="813"/>
      <c r="K115" s="815"/>
      <c r="L115" s="831" t="s">
        <v>592</v>
      </c>
      <c r="M115" s="816"/>
      <c r="N115" s="813"/>
      <c r="O115" s="815"/>
      <c r="P115" s="831" t="s">
        <v>593</v>
      </c>
      <c r="Q115" s="816"/>
      <c r="R115" s="813"/>
      <c r="S115" s="815"/>
      <c r="T115" s="831" t="s">
        <v>594</v>
      </c>
      <c r="U115" s="816"/>
      <c r="V115" s="813"/>
      <c r="W115" s="815"/>
      <c r="X115" s="816"/>
      <c r="Y115" s="816"/>
      <c r="Z115" s="813"/>
      <c r="AA115" s="815"/>
      <c r="AB115" s="816"/>
      <c r="AC115" s="816"/>
      <c r="AD115" s="816"/>
      <c r="AE115" s="815"/>
      <c r="AF115" s="816"/>
      <c r="AG115" s="816"/>
      <c r="AH115" s="818"/>
      <c r="AI115" s="819"/>
    </row>
    <row r="116" spans="1:35" ht="21.95" customHeight="1">
      <c r="A116" s="576"/>
      <c r="B116" s="833" t="s">
        <v>612</v>
      </c>
      <c r="C116" s="815" t="s">
        <v>613</v>
      </c>
      <c r="D116" s="831" t="s">
        <v>592</v>
      </c>
      <c r="E116" s="816"/>
      <c r="F116" s="813"/>
      <c r="G116" s="815"/>
      <c r="H116" s="831" t="s">
        <v>592</v>
      </c>
      <c r="I116" s="816"/>
      <c r="J116" s="813"/>
      <c r="K116" s="815"/>
      <c r="L116" s="831" t="s">
        <v>592</v>
      </c>
      <c r="M116" s="816"/>
      <c r="N116" s="813"/>
      <c r="O116" s="815"/>
      <c r="P116" s="831" t="s">
        <v>593</v>
      </c>
      <c r="Q116" s="816"/>
      <c r="R116" s="813"/>
      <c r="S116" s="815"/>
      <c r="T116" s="831" t="s">
        <v>594</v>
      </c>
      <c r="U116" s="816"/>
      <c r="V116" s="813"/>
      <c r="W116" s="815"/>
      <c r="X116" s="816"/>
      <c r="Y116" s="816"/>
      <c r="Z116" s="813"/>
      <c r="AA116" s="815"/>
      <c r="AB116" s="816"/>
      <c r="AC116" s="816"/>
      <c r="AD116" s="816"/>
      <c r="AE116" s="815"/>
      <c r="AF116" s="816"/>
      <c r="AG116" s="816"/>
      <c r="AH116" s="818"/>
      <c r="AI116" s="819"/>
    </row>
    <row r="117" spans="1:35" ht="21.95" customHeight="1" thickBot="1">
      <c r="A117" s="576"/>
      <c r="B117" s="583"/>
      <c r="C117" s="555"/>
      <c r="D117" s="538"/>
      <c r="E117" s="538"/>
      <c r="F117" s="538"/>
      <c r="G117" s="538"/>
      <c r="H117" s="538"/>
      <c r="I117" s="555"/>
      <c r="J117" s="555"/>
      <c r="K117" s="538"/>
      <c r="L117" s="538"/>
      <c r="M117" s="538"/>
      <c r="N117" s="538"/>
      <c r="O117" s="538"/>
      <c r="P117" s="538"/>
      <c r="Q117" s="555"/>
      <c r="R117" s="538"/>
      <c r="S117" s="538"/>
      <c r="T117" s="538"/>
      <c r="U117" s="538"/>
      <c r="V117" s="538"/>
      <c r="W117" s="555"/>
      <c r="X117" s="555"/>
      <c r="Y117" s="538"/>
      <c r="Z117" s="538"/>
      <c r="AA117" s="538"/>
      <c r="AB117" s="538"/>
      <c r="AC117" s="538"/>
      <c r="AD117" s="538"/>
      <c r="AE117" s="555"/>
      <c r="AF117" s="538"/>
      <c r="AG117" s="538"/>
      <c r="AH117" s="556"/>
      <c r="AI117" s="556"/>
    </row>
    <row r="118" spans="1:35" ht="21.95" customHeight="1" thickBot="1">
      <c r="A118" s="785"/>
      <c r="B118" s="883" t="s">
        <v>476</v>
      </c>
      <c r="C118" s="944">
        <v>1</v>
      </c>
      <c r="D118" s="863">
        <v>2</v>
      </c>
      <c r="E118" s="880">
        <v>3</v>
      </c>
      <c r="F118" s="880">
        <v>4</v>
      </c>
      <c r="G118" s="863">
        <v>5</v>
      </c>
      <c r="H118" s="863">
        <v>6</v>
      </c>
      <c r="I118" s="863">
        <v>7</v>
      </c>
      <c r="J118" s="863">
        <v>8</v>
      </c>
      <c r="K118" s="863">
        <v>9</v>
      </c>
      <c r="L118" s="880">
        <v>10</v>
      </c>
      <c r="M118" s="880">
        <v>11</v>
      </c>
      <c r="N118" s="863">
        <v>12</v>
      </c>
      <c r="O118" s="863">
        <v>13</v>
      </c>
      <c r="P118" s="863">
        <v>14</v>
      </c>
      <c r="Q118" s="863">
        <v>15</v>
      </c>
      <c r="R118" s="863">
        <v>16</v>
      </c>
      <c r="S118" s="880">
        <v>17</v>
      </c>
      <c r="T118" s="880">
        <v>18</v>
      </c>
      <c r="U118" s="863">
        <v>19</v>
      </c>
      <c r="V118" s="863">
        <v>20</v>
      </c>
      <c r="W118" s="863">
        <v>21</v>
      </c>
      <c r="X118" s="863">
        <v>22</v>
      </c>
      <c r="Y118" s="863">
        <v>23</v>
      </c>
      <c r="Z118" s="880">
        <v>24</v>
      </c>
      <c r="AA118" s="880">
        <v>25</v>
      </c>
      <c r="AB118" s="863">
        <v>26</v>
      </c>
      <c r="AC118" s="863">
        <v>27</v>
      </c>
      <c r="AD118" s="863">
        <v>28</v>
      </c>
      <c r="AE118" s="863">
        <v>29</v>
      </c>
      <c r="AF118" s="863">
        <v>30</v>
      </c>
      <c r="AG118" s="954">
        <v>31</v>
      </c>
      <c r="AH118" s="884" t="s">
        <v>477</v>
      </c>
      <c r="AI118" s="885" t="s">
        <v>478</v>
      </c>
    </row>
    <row r="119" spans="1:35" ht="21.95" customHeight="1">
      <c r="A119" s="576"/>
      <c r="B119" s="881" t="s">
        <v>614</v>
      </c>
      <c r="C119" s="882"/>
      <c r="D119" s="882" t="s">
        <v>591</v>
      </c>
      <c r="E119" s="882"/>
      <c r="F119" s="882"/>
      <c r="G119" s="882" t="s">
        <v>591</v>
      </c>
      <c r="H119" s="882" t="s">
        <v>591</v>
      </c>
      <c r="I119" s="882" t="s">
        <v>591</v>
      </c>
      <c r="J119" s="882" t="s">
        <v>591</v>
      </c>
      <c r="K119" s="882" t="s">
        <v>591</v>
      </c>
      <c r="L119" s="882"/>
      <c r="M119" s="882"/>
      <c r="N119" s="882" t="s">
        <v>591</v>
      </c>
      <c r="O119" s="882" t="s">
        <v>591</v>
      </c>
      <c r="P119" s="882" t="s">
        <v>591</v>
      </c>
      <c r="Q119" s="999" t="s">
        <v>591</v>
      </c>
      <c r="R119" s="999" t="s">
        <v>591</v>
      </c>
      <c r="S119" s="882"/>
      <c r="T119" s="882"/>
      <c r="U119" s="999" t="s">
        <v>591</v>
      </c>
      <c r="V119" s="999" t="s">
        <v>591</v>
      </c>
      <c r="W119" s="999" t="s">
        <v>591</v>
      </c>
      <c r="X119" s="999" t="s">
        <v>591</v>
      </c>
      <c r="Y119" s="999" t="s">
        <v>591</v>
      </c>
      <c r="Z119" s="999"/>
      <c r="AA119" s="999"/>
      <c r="AB119" s="882" t="s">
        <v>591</v>
      </c>
      <c r="AC119" s="882" t="s">
        <v>591</v>
      </c>
      <c r="AD119" s="882" t="s">
        <v>591</v>
      </c>
      <c r="AE119" s="882" t="s">
        <v>591</v>
      </c>
      <c r="AF119" s="882" t="s">
        <v>591</v>
      </c>
      <c r="AG119" s="882"/>
      <c r="AH119" s="510">
        <v>32</v>
      </c>
      <c r="AI119" s="511">
        <v>37</v>
      </c>
    </row>
    <row r="120" spans="1:35" ht="21.95" customHeight="1">
      <c r="A120" s="576"/>
      <c r="B120" s="804" t="s">
        <v>615</v>
      </c>
      <c r="C120" s="837"/>
      <c r="D120" s="837" t="s">
        <v>591</v>
      </c>
      <c r="E120" s="837"/>
      <c r="F120" s="837"/>
      <c r="G120" s="837" t="s">
        <v>591</v>
      </c>
      <c r="H120" s="837" t="s">
        <v>591</v>
      </c>
      <c r="I120" s="837" t="s">
        <v>591</v>
      </c>
      <c r="J120" s="837" t="s">
        <v>591</v>
      </c>
      <c r="K120" s="837" t="s">
        <v>591</v>
      </c>
      <c r="L120" s="837"/>
      <c r="M120" s="837"/>
      <c r="N120" s="837" t="s">
        <v>591</v>
      </c>
      <c r="O120" s="837" t="s">
        <v>591</v>
      </c>
      <c r="P120" s="837" t="s">
        <v>591</v>
      </c>
      <c r="Q120" s="837" t="s">
        <v>591</v>
      </c>
      <c r="R120" s="837" t="s">
        <v>591</v>
      </c>
      <c r="S120" s="837"/>
      <c r="T120" s="837"/>
      <c r="U120" s="837" t="s">
        <v>591</v>
      </c>
      <c r="V120" s="837" t="s">
        <v>591</v>
      </c>
      <c r="W120" s="837" t="s">
        <v>591</v>
      </c>
      <c r="X120" s="837" t="s">
        <v>591</v>
      </c>
      <c r="Y120" s="837" t="s">
        <v>591</v>
      </c>
      <c r="Z120" s="837"/>
      <c r="AA120" s="837"/>
      <c r="AB120" s="837" t="s">
        <v>591</v>
      </c>
      <c r="AC120" s="837" t="s">
        <v>591</v>
      </c>
      <c r="AD120" s="837" t="s">
        <v>591</v>
      </c>
      <c r="AE120" s="837" t="s">
        <v>591</v>
      </c>
      <c r="AF120" s="837" t="s">
        <v>591</v>
      </c>
      <c r="AG120" s="837"/>
      <c r="AH120" s="924">
        <v>52</v>
      </c>
      <c r="AI120" s="925">
        <v>37</v>
      </c>
    </row>
    <row r="121" spans="1:35" ht="21.95" customHeight="1">
      <c r="A121" s="576"/>
      <c r="B121" s="804" t="s">
        <v>616</v>
      </c>
      <c r="C121" s="837"/>
      <c r="D121" s="837" t="s">
        <v>596</v>
      </c>
      <c r="E121" s="837"/>
      <c r="F121" s="837"/>
      <c r="G121" s="837" t="s">
        <v>596</v>
      </c>
      <c r="H121" s="837" t="s">
        <v>596</v>
      </c>
      <c r="I121" s="837" t="s">
        <v>596</v>
      </c>
      <c r="J121" s="837" t="s">
        <v>596</v>
      </c>
      <c r="K121" s="837" t="s">
        <v>596</v>
      </c>
      <c r="L121" s="837"/>
      <c r="M121" s="837"/>
      <c r="N121" s="837" t="s">
        <v>596</v>
      </c>
      <c r="O121" s="837" t="s">
        <v>596</v>
      </c>
      <c r="P121" s="837" t="s">
        <v>596</v>
      </c>
      <c r="Q121" s="837" t="s">
        <v>596</v>
      </c>
      <c r="R121" s="837" t="s">
        <v>596</v>
      </c>
      <c r="S121" s="837"/>
      <c r="T121" s="837"/>
      <c r="U121" s="837" t="s">
        <v>596</v>
      </c>
      <c r="V121" s="837" t="s">
        <v>596</v>
      </c>
      <c r="W121" s="837" t="s">
        <v>596</v>
      </c>
      <c r="X121" s="837" t="s">
        <v>596</v>
      </c>
      <c r="Y121" s="837" t="s">
        <v>596</v>
      </c>
      <c r="Z121" s="837"/>
      <c r="AA121" s="837"/>
      <c r="AB121" s="837" t="s">
        <v>596</v>
      </c>
      <c r="AC121" s="837" t="s">
        <v>596</v>
      </c>
      <c r="AD121" s="837" t="s">
        <v>596</v>
      </c>
      <c r="AE121" s="837" t="s">
        <v>596</v>
      </c>
      <c r="AF121" s="837" t="s">
        <v>596</v>
      </c>
      <c r="AG121" s="837"/>
      <c r="AH121" s="924">
        <v>39</v>
      </c>
      <c r="AI121" s="925">
        <v>37</v>
      </c>
    </row>
    <row r="122" spans="1:35" ht="21.95" customHeight="1">
      <c r="A122" s="576"/>
      <c r="B122" s="804" t="s">
        <v>617</v>
      </c>
      <c r="C122" s="837"/>
      <c r="D122" s="969" t="s">
        <v>598</v>
      </c>
      <c r="E122" s="837"/>
      <c r="F122" s="837"/>
      <c r="G122" s="837" t="s">
        <v>598</v>
      </c>
      <c r="H122" s="837" t="s">
        <v>598</v>
      </c>
      <c r="I122" s="837" t="s">
        <v>598</v>
      </c>
      <c r="J122" s="837" t="s">
        <v>598</v>
      </c>
      <c r="K122" s="837" t="s">
        <v>598</v>
      </c>
      <c r="L122" s="837"/>
      <c r="M122" s="837"/>
      <c r="N122" s="837" t="s">
        <v>598</v>
      </c>
      <c r="O122" s="837" t="s">
        <v>598</v>
      </c>
      <c r="P122" s="837" t="s">
        <v>598</v>
      </c>
      <c r="Q122" s="837" t="s">
        <v>598</v>
      </c>
      <c r="R122" s="837" t="s">
        <v>598</v>
      </c>
      <c r="S122" s="837"/>
      <c r="T122" s="837"/>
      <c r="U122" s="837" t="s">
        <v>598</v>
      </c>
      <c r="V122" s="837" t="s">
        <v>598</v>
      </c>
      <c r="W122" s="837" t="s">
        <v>598</v>
      </c>
      <c r="X122" s="1023" t="s">
        <v>598</v>
      </c>
      <c r="Y122" s="1023" t="s">
        <v>618</v>
      </c>
      <c r="Z122" s="837"/>
      <c r="AA122" s="837"/>
      <c r="AB122" s="837" t="s">
        <v>598</v>
      </c>
      <c r="AC122" s="837" t="s">
        <v>598</v>
      </c>
      <c r="AD122" s="837" t="s">
        <v>598</v>
      </c>
      <c r="AE122" s="837" t="s">
        <v>598</v>
      </c>
      <c r="AF122" s="837" t="s">
        <v>598</v>
      </c>
      <c r="AG122" s="837"/>
      <c r="AH122" s="924">
        <v>50</v>
      </c>
      <c r="AI122" s="925">
        <v>37</v>
      </c>
    </row>
    <row r="123" spans="1:35" ht="21.95" customHeight="1">
      <c r="A123" s="576"/>
      <c r="B123" s="804" t="s">
        <v>619</v>
      </c>
      <c r="C123" s="837"/>
      <c r="D123" s="837" t="s">
        <v>600</v>
      </c>
      <c r="E123" s="837"/>
      <c r="F123" s="837"/>
      <c r="G123" s="837" t="s">
        <v>600</v>
      </c>
      <c r="H123" s="837" t="s">
        <v>600</v>
      </c>
      <c r="I123" s="837" t="s">
        <v>600</v>
      </c>
      <c r="J123" s="837" t="s">
        <v>600</v>
      </c>
      <c r="K123" s="837" t="s">
        <v>600</v>
      </c>
      <c r="L123" s="837"/>
      <c r="M123" s="837"/>
      <c r="N123" s="837" t="s">
        <v>600</v>
      </c>
      <c r="O123" s="837" t="s">
        <v>600</v>
      </c>
      <c r="P123" s="837" t="s">
        <v>600</v>
      </c>
      <c r="Q123" s="837" t="s">
        <v>600</v>
      </c>
      <c r="R123" s="837" t="s">
        <v>600</v>
      </c>
      <c r="S123" s="837"/>
      <c r="T123" s="837"/>
      <c r="U123" s="837" t="s">
        <v>600</v>
      </c>
      <c r="V123" s="837" t="s">
        <v>600</v>
      </c>
      <c r="W123" s="837" t="s">
        <v>600</v>
      </c>
      <c r="X123" s="837" t="s">
        <v>600</v>
      </c>
      <c r="Y123" s="837" t="s">
        <v>600</v>
      </c>
      <c r="Z123" s="837"/>
      <c r="AA123" s="837"/>
      <c r="AB123" s="837" t="s">
        <v>600</v>
      </c>
      <c r="AC123" s="837" t="s">
        <v>600</v>
      </c>
      <c r="AD123" s="837" t="s">
        <v>600</v>
      </c>
      <c r="AE123" s="1023" t="s">
        <v>600</v>
      </c>
      <c r="AF123" s="1023" t="s">
        <v>620</v>
      </c>
      <c r="AG123" s="837"/>
      <c r="AH123" s="924">
        <v>5</v>
      </c>
      <c r="AI123" s="925">
        <v>37</v>
      </c>
    </row>
    <row r="124" spans="1:35" ht="21.95" customHeight="1">
      <c r="A124" s="576"/>
      <c r="B124" s="804" t="s">
        <v>621</v>
      </c>
      <c r="C124" s="837"/>
      <c r="D124" s="837" t="s">
        <v>602</v>
      </c>
      <c r="E124" s="837"/>
      <c r="F124" s="837"/>
      <c r="G124" s="969" t="s">
        <v>602</v>
      </c>
      <c r="H124" s="969" t="s">
        <v>602</v>
      </c>
      <c r="I124" s="969" t="s">
        <v>602</v>
      </c>
      <c r="J124" s="969" t="s">
        <v>602</v>
      </c>
      <c r="K124" s="969" t="s">
        <v>602</v>
      </c>
      <c r="L124" s="969"/>
      <c r="M124" s="969"/>
      <c r="N124" s="837" t="s">
        <v>602</v>
      </c>
      <c r="O124" s="837" t="s">
        <v>602</v>
      </c>
      <c r="P124" s="837" t="s">
        <v>602</v>
      </c>
      <c r="Q124" s="837" t="s">
        <v>602</v>
      </c>
      <c r="R124" s="837" t="s">
        <v>602</v>
      </c>
      <c r="S124" s="837"/>
      <c r="T124" s="837"/>
      <c r="U124" s="837" t="s">
        <v>602</v>
      </c>
      <c r="V124" s="837" t="s">
        <v>602</v>
      </c>
      <c r="W124" s="837" t="s">
        <v>602</v>
      </c>
      <c r="X124" s="837" t="s">
        <v>602</v>
      </c>
      <c r="Y124" s="837" t="s">
        <v>602</v>
      </c>
      <c r="Z124" s="837"/>
      <c r="AA124" s="837"/>
      <c r="AB124" s="837" t="s">
        <v>602</v>
      </c>
      <c r="AC124" s="837" t="s">
        <v>602</v>
      </c>
      <c r="AD124" s="837" t="s">
        <v>602</v>
      </c>
      <c r="AE124" s="837" t="s">
        <v>602</v>
      </c>
      <c r="AF124" s="837" t="s">
        <v>602</v>
      </c>
      <c r="AG124" s="837"/>
      <c r="AH124" s="924">
        <v>18</v>
      </c>
      <c r="AI124" s="925">
        <v>37</v>
      </c>
    </row>
    <row r="125" spans="1:35" ht="21.95" customHeight="1">
      <c r="A125" s="576"/>
      <c r="B125" s="804" t="s">
        <v>622</v>
      </c>
      <c r="C125" s="837"/>
      <c r="D125" s="969" t="s">
        <v>604</v>
      </c>
      <c r="E125" s="837"/>
      <c r="F125" s="837"/>
      <c r="G125" s="969" t="s">
        <v>604</v>
      </c>
      <c r="H125" s="837" t="s">
        <v>604</v>
      </c>
      <c r="I125" s="837" t="s">
        <v>604</v>
      </c>
      <c r="J125" s="837" t="s">
        <v>604</v>
      </c>
      <c r="K125" s="837" t="s">
        <v>604</v>
      </c>
      <c r="L125" s="837"/>
      <c r="M125" s="837"/>
      <c r="N125" s="837" t="s">
        <v>604</v>
      </c>
      <c r="O125" s="837" t="s">
        <v>604</v>
      </c>
      <c r="P125" s="837" t="s">
        <v>604</v>
      </c>
      <c r="Q125" s="837" t="s">
        <v>604</v>
      </c>
      <c r="R125" s="837" t="s">
        <v>604</v>
      </c>
      <c r="S125" s="837"/>
      <c r="T125" s="837"/>
      <c r="U125" s="837" t="s">
        <v>604</v>
      </c>
      <c r="V125" s="837" t="s">
        <v>604</v>
      </c>
      <c r="W125" s="837" t="s">
        <v>604</v>
      </c>
      <c r="X125" s="837" t="s">
        <v>604</v>
      </c>
      <c r="Y125" s="837" t="s">
        <v>604</v>
      </c>
      <c r="Z125" s="837"/>
      <c r="AA125" s="837"/>
      <c r="AB125" s="837" t="s">
        <v>604</v>
      </c>
      <c r="AC125" s="837" t="s">
        <v>604</v>
      </c>
      <c r="AD125" s="837" t="s">
        <v>604</v>
      </c>
      <c r="AE125" s="837" t="s">
        <v>604</v>
      </c>
      <c r="AF125" s="837" t="s">
        <v>604</v>
      </c>
      <c r="AG125" s="837"/>
      <c r="AH125" s="924">
        <v>37</v>
      </c>
      <c r="AI125" s="925">
        <v>37</v>
      </c>
    </row>
    <row r="126" spans="1:35" ht="21.95" customHeight="1">
      <c r="A126" s="576"/>
      <c r="B126" s="804" t="s">
        <v>623</v>
      </c>
      <c r="C126" s="837"/>
      <c r="D126" s="837" t="s">
        <v>606</v>
      </c>
      <c r="E126" s="837"/>
      <c r="F126" s="837"/>
      <c r="G126" s="837" t="s">
        <v>606</v>
      </c>
      <c r="H126" s="837" t="s">
        <v>606</v>
      </c>
      <c r="I126" s="837" t="s">
        <v>606</v>
      </c>
      <c r="J126" s="837" t="s">
        <v>606</v>
      </c>
      <c r="K126" s="837" t="s">
        <v>606</v>
      </c>
      <c r="L126" s="837"/>
      <c r="M126" s="837"/>
      <c r="N126" s="837" t="s">
        <v>606</v>
      </c>
      <c r="O126" s="1023" t="s">
        <v>760</v>
      </c>
      <c r="P126" s="815" t="s">
        <v>606</v>
      </c>
      <c r="Q126" s="815" t="s">
        <v>606</v>
      </c>
      <c r="R126" s="1006" t="s">
        <v>606</v>
      </c>
      <c r="S126" s="837"/>
      <c r="T126" s="837"/>
      <c r="U126" s="837" t="s">
        <v>606</v>
      </c>
      <c r="V126" s="837" t="s">
        <v>606</v>
      </c>
      <c r="W126" s="837" t="s">
        <v>606</v>
      </c>
      <c r="X126" s="837" t="s">
        <v>606</v>
      </c>
      <c r="Y126" s="837" t="s">
        <v>606</v>
      </c>
      <c r="Z126" s="837"/>
      <c r="AA126" s="837"/>
      <c r="AB126" s="837" t="s">
        <v>606</v>
      </c>
      <c r="AC126" s="837" t="s">
        <v>606</v>
      </c>
      <c r="AD126" s="837" t="s">
        <v>606</v>
      </c>
      <c r="AE126" s="837" t="s">
        <v>606</v>
      </c>
      <c r="AF126" s="837" t="s">
        <v>606</v>
      </c>
      <c r="AG126" s="837"/>
      <c r="AH126" s="924">
        <v>74</v>
      </c>
      <c r="AI126" s="925">
        <v>37</v>
      </c>
    </row>
    <row r="127" spans="1:35" ht="21.95" customHeight="1">
      <c r="A127" s="576"/>
      <c r="B127" s="804" t="s">
        <v>624</v>
      </c>
      <c r="C127" s="837"/>
      <c r="D127" s="969" t="s">
        <v>607</v>
      </c>
      <c r="E127" s="837"/>
      <c r="F127" s="837"/>
      <c r="G127" s="837" t="s">
        <v>607</v>
      </c>
      <c r="H127" s="837" t="s">
        <v>607</v>
      </c>
      <c r="I127" s="837" t="s">
        <v>607</v>
      </c>
      <c r="J127" s="837" t="s">
        <v>607</v>
      </c>
      <c r="K127" s="837" t="s">
        <v>607</v>
      </c>
      <c r="L127" s="837"/>
      <c r="M127" s="837"/>
      <c r="N127" s="837" t="s">
        <v>607</v>
      </c>
      <c r="O127" s="837" t="s">
        <v>607</v>
      </c>
      <c r="P127" s="837" t="s">
        <v>607</v>
      </c>
      <c r="Q127" s="837" t="s">
        <v>607</v>
      </c>
      <c r="R127" s="837" t="s">
        <v>607</v>
      </c>
      <c r="S127" s="837"/>
      <c r="T127" s="837"/>
      <c r="U127" s="837" t="s">
        <v>607</v>
      </c>
      <c r="V127" s="837" t="s">
        <v>607</v>
      </c>
      <c r="W127" s="1023" t="s">
        <v>607</v>
      </c>
      <c r="X127" s="1023" t="s">
        <v>607</v>
      </c>
      <c r="Y127" s="1023" t="s">
        <v>625</v>
      </c>
      <c r="Z127" s="837"/>
      <c r="AA127" s="837"/>
      <c r="AB127" s="837" t="s">
        <v>607</v>
      </c>
      <c r="AC127" s="837" t="s">
        <v>607</v>
      </c>
      <c r="AD127" s="837" t="s">
        <v>607</v>
      </c>
      <c r="AE127" s="837" t="s">
        <v>607</v>
      </c>
      <c r="AF127" s="837" t="s">
        <v>607</v>
      </c>
      <c r="AG127" s="837"/>
      <c r="AH127" s="924">
        <v>7</v>
      </c>
      <c r="AI127" s="925">
        <v>37</v>
      </c>
    </row>
    <row r="128" spans="1:35" ht="21.95" customHeight="1">
      <c r="A128" s="576"/>
      <c r="B128" s="804" t="s">
        <v>626</v>
      </c>
      <c r="C128" s="837"/>
      <c r="D128" s="969" t="s">
        <v>609</v>
      </c>
      <c r="E128" s="837"/>
      <c r="F128" s="837"/>
      <c r="G128" s="837" t="s">
        <v>609</v>
      </c>
      <c r="H128" s="837" t="s">
        <v>609</v>
      </c>
      <c r="I128" s="837" t="s">
        <v>609</v>
      </c>
      <c r="J128" s="837" t="s">
        <v>609</v>
      </c>
      <c r="K128" s="837" t="s">
        <v>609</v>
      </c>
      <c r="L128" s="837"/>
      <c r="M128" s="837"/>
      <c r="N128" s="837" t="s">
        <v>609</v>
      </c>
      <c r="O128" s="837" t="s">
        <v>609</v>
      </c>
      <c r="P128" s="837" t="s">
        <v>609</v>
      </c>
      <c r="Q128" s="837" t="s">
        <v>609</v>
      </c>
      <c r="R128" s="969" t="s">
        <v>609</v>
      </c>
      <c r="S128" s="837"/>
      <c r="T128" s="837"/>
      <c r="U128" s="837" t="s">
        <v>609</v>
      </c>
      <c r="V128" s="837" t="s">
        <v>609</v>
      </c>
      <c r="W128" s="837" t="s">
        <v>609</v>
      </c>
      <c r="X128" s="837" t="s">
        <v>609</v>
      </c>
      <c r="Y128" s="837" t="s">
        <v>609</v>
      </c>
      <c r="Z128" s="837"/>
      <c r="AA128" s="837"/>
      <c r="AB128" s="837" t="s">
        <v>609</v>
      </c>
      <c r="AC128" s="837" t="s">
        <v>609</v>
      </c>
      <c r="AD128" s="837" t="s">
        <v>609</v>
      </c>
      <c r="AE128" s="837" t="s">
        <v>609</v>
      </c>
      <c r="AF128" s="837" t="s">
        <v>609</v>
      </c>
      <c r="AG128" s="837"/>
      <c r="AH128" s="924">
        <v>49</v>
      </c>
      <c r="AI128" s="925">
        <v>37</v>
      </c>
    </row>
    <row r="129" spans="1:35" ht="21.95" customHeight="1">
      <c r="A129" s="576"/>
      <c r="B129" s="804" t="s">
        <v>627</v>
      </c>
      <c r="C129" s="837"/>
      <c r="D129" s="969" t="s">
        <v>611</v>
      </c>
      <c r="E129" s="837"/>
      <c r="F129" s="837"/>
      <c r="G129" s="969" t="s">
        <v>611</v>
      </c>
      <c r="H129" s="969" t="s">
        <v>611</v>
      </c>
      <c r="I129" s="969" t="s">
        <v>611</v>
      </c>
      <c r="J129" s="969" t="s">
        <v>611</v>
      </c>
      <c r="K129" s="969" t="s">
        <v>611</v>
      </c>
      <c r="L129" s="837"/>
      <c r="M129" s="837"/>
      <c r="N129" s="837" t="s">
        <v>611</v>
      </c>
      <c r="O129" s="837" t="s">
        <v>611</v>
      </c>
      <c r="P129" s="837" t="s">
        <v>611</v>
      </c>
      <c r="Q129" s="837" t="s">
        <v>611</v>
      </c>
      <c r="R129" s="837" t="s">
        <v>611</v>
      </c>
      <c r="S129" s="837"/>
      <c r="T129" s="837"/>
      <c r="U129" s="837" t="s">
        <v>611</v>
      </c>
      <c r="V129" s="837" t="s">
        <v>611</v>
      </c>
      <c r="W129" s="837" t="s">
        <v>611</v>
      </c>
      <c r="X129" s="837" t="s">
        <v>611</v>
      </c>
      <c r="Y129" s="837" t="s">
        <v>611</v>
      </c>
      <c r="Z129" s="837"/>
      <c r="AA129" s="837"/>
      <c r="AB129" s="837" t="s">
        <v>611</v>
      </c>
      <c r="AC129" s="837" t="s">
        <v>611</v>
      </c>
      <c r="AD129" s="837" t="s">
        <v>611</v>
      </c>
      <c r="AE129" s="837" t="s">
        <v>611</v>
      </c>
      <c r="AF129" s="837" t="s">
        <v>611</v>
      </c>
      <c r="AG129" s="837"/>
      <c r="AH129" s="924">
        <v>113</v>
      </c>
      <c r="AI129" s="925">
        <v>32</v>
      </c>
    </row>
    <row r="130" spans="1:35" ht="21.95" customHeight="1" thickBot="1">
      <c r="A130" s="576"/>
      <c r="B130" s="886" t="s">
        <v>629</v>
      </c>
      <c r="C130" s="887"/>
      <c r="D130" s="887" t="s">
        <v>613</v>
      </c>
      <c r="E130" s="887"/>
      <c r="F130" s="887"/>
      <c r="G130" s="887" t="s">
        <v>613</v>
      </c>
      <c r="H130" s="887" t="s">
        <v>613</v>
      </c>
      <c r="I130" s="887" t="s">
        <v>613</v>
      </c>
      <c r="J130" s="887" t="s">
        <v>613</v>
      </c>
      <c r="K130" s="887" t="s">
        <v>613</v>
      </c>
      <c r="L130" s="887"/>
      <c r="M130" s="887"/>
      <c r="N130" s="887" t="s">
        <v>613</v>
      </c>
      <c r="O130" s="887" t="s">
        <v>613</v>
      </c>
      <c r="P130" s="887" t="s">
        <v>613</v>
      </c>
      <c r="Q130" s="887" t="s">
        <v>613</v>
      </c>
      <c r="R130" s="887" t="s">
        <v>613</v>
      </c>
      <c r="S130" s="887"/>
      <c r="T130" s="887"/>
      <c r="U130" s="887" t="s">
        <v>613</v>
      </c>
      <c r="V130" s="887" t="s">
        <v>613</v>
      </c>
      <c r="W130" s="887" t="s">
        <v>613</v>
      </c>
      <c r="X130" s="887" t="s">
        <v>613</v>
      </c>
      <c r="Y130" s="887" t="s">
        <v>613</v>
      </c>
      <c r="Z130" s="887"/>
      <c r="AA130" s="887"/>
      <c r="AB130" s="991" t="s">
        <v>613</v>
      </c>
      <c r="AC130" s="991" t="s">
        <v>613</v>
      </c>
      <c r="AD130" s="991" t="s">
        <v>613</v>
      </c>
      <c r="AE130" s="991" t="s">
        <v>613</v>
      </c>
      <c r="AF130" s="991" t="s">
        <v>613</v>
      </c>
      <c r="AG130" s="991"/>
      <c r="AH130" s="868">
        <v>37</v>
      </c>
      <c r="AI130" s="869">
        <v>37</v>
      </c>
    </row>
    <row r="131" spans="1:35" ht="21.95" customHeight="1">
      <c r="A131" s="576"/>
      <c r="B131" s="847"/>
      <c r="C131" s="555"/>
      <c r="D131" s="555"/>
      <c r="E131" s="555"/>
      <c r="F131" s="555"/>
      <c r="G131" s="555"/>
      <c r="H131" s="555"/>
      <c r="I131" s="555"/>
      <c r="J131" s="555"/>
      <c r="K131" s="555"/>
      <c r="L131" s="555"/>
      <c r="M131" s="555"/>
      <c r="N131" s="555"/>
      <c r="O131" s="555"/>
      <c r="P131" s="555"/>
      <c r="Q131" s="555"/>
      <c r="R131" s="555"/>
      <c r="S131" s="555"/>
      <c r="T131" s="555"/>
      <c r="U131" s="555"/>
      <c r="V131" s="555"/>
      <c r="W131" s="555"/>
      <c r="X131" s="555"/>
      <c r="Y131" s="555"/>
      <c r="Z131" s="555"/>
      <c r="AA131" s="555"/>
      <c r="AB131" s="555"/>
      <c r="AC131" s="555"/>
      <c r="AD131" s="555"/>
      <c r="AE131" s="555"/>
      <c r="AF131" s="555"/>
      <c r="AG131" s="555"/>
      <c r="AH131" s="556"/>
      <c r="AI131" s="556"/>
    </row>
    <row r="132" spans="1:35" ht="21.95" customHeight="1" thickBot="1">
      <c r="A132" s="805" t="s">
        <v>630</v>
      </c>
      <c r="B132" s="538" t="s">
        <v>631</v>
      </c>
      <c r="C132" s="555"/>
      <c r="D132" s="538"/>
      <c r="E132" s="538"/>
      <c r="F132" s="538"/>
      <c r="G132" s="538"/>
      <c r="H132" s="538"/>
      <c r="I132" s="555"/>
      <c r="J132" s="555"/>
      <c r="K132" s="538"/>
      <c r="L132" s="538"/>
      <c r="M132" s="538"/>
      <c r="N132" s="538"/>
      <c r="O132" s="538"/>
      <c r="P132" s="538"/>
      <c r="Q132" s="555"/>
      <c r="R132" s="538"/>
      <c r="S132" s="538"/>
      <c r="T132" s="538"/>
      <c r="U132" s="538"/>
      <c r="V132" s="538"/>
      <c r="W132" s="555"/>
      <c r="X132" s="555"/>
      <c r="Y132" s="538"/>
      <c r="Z132" s="538"/>
      <c r="AA132" s="538"/>
      <c r="AB132" s="538"/>
      <c r="AC132" s="538"/>
      <c r="AD132" s="538"/>
      <c r="AE132" s="555"/>
      <c r="AF132" s="538"/>
      <c r="AG132" s="538"/>
      <c r="AH132" s="556"/>
      <c r="AI132" s="556"/>
    </row>
    <row r="133" spans="1:35" ht="21.95" customHeight="1">
      <c r="A133" s="576"/>
      <c r="B133" s="806" t="s">
        <v>589</v>
      </c>
      <c r="C133" s="814"/>
      <c r="D133" s="807" t="s">
        <v>2</v>
      </c>
      <c r="E133" s="808"/>
      <c r="F133" s="809"/>
      <c r="G133" s="810"/>
      <c r="H133" s="807" t="s">
        <v>3</v>
      </c>
      <c r="I133" s="808"/>
      <c r="J133" s="809"/>
      <c r="K133" s="810"/>
      <c r="L133" s="807" t="s">
        <v>4</v>
      </c>
      <c r="M133" s="808"/>
      <c r="N133" s="809"/>
      <c r="O133" s="810"/>
      <c r="P133" s="807" t="s">
        <v>5</v>
      </c>
      <c r="Q133" s="808"/>
      <c r="R133" s="809"/>
      <c r="S133" s="810"/>
      <c r="T133" s="807" t="s">
        <v>6</v>
      </c>
      <c r="U133" s="808"/>
      <c r="V133" s="809"/>
      <c r="W133" s="810"/>
      <c r="X133" s="807" t="s">
        <v>7</v>
      </c>
      <c r="Y133" s="808"/>
      <c r="Z133" s="809"/>
      <c r="AA133" s="810"/>
      <c r="AB133" s="807" t="s">
        <v>8</v>
      </c>
      <c r="AC133" s="808"/>
      <c r="AD133" s="808"/>
      <c r="AE133" s="811" t="s">
        <v>10</v>
      </c>
      <c r="AF133" s="808"/>
      <c r="AG133" s="808"/>
      <c r="AH133" s="808"/>
      <c r="AI133" s="812"/>
    </row>
    <row r="134" spans="1:35" ht="21.95" customHeight="1">
      <c r="A134" s="576"/>
      <c r="B134" s="832"/>
      <c r="C134" s="815"/>
      <c r="D134" s="831"/>
      <c r="E134" s="816"/>
      <c r="F134" s="813"/>
      <c r="G134" s="815"/>
      <c r="H134" s="831"/>
      <c r="I134" s="816"/>
      <c r="J134" s="813"/>
      <c r="K134" s="815"/>
      <c r="L134" s="831"/>
      <c r="M134" s="816"/>
      <c r="N134" s="813"/>
      <c r="O134" s="815"/>
      <c r="P134" s="831"/>
      <c r="Q134" s="816"/>
      <c r="R134" s="813"/>
      <c r="S134" s="815"/>
      <c r="T134" s="831"/>
      <c r="U134" s="816"/>
      <c r="V134" s="813"/>
      <c r="W134" s="815"/>
      <c r="X134" s="816"/>
      <c r="Y134" s="816"/>
      <c r="Z134" s="813"/>
      <c r="AA134" s="815"/>
      <c r="AB134" s="816"/>
      <c r="AC134" s="816"/>
      <c r="AD134" s="816"/>
      <c r="AE134" s="815"/>
      <c r="AF134" s="816"/>
      <c r="AG134" s="816"/>
      <c r="AH134" s="818"/>
      <c r="AI134" s="819"/>
    </row>
    <row r="135" spans="1:35" ht="21.95" customHeight="1">
      <c r="A135" s="576"/>
      <c r="B135" s="833"/>
      <c r="C135" s="815"/>
      <c r="D135" s="831"/>
      <c r="E135" s="816"/>
      <c r="F135" s="813"/>
      <c r="G135" s="815"/>
      <c r="H135" s="831"/>
      <c r="I135" s="816"/>
      <c r="J135" s="813"/>
      <c r="K135" s="815"/>
      <c r="L135" s="831"/>
      <c r="M135" s="816"/>
      <c r="N135" s="813"/>
      <c r="O135" s="815"/>
      <c r="P135" s="831"/>
      <c r="Q135" s="816"/>
      <c r="R135" s="813"/>
      <c r="S135" s="815"/>
      <c r="T135" s="831"/>
      <c r="U135" s="816"/>
      <c r="V135" s="813"/>
      <c r="W135" s="815"/>
      <c r="X135" s="816"/>
      <c r="Y135" s="816"/>
      <c r="Z135" s="813"/>
      <c r="AA135" s="815"/>
      <c r="AB135" s="816"/>
      <c r="AC135" s="816"/>
      <c r="AD135" s="816"/>
      <c r="AE135" s="815"/>
      <c r="AF135" s="816"/>
      <c r="AG135" s="816"/>
      <c r="AH135" s="818"/>
      <c r="AI135" s="819"/>
    </row>
    <row r="136" spans="1:35" ht="21.95" customHeight="1">
      <c r="A136" s="576"/>
      <c r="B136" s="833"/>
      <c r="C136" s="815"/>
      <c r="D136" s="831"/>
      <c r="E136" s="816"/>
      <c r="F136" s="813"/>
      <c r="G136" s="815"/>
      <c r="H136" s="831"/>
      <c r="I136" s="816"/>
      <c r="J136" s="813"/>
      <c r="K136" s="815"/>
      <c r="L136" s="831"/>
      <c r="M136" s="816"/>
      <c r="N136" s="813"/>
      <c r="O136" s="815"/>
      <c r="P136" s="831"/>
      <c r="Q136" s="816"/>
      <c r="R136" s="813"/>
      <c r="S136" s="815"/>
      <c r="T136" s="831"/>
      <c r="U136" s="816"/>
      <c r="V136" s="813"/>
      <c r="W136" s="815"/>
      <c r="X136" s="816"/>
      <c r="Y136" s="816"/>
      <c r="Z136" s="813"/>
      <c r="AA136" s="815"/>
      <c r="AB136" s="816"/>
      <c r="AC136" s="816"/>
      <c r="AD136" s="816"/>
      <c r="AE136" s="815"/>
      <c r="AF136" s="816"/>
      <c r="AG136" s="816"/>
      <c r="AH136" s="818"/>
      <c r="AI136" s="819"/>
    </row>
    <row r="137" spans="1:35" ht="21.75" customHeight="1" thickBot="1">
      <c r="A137" s="576"/>
      <c r="B137" s="847"/>
      <c r="C137" s="555"/>
      <c r="D137" s="555"/>
      <c r="E137" s="555"/>
      <c r="F137" s="555"/>
      <c r="G137" s="555"/>
      <c r="H137" s="555"/>
      <c r="I137" s="555"/>
      <c r="J137" s="555"/>
      <c r="K137" s="555"/>
      <c r="L137" s="555"/>
      <c r="M137" s="555"/>
      <c r="N137" s="555"/>
      <c r="O137" s="555"/>
      <c r="P137" s="555"/>
      <c r="Q137" s="555"/>
      <c r="R137" s="555"/>
      <c r="S137" s="555"/>
      <c r="T137" s="555"/>
      <c r="U137" s="555"/>
      <c r="V137" s="555"/>
      <c r="W137" s="555"/>
      <c r="X137" s="555"/>
      <c r="Y137" s="555"/>
      <c r="Z137" s="555"/>
      <c r="AA137" s="555"/>
      <c r="AB137" s="555"/>
      <c r="AC137" s="555"/>
      <c r="AD137" s="555"/>
      <c r="AE137" s="555"/>
      <c r="AF137" s="555"/>
      <c r="AG137" s="555"/>
      <c r="AH137" s="556"/>
      <c r="AI137" s="556"/>
    </row>
    <row r="138" spans="1:35" ht="21.95" customHeight="1" thickBot="1">
      <c r="A138" s="785"/>
      <c r="B138" s="883" t="s">
        <v>476</v>
      </c>
      <c r="C138" s="944">
        <v>1</v>
      </c>
      <c r="D138" s="863">
        <v>2</v>
      </c>
      <c r="E138" s="880">
        <v>3</v>
      </c>
      <c r="F138" s="880">
        <v>4</v>
      </c>
      <c r="G138" s="863">
        <v>5</v>
      </c>
      <c r="H138" s="863">
        <v>6</v>
      </c>
      <c r="I138" s="863">
        <v>7</v>
      </c>
      <c r="J138" s="863">
        <v>8</v>
      </c>
      <c r="K138" s="863">
        <v>9</v>
      </c>
      <c r="L138" s="880">
        <v>10</v>
      </c>
      <c r="M138" s="880">
        <v>11</v>
      </c>
      <c r="N138" s="863">
        <v>12</v>
      </c>
      <c r="O138" s="863">
        <v>13</v>
      </c>
      <c r="P138" s="863">
        <v>14</v>
      </c>
      <c r="Q138" s="863">
        <v>15</v>
      </c>
      <c r="R138" s="863">
        <v>16</v>
      </c>
      <c r="S138" s="880">
        <v>17</v>
      </c>
      <c r="T138" s="880">
        <v>18</v>
      </c>
      <c r="U138" s="863">
        <v>19</v>
      </c>
      <c r="V138" s="863">
        <v>20</v>
      </c>
      <c r="W138" s="863">
        <v>21</v>
      </c>
      <c r="X138" s="863">
        <v>22</v>
      </c>
      <c r="Y138" s="863">
        <v>23</v>
      </c>
      <c r="Z138" s="880">
        <v>24</v>
      </c>
      <c r="AA138" s="880">
        <v>25</v>
      </c>
      <c r="AB138" s="863">
        <v>26</v>
      </c>
      <c r="AC138" s="863">
        <v>27</v>
      </c>
      <c r="AD138" s="863">
        <v>28</v>
      </c>
      <c r="AE138" s="863">
        <v>29</v>
      </c>
      <c r="AF138" s="863">
        <v>30</v>
      </c>
      <c r="AG138" s="954">
        <v>31</v>
      </c>
      <c r="AH138" s="884" t="s">
        <v>477</v>
      </c>
      <c r="AI138" s="885" t="s">
        <v>478</v>
      </c>
    </row>
    <row r="139" spans="1:35" ht="21.95" customHeight="1">
      <c r="A139" s="576"/>
      <c r="B139" s="888" t="s">
        <v>632</v>
      </c>
      <c r="C139" s="768"/>
      <c r="D139" s="768" t="s">
        <v>491</v>
      </c>
      <c r="E139" s="768"/>
      <c r="F139" s="768"/>
      <c r="G139" s="768" t="s">
        <v>491</v>
      </c>
      <c r="H139" s="768" t="s">
        <v>491</v>
      </c>
      <c r="I139" s="768" t="s">
        <v>491</v>
      </c>
      <c r="J139" s="768" t="s">
        <v>491</v>
      </c>
      <c r="K139" s="768" t="s">
        <v>491</v>
      </c>
      <c r="L139" s="768"/>
      <c r="M139" s="768"/>
      <c r="N139" s="768" t="s">
        <v>491</v>
      </c>
      <c r="O139" s="768" t="s">
        <v>491</v>
      </c>
      <c r="P139" s="768" t="s">
        <v>491</v>
      </c>
      <c r="Q139" s="768" t="s">
        <v>491</v>
      </c>
      <c r="R139" s="768" t="s">
        <v>491</v>
      </c>
      <c r="S139" s="768"/>
      <c r="T139" s="768"/>
      <c r="U139" s="768" t="s">
        <v>491</v>
      </c>
      <c r="V139" s="768" t="s">
        <v>491</v>
      </c>
      <c r="W139" s="768" t="s">
        <v>491</v>
      </c>
      <c r="X139" s="768" t="s">
        <v>491</v>
      </c>
      <c r="Y139" s="768" t="s">
        <v>491</v>
      </c>
      <c r="Z139" s="768"/>
      <c r="AA139" s="768"/>
      <c r="AB139" s="768" t="s">
        <v>491</v>
      </c>
      <c r="AC139" s="768" t="s">
        <v>491</v>
      </c>
      <c r="AD139" s="768" t="s">
        <v>491</v>
      </c>
      <c r="AE139" s="768" t="s">
        <v>491</v>
      </c>
      <c r="AF139" s="768" t="s">
        <v>491</v>
      </c>
      <c r="AG139" s="768"/>
      <c r="AH139" s="510">
        <v>83</v>
      </c>
      <c r="AI139" s="511">
        <v>37</v>
      </c>
    </row>
    <row r="140" spans="1:35" ht="21.95" customHeight="1">
      <c r="A140" s="576"/>
      <c r="B140" s="858" t="s">
        <v>633</v>
      </c>
      <c r="C140" s="768"/>
      <c r="D140" s="768" t="s">
        <v>491</v>
      </c>
      <c r="E140" s="768"/>
      <c r="F140" s="768"/>
      <c r="G140" s="1038" t="s">
        <v>491</v>
      </c>
      <c r="H140" s="1038" t="s">
        <v>491</v>
      </c>
      <c r="I140" s="1038" t="s">
        <v>491</v>
      </c>
      <c r="J140" s="1038" t="s">
        <v>491</v>
      </c>
      <c r="K140" s="1038" t="s">
        <v>493</v>
      </c>
      <c r="L140" s="768"/>
      <c r="M140" s="768"/>
      <c r="N140" s="768" t="s">
        <v>491</v>
      </c>
      <c r="O140" s="768" t="s">
        <v>491</v>
      </c>
      <c r="P140" s="768" t="s">
        <v>491</v>
      </c>
      <c r="Q140" s="768" t="s">
        <v>491</v>
      </c>
      <c r="R140" s="768" t="s">
        <v>491</v>
      </c>
      <c r="S140" s="768"/>
      <c r="T140" s="768"/>
      <c r="U140" s="768" t="s">
        <v>491</v>
      </c>
      <c r="V140" s="768" t="s">
        <v>491</v>
      </c>
      <c r="W140" s="768" t="s">
        <v>491</v>
      </c>
      <c r="X140" s="768" t="s">
        <v>491</v>
      </c>
      <c r="Y140" s="768" t="s">
        <v>491</v>
      </c>
      <c r="Z140" s="768"/>
      <c r="AA140" s="768"/>
      <c r="AB140" s="768" t="s">
        <v>491</v>
      </c>
      <c r="AC140" s="768" t="s">
        <v>491</v>
      </c>
      <c r="AD140" s="768" t="s">
        <v>491</v>
      </c>
      <c r="AE140" s="768" t="s">
        <v>491</v>
      </c>
      <c r="AF140" s="768" t="s">
        <v>491</v>
      </c>
      <c r="AG140" s="768"/>
      <c r="AH140" s="924">
        <v>37</v>
      </c>
      <c r="AI140" s="925">
        <v>37</v>
      </c>
    </row>
    <row r="141" spans="1:35" ht="21.95" customHeight="1">
      <c r="A141" s="576"/>
      <c r="B141" s="858" t="s">
        <v>634</v>
      </c>
      <c r="C141" s="768"/>
      <c r="D141" s="1265" t="s">
        <v>491</v>
      </c>
      <c r="E141" s="768"/>
      <c r="F141" s="768"/>
      <c r="G141" s="768" t="s">
        <v>491</v>
      </c>
      <c r="H141" s="768" t="s">
        <v>491</v>
      </c>
      <c r="I141" s="768" t="s">
        <v>491</v>
      </c>
      <c r="J141" s="768" t="s">
        <v>491</v>
      </c>
      <c r="K141" s="768" t="s">
        <v>491</v>
      </c>
      <c r="L141" s="768"/>
      <c r="M141" s="768"/>
      <c r="N141" s="768" t="s">
        <v>491</v>
      </c>
      <c r="O141" s="768" t="s">
        <v>491</v>
      </c>
      <c r="P141" s="768" t="s">
        <v>491</v>
      </c>
      <c r="Q141" s="768" t="s">
        <v>491</v>
      </c>
      <c r="R141" s="768" t="s">
        <v>491</v>
      </c>
      <c r="S141" s="768"/>
      <c r="T141" s="768"/>
      <c r="U141" s="768" t="s">
        <v>491</v>
      </c>
      <c r="V141" s="768" t="s">
        <v>491</v>
      </c>
      <c r="W141" s="768" t="s">
        <v>491</v>
      </c>
      <c r="X141" s="768" t="s">
        <v>491</v>
      </c>
      <c r="Y141" s="768" t="s">
        <v>491</v>
      </c>
      <c r="Z141" s="768"/>
      <c r="AA141" s="768"/>
      <c r="AB141" s="768" t="s">
        <v>491</v>
      </c>
      <c r="AC141" s="768" t="s">
        <v>491</v>
      </c>
      <c r="AD141" s="768" t="s">
        <v>491</v>
      </c>
      <c r="AE141" s="768" t="s">
        <v>491</v>
      </c>
      <c r="AF141" s="768" t="s">
        <v>491</v>
      </c>
      <c r="AG141" s="768"/>
      <c r="AH141" s="924">
        <v>53</v>
      </c>
      <c r="AI141" s="925">
        <v>37</v>
      </c>
    </row>
    <row r="142" spans="1:35" ht="21.95" customHeight="1">
      <c r="A142" s="576"/>
      <c r="B142" s="859" t="s">
        <v>638</v>
      </c>
      <c r="C142" s="768" t="s">
        <v>28</v>
      </c>
      <c r="D142" s="768" t="s">
        <v>491</v>
      </c>
      <c r="E142" s="768"/>
      <c r="F142" s="768"/>
      <c r="G142" s="768" t="s">
        <v>491</v>
      </c>
      <c r="H142" s="768" t="s">
        <v>491</v>
      </c>
      <c r="I142" s="768" t="s">
        <v>491</v>
      </c>
      <c r="J142" s="768" t="s">
        <v>491</v>
      </c>
      <c r="K142" s="768" t="s">
        <v>491</v>
      </c>
      <c r="L142" s="768"/>
      <c r="M142" s="768"/>
      <c r="N142" s="768" t="s">
        <v>491</v>
      </c>
      <c r="O142" s="768" t="s">
        <v>491</v>
      </c>
      <c r="P142" s="768" t="s">
        <v>491</v>
      </c>
      <c r="Q142" s="768" t="s">
        <v>491</v>
      </c>
      <c r="R142" s="768" t="s">
        <v>491</v>
      </c>
      <c r="S142" s="768"/>
      <c r="T142" s="768"/>
      <c r="U142" s="768" t="s">
        <v>491</v>
      </c>
      <c r="V142" s="768" t="s">
        <v>491</v>
      </c>
      <c r="W142" s="768" t="s">
        <v>491</v>
      </c>
      <c r="X142" s="768" t="s">
        <v>491</v>
      </c>
      <c r="Y142" s="768" t="s">
        <v>491</v>
      </c>
      <c r="Z142" s="768"/>
      <c r="AA142" s="768"/>
      <c r="AB142" s="768" t="s">
        <v>491</v>
      </c>
      <c r="AC142" s="1038" t="s">
        <v>491</v>
      </c>
      <c r="AD142" s="768" t="s">
        <v>491</v>
      </c>
      <c r="AE142" s="768" t="s">
        <v>491</v>
      </c>
      <c r="AF142" s="768" t="s">
        <v>491</v>
      </c>
      <c r="AG142" s="768"/>
      <c r="AH142" s="924">
        <v>74</v>
      </c>
      <c r="AI142" s="925">
        <v>37</v>
      </c>
    </row>
    <row r="143" spans="1:35" ht="21.95" customHeight="1">
      <c r="A143" s="576"/>
      <c r="B143" s="994" t="s">
        <v>635</v>
      </c>
      <c r="C143" s="768"/>
      <c r="D143" s="768" t="s">
        <v>491</v>
      </c>
      <c r="E143" s="768"/>
      <c r="F143" s="768"/>
      <c r="G143" s="768" t="s">
        <v>491</v>
      </c>
      <c r="H143" s="768" t="s">
        <v>491</v>
      </c>
      <c r="I143" s="768" t="s">
        <v>491</v>
      </c>
      <c r="J143" s="768" t="s">
        <v>491</v>
      </c>
      <c r="K143" s="768" t="s">
        <v>491</v>
      </c>
      <c r="L143" s="768"/>
      <c r="M143" s="768"/>
      <c r="N143" s="768" t="s">
        <v>491</v>
      </c>
      <c r="O143" s="768" t="s">
        <v>491</v>
      </c>
      <c r="P143" s="768" t="s">
        <v>491</v>
      </c>
      <c r="Q143" s="768" t="s">
        <v>491</v>
      </c>
      <c r="R143" s="768" t="s">
        <v>491</v>
      </c>
      <c r="S143" s="768"/>
      <c r="T143" s="768"/>
      <c r="U143" s="768" t="s">
        <v>491</v>
      </c>
      <c r="V143" s="768" t="s">
        <v>491</v>
      </c>
      <c r="W143" s="768" t="s">
        <v>491</v>
      </c>
      <c r="X143" s="768" t="s">
        <v>491</v>
      </c>
      <c r="Y143" s="768" t="s">
        <v>491</v>
      </c>
      <c r="Z143" s="768"/>
      <c r="AA143" s="768"/>
      <c r="AB143" s="768" t="s">
        <v>491</v>
      </c>
      <c r="AC143" s="768" t="s">
        <v>491</v>
      </c>
      <c r="AD143" s="768" t="s">
        <v>491</v>
      </c>
      <c r="AE143" s="768" t="s">
        <v>491</v>
      </c>
      <c r="AF143" s="768" t="s">
        <v>491</v>
      </c>
      <c r="AG143" s="768"/>
      <c r="AH143" s="924">
        <v>103.5</v>
      </c>
      <c r="AI143" s="925">
        <v>37</v>
      </c>
    </row>
    <row r="144" spans="1:35" ht="21.95" customHeight="1" thickBot="1">
      <c r="A144" s="576"/>
      <c r="B144" s="889" t="s">
        <v>637</v>
      </c>
      <c r="C144" s="867"/>
      <c r="D144" s="768" t="s">
        <v>491</v>
      </c>
      <c r="E144" s="768"/>
      <c r="F144" s="768"/>
      <c r="G144" s="768" t="s">
        <v>491</v>
      </c>
      <c r="H144" s="768" t="s">
        <v>491</v>
      </c>
      <c r="I144" s="768" t="s">
        <v>491</v>
      </c>
      <c r="J144" s="768" t="s">
        <v>491</v>
      </c>
      <c r="K144" s="768" t="s">
        <v>491</v>
      </c>
      <c r="L144" s="768"/>
      <c r="M144" s="768"/>
      <c r="N144" s="768" t="s">
        <v>491</v>
      </c>
      <c r="O144" s="768" t="s">
        <v>491</v>
      </c>
      <c r="P144" s="768" t="s">
        <v>491</v>
      </c>
      <c r="Q144" s="768" t="s">
        <v>491</v>
      </c>
      <c r="R144" s="768" t="s">
        <v>491</v>
      </c>
      <c r="S144" s="768"/>
      <c r="T144" s="768"/>
      <c r="U144" s="768" t="s">
        <v>491</v>
      </c>
      <c r="V144" s="768" t="s">
        <v>491</v>
      </c>
      <c r="W144" s="768" t="s">
        <v>491</v>
      </c>
      <c r="X144" s="768" t="s">
        <v>491</v>
      </c>
      <c r="Y144" s="768" t="s">
        <v>491</v>
      </c>
      <c r="Z144" s="768"/>
      <c r="AA144" s="768"/>
      <c r="AB144" s="768" t="s">
        <v>491</v>
      </c>
      <c r="AC144" s="768" t="s">
        <v>491</v>
      </c>
      <c r="AD144" s="768" t="s">
        <v>491</v>
      </c>
      <c r="AE144" s="768" t="s">
        <v>491</v>
      </c>
      <c r="AF144" s="768" t="s">
        <v>491</v>
      </c>
      <c r="AG144" s="887"/>
      <c r="AH144" s="1270">
        <v>141</v>
      </c>
      <c r="AI144" s="1271">
        <v>37</v>
      </c>
    </row>
    <row r="145" spans="1:36" ht="21.95" customHeight="1">
      <c r="A145" s="576"/>
      <c r="B145" s="847"/>
      <c r="C145" s="555"/>
      <c r="D145" s="555"/>
      <c r="E145" s="555"/>
      <c r="F145" s="555"/>
      <c r="G145" s="555"/>
      <c r="H145" s="555"/>
      <c r="I145" s="555"/>
      <c r="J145" s="555"/>
      <c r="K145" s="555"/>
      <c r="L145" s="555"/>
      <c r="M145" s="555"/>
      <c r="N145" s="555"/>
      <c r="O145" s="555"/>
      <c r="P145" s="555"/>
      <c r="Q145" s="555"/>
      <c r="R145" s="555"/>
      <c r="S145" s="555"/>
      <c r="T145" s="555"/>
      <c r="U145" s="555"/>
      <c r="V145" s="555"/>
      <c r="W145" s="555"/>
      <c r="X145" s="555"/>
      <c r="Y145" s="555"/>
      <c r="Z145" s="555"/>
      <c r="AA145" s="555"/>
      <c r="AB145" s="555"/>
      <c r="AC145" s="555"/>
      <c r="AD145" s="555"/>
      <c r="AE145" s="555"/>
      <c r="AF145" s="555"/>
      <c r="AG145" s="555"/>
      <c r="AH145" s="556"/>
      <c r="AI145" s="556"/>
    </row>
    <row r="146" spans="1:36" ht="21.95" customHeight="1" thickBot="1">
      <c r="A146" s="805" t="s">
        <v>639</v>
      </c>
      <c r="B146" s="538"/>
      <c r="C146" s="555"/>
      <c r="D146" s="538"/>
      <c r="E146" s="538"/>
      <c r="F146" s="538"/>
      <c r="G146" s="538"/>
      <c r="H146" s="538"/>
      <c r="I146" s="555"/>
      <c r="J146" s="555"/>
      <c r="K146" s="538"/>
      <c r="L146" s="538"/>
      <c r="M146" s="538"/>
      <c r="N146" s="538"/>
      <c r="O146" s="538"/>
      <c r="P146" s="538"/>
      <c r="Q146" s="555"/>
      <c r="R146" s="538"/>
      <c r="S146" s="538"/>
      <c r="T146" s="538"/>
      <c r="U146" s="538"/>
      <c r="V146" s="538"/>
      <c r="W146" s="555"/>
      <c r="X146" s="555"/>
      <c r="Y146" s="538"/>
      <c r="Z146" s="538"/>
      <c r="AA146" s="538"/>
      <c r="AB146" s="538"/>
      <c r="AC146" s="538"/>
      <c r="AD146" s="538"/>
      <c r="AE146" s="555"/>
      <c r="AF146" s="538"/>
      <c r="AG146" s="538"/>
      <c r="AH146" s="556"/>
      <c r="AI146" s="556"/>
    </row>
    <row r="147" spans="1:36" ht="21.95" customHeight="1">
      <c r="A147" s="576"/>
      <c r="B147" s="806" t="s">
        <v>589</v>
      </c>
      <c r="C147" s="814"/>
      <c r="D147" s="807" t="s">
        <v>2</v>
      </c>
      <c r="E147" s="808"/>
      <c r="F147" s="809"/>
      <c r="G147" s="810"/>
      <c r="H147" s="807" t="s">
        <v>3</v>
      </c>
      <c r="I147" s="808"/>
      <c r="J147" s="809"/>
      <c r="K147" s="810"/>
      <c r="L147" s="807" t="s">
        <v>4</v>
      </c>
      <c r="M147" s="808"/>
      <c r="N147" s="809"/>
      <c r="O147" s="810"/>
      <c r="P147" s="807" t="s">
        <v>5</v>
      </c>
      <c r="Q147" s="808"/>
      <c r="R147" s="809"/>
      <c r="S147" s="810"/>
      <c r="T147" s="807" t="s">
        <v>6</v>
      </c>
      <c r="U147" s="808"/>
      <c r="V147" s="809"/>
      <c r="W147" s="810"/>
      <c r="X147" s="807" t="s">
        <v>7</v>
      </c>
      <c r="Y147" s="808"/>
      <c r="Z147" s="809"/>
      <c r="AA147" s="810"/>
      <c r="AB147" s="807" t="s">
        <v>8</v>
      </c>
      <c r="AC147" s="808"/>
      <c r="AD147" s="808"/>
      <c r="AE147" s="811" t="s">
        <v>10</v>
      </c>
      <c r="AF147" s="808"/>
      <c r="AG147" s="808"/>
      <c r="AH147" s="808"/>
      <c r="AI147" s="812"/>
    </row>
    <row r="148" spans="1:36" ht="21.95" customHeight="1">
      <c r="A148" s="576"/>
      <c r="B148" s="832"/>
      <c r="C148" s="815"/>
      <c r="D148" s="831"/>
      <c r="E148" s="816"/>
      <c r="F148" s="813"/>
      <c r="G148" s="815"/>
      <c r="H148" s="831"/>
      <c r="I148" s="816"/>
      <c r="J148" s="813"/>
      <c r="K148" s="815"/>
      <c r="L148" s="831"/>
      <c r="M148" s="816"/>
      <c r="N148" s="813"/>
      <c r="O148" s="815"/>
      <c r="P148" s="831"/>
      <c r="Q148" s="816"/>
      <c r="R148" s="813"/>
      <c r="S148" s="815"/>
      <c r="T148" s="831"/>
      <c r="U148" s="816"/>
      <c r="V148" s="813"/>
      <c r="W148" s="815"/>
      <c r="X148" s="816"/>
      <c r="Y148" s="816"/>
      <c r="Z148" s="813"/>
      <c r="AA148" s="815"/>
      <c r="AB148" s="816"/>
      <c r="AC148" s="816"/>
      <c r="AD148" s="816"/>
      <c r="AE148" s="815"/>
      <c r="AF148" s="816"/>
      <c r="AG148" s="816"/>
      <c r="AH148" s="818"/>
      <c r="AI148" s="819"/>
    </row>
    <row r="149" spans="1:36" ht="21.95" customHeight="1">
      <c r="A149" s="576"/>
      <c r="B149" s="833"/>
      <c r="C149" s="815"/>
      <c r="D149" s="831"/>
      <c r="E149" s="816"/>
      <c r="F149" s="813"/>
      <c r="G149" s="815"/>
      <c r="H149" s="831"/>
      <c r="I149" s="816"/>
      <c r="J149" s="813"/>
      <c r="K149" s="815"/>
      <c r="L149" s="831"/>
      <c r="M149" s="816"/>
      <c r="N149" s="813"/>
      <c r="O149" s="815"/>
      <c r="P149" s="831"/>
      <c r="Q149" s="816"/>
      <c r="R149" s="813"/>
      <c r="S149" s="815"/>
      <c r="T149" s="831"/>
      <c r="U149" s="816"/>
      <c r="V149" s="813"/>
      <c r="W149" s="815"/>
      <c r="X149" s="816"/>
      <c r="Y149" s="816"/>
      <c r="Z149" s="813"/>
      <c r="AA149" s="815"/>
      <c r="AB149" s="816"/>
      <c r="AC149" s="816"/>
      <c r="AD149" s="816"/>
      <c r="AE149" s="815"/>
      <c r="AF149" s="816"/>
      <c r="AG149" s="816"/>
      <c r="AH149" s="818"/>
      <c r="AI149" s="819"/>
    </row>
    <row r="150" spans="1:36" ht="21.95" customHeight="1">
      <c r="A150" s="576"/>
      <c r="B150" s="833"/>
      <c r="C150" s="815"/>
      <c r="D150" s="831"/>
      <c r="E150" s="816"/>
      <c r="F150" s="813"/>
      <c r="G150" s="815"/>
      <c r="H150" s="831"/>
      <c r="I150" s="816"/>
      <c r="J150" s="813"/>
      <c r="K150" s="815"/>
      <c r="L150" s="831"/>
      <c r="M150" s="816"/>
      <c r="N150" s="813"/>
      <c r="O150" s="815"/>
      <c r="P150" s="831"/>
      <c r="Q150" s="816"/>
      <c r="R150" s="813"/>
      <c r="S150" s="815"/>
      <c r="T150" s="831"/>
      <c r="U150" s="816"/>
      <c r="V150" s="813"/>
      <c r="W150" s="815"/>
      <c r="X150" s="816"/>
      <c r="Y150" s="816"/>
      <c r="Z150" s="813"/>
      <c r="AA150" s="815"/>
      <c r="AB150" s="816"/>
      <c r="AC150" s="816"/>
      <c r="AD150" s="816"/>
      <c r="AE150" s="815"/>
      <c r="AF150" s="816"/>
      <c r="AG150" s="816"/>
      <c r="AH150" s="818"/>
      <c r="AI150" s="819"/>
    </row>
    <row r="151" spans="1:36" ht="21.95" customHeight="1" thickBot="1">
      <c r="A151" s="576"/>
      <c r="B151" s="847"/>
      <c r="C151" s="555"/>
      <c r="D151" s="555"/>
      <c r="E151" s="555"/>
      <c r="F151" s="555"/>
      <c r="G151" s="555"/>
      <c r="H151" s="555"/>
      <c r="I151" s="555"/>
      <c r="J151" s="555"/>
      <c r="K151" s="555"/>
      <c r="L151" s="555"/>
      <c r="M151" s="555"/>
      <c r="N151" s="555"/>
      <c r="O151" s="555"/>
      <c r="P151" s="555"/>
      <c r="Q151" s="555"/>
      <c r="R151" s="555"/>
      <c r="S151" s="555"/>
      <c r="T151" s="555"/>
      <c r="U151" s="555"/>
      <c r="V151" s="555"/>
      <c r="W151" s="555"/>
      <c r="X151" s="555"/>
      <c r="Y151" s="555"/>
      <c r="Z151" s="555"/>
      <c r="AA151" s="555"/>
      <c r="AB151" s="555"/>
      <c r="AC151" s="555"/>
      <c r="AD151" s="555"/>
      <c r="AE151" s="555"/>
      <c r="AF151" s="555"/>
      <c r="AG151" s="555"/>
      <c r="AH151" s="556"/>
      <c r="AI151" s="556"/>
    </row>
    <row r="152" spans="1:36" ht="21.95" customHeight="1" thickBot="1">
      <c r="A152" s="785"/>
      <c r="B152" s="883" t="s">
        <v>476</v>
      </c>
      <c r="C152" s="944">
        <v>1</v>
      </c>
      <c r="D152" s="863">
        <v>2</v>
      </c>
      <c r="E152" s="880">
        <v>3</v>
      </c>
      <c r="F152" s="880">
        <v>4</v>
      </c>
      <c r="G152" s="863">
        <v>5</v>
      </c>
      <c r="H152" s="863">
        <v>6</v>
      </c>
      <c r="I152" s="863">
        <v>7</v>
      </c>
      <c r="J152" s="863">
        <v>8</v>
      </c>
      <c r="K152" s="863">
        <v>9</v>
      </c>
      <c r="L152" s="880">
        <v>10</v>
      </c>
      <c r="M152" s="880">
        <v>11</v>
      </c>
      <c r="N152" s="863">
        <v>12</v>
      </c>
      <c r="O152" s="863">
        <v>13</v>
      </c>
      <c r="P152" s="863">
        <v>14</v>
      </c>
      <c r="Q152" s="863">
        <v>15</v>
      </c>
      <c r="R152" s="863">
        <v>16</v>
      </c>
      <c r="S152" s="880">
        <v>17</v>
      </c>
      <c r="T152" s="880">
        <v>18</v>
      </c>
      <c r="U152" s="863">
        <v>19</v>
      </c>
      <c r="V152" s="863">
        <v>20</v>
      </c>
      <c r="W152" s="863">
        <v>21</v>
      </c>
      <c r="X152" s="863">
        <v>22</v>
      </c>
      <c r="Y152" s="863">
        <v>23</v>
      </c>
      <c r="Z152" s="880">
        <v>24</v>
      </c>
      <c r="AA152" s="880">
        <v>25</v>
      </c>
      <c r="AB152" s="863">
        <v>26</v>
      </c>
      <c r="AC152" s="863">
        <v>27</v>
      </c>
      <c r="AD152" s="863">
        <v>28</v>
      </c>
      <c r="AE152" s="863">
        <v>29</v>
      </c>
      <c r="AF152" s="863">
        <v>30</v>
      </c>
      <c r="AG152" s="954">
        <v>31</v>
      </c>
      <c r="AH152" s="884" t="s">
        <v>477</v>
      </c>
      <c r="AI152" s="885" t="s">
        <v>478</v>
      </c>
    </row>
    <row r="153" spans="1:36" ht="21.95" customHeight="1">
      <c r="A153" s="576"/>
      <c r="B153" s="890"/>
      <c r="C153" s="768" t="s">
        <v>28</v>
      </c>
      <c r="D153" s="768" t="s">
        <v>491</v>
      </c>
      <c r="E153" s="768"/>
      <c r="F153" s="768"/>
      <c r="G153" s="768" t="s">
        <v>491</v>
      </c>
      <c r="H153" s="768" t="s">
        <v>491</v>
      </c>
      <c r="I153" s="768" t="s">
        <v>491</v>
      </c>
      <c r="J153" s="768" t="s">
        <v>491</v>
      </c>
      <c r="K153" s="768" t="s">
        <v>491</v>
      </c>
      <c r="L153" s="768"/>
      <c r="M153" s="768"/>
      <c r="N153" s="768" t="s">
        <v>491</v>
      </c>
      <c r="O153" s="768" t="s">
        <v>491</v>
      </c>
      <c r="P153" s="768" t="s">
        <v>491</v>
      </c>
      <c r="Q153" s="768" t="s">
        <v>491</v>
      </c>
      <c r="R153" s="768" t="s">
        <v>491</v>
      </c>
      <c r="S153" s="768"/>
      <c r="T153" s="768"/>
      <c r="U153" s="768" t="s">
        <v>491</v>
      </c>
      <c r="V153" s="768" t="s">
        <v>491</v>
      </c>
      <c r="W153" s="768" t="s">
        <v>491</v>
      </c>
      <c r="X153" s="768" t="s">
        <v>491</v>
      </c>
      <c r="Y153" s="768" t="s">
        <v>491</v>
      </c>
      <c r="Z153" s="768"/>
      <c r="AA153" s="768"/>
      <c r="AB153" s="768" t="s">
        <v>491</v>
      </c>
      <c r="AC153" s="768" t="s">
        <v>491</v>
      </c>
      <c r="AD153" s="768" t="s">
        <v>491</v>
      </c>
      <c r="AE153" s="768" t="s">
        <v>491</v>
      </c>
      <c r="AF153" s="768" t="s">
        <v>491</v>
      </c>
      <c r="AG153" s="768"/>
      <c r="AH153" s="510"/>
      <c r="AI153" s="511"/>
    </row>
    <row r="154" spans="1:36" ht="21.95" customHeight="1">
      <c r="A154" s="576"/>
      <c r="B154" s="859" t="s">
        <v>742</v>
      </c>
      <c r="C154" s="768" t="s">
        <v>28</v>
      </c>
      <c r="D154" s="970" t="s">
        <v>491</v>
      </c>
      <c r="E154" s="768"/>
      <c r="F154" s="768"/>
      <c r="G154" s="768" t="s">
        <v>491</v>
      </c>
      <c r="H154" s="768" t="s">
        <v>491</v>
      </c>
      <c r="I154" s="768" t="s">
        <v>491</v>
      </c>
      <c r="J154" s="768" t="s">
        <v>491</v>
      </c>
      <c r="K154" s="768" t="s">
        <v>491</v>
      </c>
      <c r="L154" s="768"/>
      <c r="M154" s="768"/>
      <c r="N154" s="768" t="s">
        <v>491</v>
      </c>
      <c r="O154" s="768" t="s">
        <v>491</v>
      </c>
      <c r="P154" s="768" t="s">
        <v>491</v>
      </c>
      <c r="Q154" s="768" t="s">
        <v>491</v>
      </c>
      <c r="R154" s="768" t="s">
        <v>491</v>
      </c>
      <c r="S154" s="768"/>
      <c r="T154" s="768"/>
      <c r="U154" s="768" t="s">
        <v>491</v>
      </c>
      <c r="V154" s="768" t="s">
        <v>491</v>
      </c>
      <c r="W154" s="768" t="s">
        <v>491</v>
      </c>
      <c r="X154" s="768" t="s">
        <v>491</v>
      </c>
      <c r="Y154" s="768" t="s">
        <v>491</v>
      </c>
      <c r="Z154" s="768"/>
      <c r="AA154" s="768"/>
      <c r="AB154" s="768" t="s">
        <v>491</v>
      </c>
      <c r="AC154" s="768" t="s">
        <v>491</v>
      </c>
      <c r="AD154" s="768" t="s">
        <v>491</v>
      </c>
      <c r="AE154" s="768" t="s">
        <v>491</v>
      </c>
      <c r="AF154" s="768" t="s">
        <v>491</v>
      </c>
      <c r="AG154" s="768"/>
      <c r="AH154" s="924">
        <v>185</v>
      </c>
      <c r="AI154" s="925">
        <v>37</v>
      </c>
    </row>
    <row r="155" spans="1:36" ht="21.95" customHeight="1">
      <c r="A155" s="576"/>
      <c r="B155" s="821" t="s">
        <v>641</v>
      </c>
      <c r="C155" s="768" t="s">
        <v>28</v>
      </c>
      <c r="D155" s="970" t="s">
        <v>491</v>
      </c>
      <c r="E155" s="768"/>
      <c r="F155" s="768"/>
      <c r="G155" s="768" t="s">
        <v>491</v>
      </c>
      <c r="H155" s="768" t="s">
        <v>491</v>
      </c>
      <c r="I155" s="768" t="s">
        <v>491</v>
      </c>
      <c r="J155" s="768" t="s">
        <v>491</v>
      </c>
      <c r="K155" s="768" t="s">
        <v>491</v>
      </c>
      <c r="L155" s="768"/>
      <c r="M155" s="768"/>
      <c r="N155" s="987" t="s">
        <v>491</v>
      </c>
      <c r="O155" s="987" t="s">
        <v>491</v>
      </c>
      <c r="P155" s="987" t="s">
        <v>491</v>
      </c>
      <c r="Q155" s="987" t="s">
        <v>491</v>
      </c>
      <c r="R155" s="987" t="s">
        <v>491</v>
      </c>
      <c r="S155" s="987"/>
      <c r="T155" s="987"/>
      <c r="U155" s="987" t="s">
        <v>491</v>
      </c>
      <c r="V155" s="768" t="s">
        <v>491</v>
      </c>
      <c r="W155" s="768" t="s">
        <v>491</v>
      </c>
      <c r="X155" s="768" t="s">
        <v>491</v>
      </c>
      <c r="Y155" s="768" t="s">
        <v>491</v>
      </c>
      <c r="Z155" s="768"/>
      <c r="AA155" s="768"/>
      <c r="AB155" s="768" t="s">
        <v>491</v>
      </c>
      <c r="AC155" s="768" t="s">
        <v>491</v>
      </c>
      <c r="AD155" s="768" t="s">
        <v>491</v>
      </c>
      <c r="AE155" s="768" t="s">
        <v>491</v>
      </c>
      <c r="AF155" s="768" t="s">
        <v>491</v>
      </c>
      <c r="AG155" s="768"/>
      <c r="AH155" s="924">
        <v>75</v>
      </c>
      <c r="AI155" s="925">
        <v>37</v>
      </c>
    </row>
    <row r="156" spans="1:36" ht="21.95" customHeight="1">
      <c r="A156" s="576"/>
      <c r="B156" s="821" t="s">
        <v>642</v>
      </c>
      <c r="C156" s="768" t="s">
        <v>28</v>
      </c>
      <c r="D156" s="970" t="s">
        <v>491</v>
      </c>
      <c r="E156" s="768"/>
      <c r="F156" s="768"/>
      <c r="G156" s="768" t="s">
        <v>491</v>
      </c>
      <c r="H156" s="768" t="s">
        <v>491</v>
      </c>
      <c r="I156" s="768" t="s">
        <v>491</v>
      </c>
      <c r="J156" s="768" t="s">
        <v>491</v>
      </c>
      <c r="K156" s="768" t="s">
        <v>491</v>
      </c>
      <c r="L156" s="768"/>
      <c r="M156" s="768"/>
      <c r="N156" s="1038" t="s">
        <v>491</v>
      </c>
      <c r="O156" s="1038" t="s">
        <v>491</v>
      </c>
      <c r="P156" s="1038" t="s">
        <v>491</v>
      </c>
      <c r="Q156" s="1038" t="s">
        <v>491</v>
      </c>
      <c r="R156" s="1038" t="s">
        <v>491</v>
      </c>
      <c r="S156" s="1038"/>
      <c r="T156" s="1038"/>
      <c r="U156" s="1038" t="s">
        <v>491</v>
      </c>
      <c r="V156" s="1038" t="s">
        <v>491</v>
      </c>
      <c r="W156" s="1038" t="s">
        <v>491</v>
      </c>
      <c r="X156" s="1038" t="s">
        <v>491</v>
      </c>
      <c r="Y156" s="1038" t="s">
        <v>491</v>
      </c>
      <c r="Z156" s="1038"/>
      <c r="AA156" s="1038"/>
      <c r="AB156" s="1038" t="s">
        <v>491</v>
      </c>
      <c r="AC156" s="1038" t="s">
        <v>491</v>
      </c>
      <c r="AD156" s="1038" t="s">
        <v>491</v>
      </c>
      <c r="AE156" s="1038" t="s">
        <v>491</v>
      </c>
      <c r="AF156" s="1038" t="s">
        <v>491</v>
      </c>
      <c r="AG156" s="768"/>
      <c r="AH156" s="924">
        <v>73</v>
      </c>
      <c r="AI156" s="925">
        <v>37</v>
      </c>
    </row>
    <row r="157" spans="1:36" ht="21.95" customHeight="1">
      <c r="A157" s="576"/>
      <c r="B157" s="821" t="s">
        <v>643</v>
      </c>
      <c r="C157" s="768" t="s">
        <v>28</v>
      </c>
      <c r="D157" s="768" t="s">
        <v>491</v>
      </c>
      <c r="E157" s="768"/>
      <c r="F157" s="768"/>
      <c r="G157" s="768" t="s">
        <v>491</v>
      </c>
      <c r="H157" s="768" t="s">
        <v>491</v>
      </c>
      <c r="I157" s="768" t="s">
        <v>491</v>
      </c>
      <c r="J157" s="768" t="s">
        <v>491</v>
      </c>
      <c r="K157" s="768" t="s">
        <v>491</v>
      </c>
      <c r="L157" s="768"/>
      <c r="M157" s="768"/>
      <c r="N157" s="768" t="s">
        <v>491</v>
      </c>
      <c r="O157" s="768" t="s">
        <v>491</v>
      </c>
      <c r="P157" s="768" t="s">
        <v>491</v>
      </c>
      <c r="Q157" s="768" t="s">
        <v>491</v>
      </c>
      <c r="R157" s="768" t="s">
        <v>491</v>
      </c>
      <c r="S157" s="768"/>
      <c r="T157" s="768"/>
      <c r="U157" s="768" t="s">
        <v>491</v>
      </c>
      <c r="V157" s="768" t="s">
        <v>491</v>
      </c>
      <c r="W157" s="768" t="s">
        <v>491</v>
      </c>
      <c r="X157" s="768" t="s">
        <v>491</v>
      </c>
      <c r="Y157" s="768" t="s">
        <v>491</v>
      </c>
      <c r="Z157" s="768"/>
      <c r="AA157" s="768"/>
      <c r="AB157" s="768" t="s">
        <v>491</v>
      </c>
      <c r="AC157" s="1038" t="s">
        <v>491</v>
      </c>
      <c r="AD157" s="1038" t="s">
        <v>760</v>
      </c>
      <c r="AE157" s="987" t="s">
        <v>491</v>
      </c>
      <c r="AF157" s="987" t="s">
        <v>491</v>
      </c>
      <c r="AG157" s="768"/>
      <c r="AH157" s="924">
        <v>22</v>
      </c>
      <c r="AI157" s="925">
        <v>37</v>
      </c>
    </row>
    <row r="158" spans="1:36" ht="21.95" customHeight="1" thickBot="1">
      <c r="A158" s="576"/>
      <c r="B158" s="891"/>
      <c r="C158" s="867"/>
      <c r="D158" s="867"/>
      <c r="E158" s="867"/>
      <c r="F158" s="867"/>
      <c r="G158" s="867"/>
      <c r="H158" s="867"/>
      <c r="I158" s="867"/>
      <c r="J158" s="867"/>
      <c r="K158" s="867"/>
      <c r="L158" s="867"/>
      <c r="M158" s="867"/>
      <c r="N158" s="867"/>
      <c r="O158" s="867"/>
      <c r="P158" s="867"/>
      <c r="Q158" s="867"/>
      <c r="R158" s="867"/>
      <c r="S158" s="867"/>
      <c r="T158" s="867"/>
      <c r="U158" s="867"/>
      <c r="V158" s="867"/>
      <c r="W158" s="867"/>
      <c r="X158" s="867"/>
      <c r="Y158" s="867"/>
      <c r="Z158" s="867"/>
      <c r="AA158" s="867"/>
      <c r="AB158" s="867"/>
      <c r="AC158" s="867"/>
      <c r="AD158" s="867"/>
      <c r="AE158" s="867"/>
      <c r="AF158" s="867"/>
      <c r="AG158" s="887"/>
      <c r="AH158" s="868"/>
      <c r="AI158" s="869"/>
    </row>
    <row r="159" spans="1:36" ht="21.95" customHeight="1">
      <c r="A159" s="576"/>
      <c r="B159" s="847"/>
      <c r="C159" s="555"/>
      <c r="D159" s="555"/>
      <c r="E159" s="555"/>
      <c r="F159" s="555"/>
      <c r="G159" s="555"/>
      <c r="H159" s="555"/>
      <c r="I159" s="555"/>
      <c r="J159" s="555"/>
      <c r="K159" s="555"/>
      <c r="L159" s="555"/>
      <c r="M159" s="555"/>
      <c r="N159" s="555"/>
      <c r="O159" s="555"/>
      <c r="P159" s="555"/>
      <c r="Q159" s="555"/>
      <c r="R159" s="555"/>
      <c r="S159" s="555"/>
      <c r="T159" s="555"/>
      <c r="U159" s="555"/>
      <c r="V159" s="555"/>
      <c r="W159" s="555"/>
      <c r="X159" s="555"/>
      <c r="Y159" s="555"/>
      <c r="Z159" s="555"/>
      <c r="AA159" s="555"/>
      <c r="AB159" s="555"/>
      <c r="AC159" s="555"/>
      <c r="AD159" s="555"/>
      <c r="AE159" s="555"/>
      <c r="AF159" s="555"/>
      <c r="AG159" s="555"/>
      <c r="AH159" s="556"/>
      <c r="AI159" s="556"/>
    </row>
    <row r="160" spans="1:36" ht="21.95" customHeight="1">
      <c r="A160" s="312" t="s">
        <v>644</v>
      </c>
      <c r="C160" s="555"/>
      <c r="D160" s="555"/>
      <c r="E160" s="555"/>
      <c r="F160" s="555"/>
      <c r="G160" s="555"/>
      <c r="H160" s="555"/>
      <c r="I160" s="555"/>
      <c r="J160" s="555"/>
      <c r="K160" s="555"/>
      <c r="L160" s="555"/>
      <c r="M160" s="555"/>
      <c r="N160" s="555"/>
      <c r="O160" s="555"/>
      <c r="P160" s="555"/>
      <c r="Q160" s="555"/>
      <c r="R160" s="555"/>
      <c r="S160" s="555"/>
      <c r="T160" s="555"/>
      <c r="U160" s="555"/>
      <c r="V160" s="555"/>
      <c r="W160" s="555"/>
      <c r="X160" s="555"/>
      <c r="Y160" s="555"/>
      <c r="Z160" s="555"/>
      <c r="AA160" s="555"/>
      <c r="AB160" s="555"/>
      <c r="AC160" s="555"/>
      <c r="AD160" s="555"/>
      <c r="AE160" s="555"/>
      <c r="AF160" s="555"/>
      <c r="AG160" s="555"/>
      <c r="AH160" s="556"/>
      <c r="AI160" s="556"/>
      <c r="AJ160" s="361"/>
    </row>
    <row r="161" spans="1:36" ht="21.95" customHeight="1">
      <c r="A161" s="299" t="s">
        <v>475</v>
      </c>
      <c r="B161" s="299"/>
      <c r="C161" s="153"/>
      <c r="D161" s="299" t="s">
        <v>2</v>
      </c>
      <c r="E161" s="186"/>
      <c r="F161" s="153"/>
      <c r="G161" s="299" t="s">
        <v>3</v>
      </c>
      <c r="H161" s="186"/>
      <c r="I161" s="153"/>
      <c r="J161" s="299" t="s">
        <v>4</v>
      </c>
      <c r="K161" s="186"/>
      <c r="L161" s="153"/>
      <c r="M161" s="299" t="s">
        <v>5</v>
      </c>
      <c r="N161" s="186"/>
      <c r="O161" s="153"/>
      <c r="P161" s="299" t="s">
        <v>6</v>
      </c>
      <c r="Q161" s="186"/>
      <c r="R161" s="134"/>
      <c r="S161" s="199" t="s">
        <v>7</v>
      </c>
      <c r="T161" s="186"/>
      <c r="U161" s="153"/>
      <c r="V161" s="299" t="s">
        <v>8</v>
      </c>
      <c r="W161" s="186"/>
      <c r="X161" s="585" t="s">
        <v>10</v>
      </c>
      <c r="Y161" s="186"/>
      <c r="Z161" s="186"/>
      <c r="AA161" s="561"/>
      <c r="AB161" s="483"/>
      <c r="AC161" s="483"/>
      <c r="AD161" s="483"/>
      <c r="AE161" s="483"/>
      <c r="AF161" s="483"/>
      <c r="AG161" s="484"/>
      <c r="AH161" s="361"/>
      <c r="AI161" s="361"/>
      <c r="AJ161" s="361"/>
    </row>
    <row r="162" spans="1:36" ht="21.95" customHeight="1">
      <c r="A162" s="130">
        <v>8517</v>
      </c>
      <c r="B162" s="500" t="s">
        <v>645</v>
      </c>
      <c r="C162" s="584" t="s">
        <v>124</v>
      </c>
      <c r="D162" s="581"/>
      <c r="E162" s="586"/>
      <c r="F162" s="584" t="s">
        <v>124</v>
      </c>
      <c r="G162" s="587"/>
      <c r="H162" s="586"/>
      <c r="I162" s="121" t="s">
        <v>124</v>
      </c>
      <c r="J162" s="565"/>
      <c r="K162" s="588"/>
      <c r="L162" s="121" t="s">
        <v>124</v>
      </c>
      <c r="M162" s="565"/>
      <c r="N162" s="588"/>
      <c r="O162" s="121" t="s">
        <v>125</v>
      </c>
      <c r="P162" s="565"/>
      <c r="Q162" s="477"/>
      <c r="R162" s="589" t="s">
        <v>28</v>
      </c>
      <c r="S162" s="565"/>
      <c r="T162" s="588"/>
      <c r="U162" s="565" t="s">
        <v>28</v>
      </c>
      <c r="V162" s="565"/>
      <c r="W162" s="477"/>
      <c r="X162" s="145" t="s">
        <v>28</v>
      </c>
      <c r="Y162" s="361"/>
      <c r="Z162" s="361"/>
      <c r="AA162" s="361"/>
      <c r="AB162" s="361"/>
      <c r="AC162" s="361"/>
      <c r="AD162" s="361"/>
      <c r="AE162" s="361"/>
      <c r="AF162" s="361"/>
      <c r="AG162" s="590"/>
      <c r="AH162" s="361"/>
      <c r="AI162" s="361"/>
      <c r="AJ162" s="361"/>
    </row>
    <row r="163" spans="1:36" ht="21.95" customHeight="1">
      <c r="A163" s="591">
        <v>8502</v>
      </c>
      <c r="B163" s="592" t="s">
        <v>646</v>
      </c>
      <c r="C163" s="121" t="s">
        <v>11</v>
      </c>
      <c r="D163" s="565"/>
      <c r="E163" s="477"/>
      <c r="F163" s="121" t="s">
        <v>11</v>
      </c>
      <c r="G163" s="565"/>
      <c r="H163" s="588"/>
      <c r="I163" s="121" t="s">
        <v>11</v>
      </c>
      <c r="J163" s="565"/>
      <c r="K163" s="588"/>
      <c r="L163" s="121" t="s">
        <v>11</v>
      </c>
      <c r="M163" s="565"/>
      <c r="N163" s="588"/>
      <c r="O163" s="121" t="s">
        <v>12</v>
      </c>
      <c r="P163" s="565"/>
      <c r="Q163" s="477"/>
      <c r="R163" s="593"/>
      <c r="S163" s="594"/>
      <c r="T163" s="588"/>
      <c r="U163" s="565"/>
      <c r="V163" s="565"/>
      <c r="W163" s="477"/>
      <c r="X163" s="476"/>
      <c r="Y163" s="483"/>
      <c r="Z163" s="483"/>
      <c r="AA163" s="483"/>
      <c r="AB163" s="483"/>
      <c r="AC163" s="483"/>
      <c r="AD163" s="483"/>
      <c r="AE163" s="483"/>
      <c r="AF163" s="483"/>
      <c r="AG163" s="484"/>
      <c r="AH163" s="361"/>
      <c r="AI163" s="361"/>
      <c r="AJ163" s="361"/>
    </row>
    <row r="164" spans="1:36" ht="21.95" customHeight="1" thickBot="1">
      <c r="A164" s="274"/>
      <c r="B164" s="516"/>
      <c r="C164" s="354"/>
      <c r="D164" s="354"/>
      <c r="E164" s="73"/>
      <c r="F164" s="354"/>
      <c r="G164" s="354"/>
      <c r="H164" s="73"/>
      <c r="I164" s="354"/>
      <c r="J164" s="354"/>
      <c r="K164" s="73"/>
      <c r="L164" s="354"/>
      <c r="M164" s="354"/>
      <c r="N164" s="73"/>
      <c r="O164" s="354"/>
      <c r="P164" s="354"/>
      <c r="Q164" s="73"/>
      <c r="R164" s="168"/>
      <c r="S164" s="354"/>
      <c r="T164" s="73"/>
      <c r="U164" s="354"/>
      <c r="V164" s="354"/>
      <c r="W164" s="73"/>
      <c r="X164" s="73"/>
      <c r="Y164" s="361"/>
      <c r="Z164" s="361"/>
      <c r="AA164" s="361"/>
      <c r="AB164" s="361"/>
      <c r="AC164" s="361"/>
      <c r="AD164" s="361"/>
      <c r="AE164" s="361"/>
      <c r="AF164" s="361"/>
      <c r="AG164" s="361"/>
      <c r="AH164" s="361"/>
      <c r="AI164" s="361"/>
    </row>
    <row r="165" spans="1:36" ht="21.95" customHeight="1" thickBot="1">
      <c r="A165" s="595"/>
      <c r="B165" s="862" t="s">
        <v>476</v>
      </c>
      <c r="C165" s="880">
        <v>1</v>
      </c>
      <c r="D165" s="863">
        <v>2</v>
      </c>
      <c r="E165" s="880">
        <v>3</v>
      </c>
      <c r="F165" s="880">
        <v>4</v>
      </c>
      <c r="G165" s="863">
        <v>5</v>
      </c>
      <c r="H165" s="863">
        <v>6</v>
      </c>
      <c r="I165" s="863">
        <v>7</v>
      </c>
      <c r="J165" s="863">
        <v>8</v>
      </c>
      <c r="K165" s="863">
        <v>9</v>
      </c>
      <c r="L165" s="880">
        <v>10</v>
      </c>
      <c r="M165" s="880">
        <v>11</v>
      </c>
      <c r="N165" s="863">
        <v>12</v>
      </c>
      <c r="O165" s="863">
        <v>13</v>
      </c>
      <c r="P165" s="863">
        <v>14</v>
      </c>
      <c r="Q165" s="863">
        <v>15</v>
      </c>
      <c r="R165" s="863">
        <v>16</v>
      </c>
      <c r="S165" s="880">
        <v>17</v>
      </c>
      <c r="T165" s="880">
        <v>18</v>
      </c>
      <c r="U165" s="863">
        <v>19</v>
      </c>
      <c r="V165" s="863">
        <v>20</v>
      </c>
      <c r="W165" s="863">
        <v>21</v>
      </c>
      <c r="X165" s="863">
        <v>22</v>
      </c>
      <c r="Y165" s="863">
        <v>23</v>
      </c>
      <c r="Z165" s="880">
        <v>24</v>
      </c>
      <c r="AA165" s="880">
        <v>25</v>
      </c>
      <c r="AB165" s="863">
        <v>26</v>
      </c>
      <c r="AC165" s="863">
        <v>27</v>
      </c>
      <c r="AD165" s="863">
        <v>28</v>
      </c>
      <c r="AE165" s="863">
        <v>29</v>
      </c>
      <c r="AF165" s="863">
        <v>30</v>
      </c>
      <c r="AG165" s="949">
        <v>31</v>
      </c>
      <c r="AH165" s="864" t="s">
        <v>477</v>
      </c>
      <c r="AI165" s="865" t="s">
        <v>478</v>
      </c>
    </row>
    <row r="166" spans="1:36" ht="21.95" customHeight="1">
      <c r="A166" s="596">
        <v>1</v>
      </c>
      <c r="B166" s="542" t="s">
        <v>516</v>
      </c>
      <c r="C166" s="768" t="s">
        <v>28</v>
      </c>
      <c r="D166" s="768" t="s">
        <v>485</v>
      </c>
      <c r="E166" s="768"/>
      <c r="F166" s="768"/>
      <c r="G166" s="768" t="s">
        <v>485</v>
      </c>
      <c r="H166" s="768" t="s">
        <v>485</v>
      </c>
      <c r="I166" s="768" t="s">
        <v>485</v>
      </c>
      <c r="J166" s="768" t="s">
        <v>485</v>
      </c>
      <c r="K166" s="768" t="s">
        <v>485</v>
      </c>
      <c r="L166" s="768"/>
      <c r="M166" s="768"/>
      <c r="N166" s="768" t="s">
        <v>485</v>
      </c>
      <c r="O166" s="768" t="s">
        <v>485</v>
      </c>
      <c r="P166" s="768" t="s">
        <v>485</v>
      </c>
      <c r="Q166" s="768" t="s">
        <v>485</v>
      </c>
      <c r="R166" s="768" t="s">
        <v>485</v>
      </c>
      <c r="S166" s="768"/>
      <c r="T166" s="768"/>
      <c r="U166" s="768" t="s">
        <v>485</v>
      </c>
      <c r="V166" s="768" t="s">
        <v>485</v>
      </c>
      <c r="W166" s="768" t="s">
        <v>485</v>
      </c>
      <c r="X166" s="768" t="s">
        <v>485</v>
      </c>
      <c r="Y166" s="768" t="s">
        <v>485</v>
      </c>
      <c r="Z166" s="768"/>
      <c r="AA166" s="768"/>
      <c r="AB166" s="768" t="s">
        <v>485</v>
      </c>
      <c r="AC166" s="768" t="s">
        <v>485</v>
      </c>
      <c r="AD166" s="768" t="s">
        <v>485</v>
      </c>
      <c r="AE166" s="768" t="s">
        <v>485</v>
      </c>
      <c r="AF166" s="768" t="s">
        <v>485</v>
      </c>
      <c r="AG166" s="768"/>
      <c r="AH166" s="892">
        <v>185</v>
      </c>
      <c r="AI166" s="893">
        <v>37</v>
      </c>
    </row>
    <row r="167" spans="1:36" ht="21.95" customHeight="1">
      <c r="A167" s="596">
        <v>2</v>
      </c>
      <c r="B167" s="153" t="s">
        <v>648</v>
      </c>
      <c r="C167" s="768" t="s">
        <v>28</v>
      </c>
      <c r="D167" s="768" t="s">
        <v>583</v>
      </c>
      <c r="E167" s="768"/>
      <c r="F167" s="768"/>
      <c r="G167" s="977" t="s">
        <v>485</v>
      </c>
      <c r="H167" s="977" t="s">
        <v>485</v>
      </c>
      <c r="I167" s="977" t="s">
        <v>485</v>
      </c>
      <c r="J167" s="977" t="s">
        <v>485</v>
      </c>
      <c r="K167" s="977" t="s">
        <v>485</v>
      </c>
      <c r="L167" s="768"/>
      <c r="M167" s="768"/>
      <c r="N167" s="970" t="s">
        <v>491</v>
      </c>
      <c r="O167" s="970" t="s">
        <v>491</v>
      </c>
      <c r="P167" s="970" t="s">
        <v>491</v>
      </c>
      <c r="Q167" s="970" t="s">
        <v>491</v>
      </c>
      <c r="R167" s="970" t="s">
        <v>491</v>
      </c>
      <c r="S167" s="970"/>
      <c r="T167" s="970"/>
      <c r="U167" s="970" t="s">
        <v>491</v>
      </c>
      <c r="V167" s="970" t="s">
        <v>491</v>
      </c>
      <c r="W167" s="970" t="s">
        <v>491</v>
      </c>
      <c r="X167" s="970" t="s">
        <v>491</v>
      </c>
      <c r="Y167" s="970" t="s">
        <v>491</v>
      </c>
      <c r="Z167" s="970"/>
      <c r="AA167" s="970"/>
      <c r="AB167" s="764" t="s">
        <v>583</v>
      </c>
      <c r="AC167" s="764" t="s">
        <v>583</v>
      </c>
      <c r="AD167" s="764" t="s">
        <v>583</v>
      </c>
      <c r="AE167" s="764" t="s">
        <v>583</v>
      </c>
      <c r="AF167" s="764" t="s">
        <v>583</v>
      </c>
      <c r="AG167" s="764" t="s">
        <v>583</v>
      </c>
      <c r="AH167" s="822">
        <v>0</v>
      </c>
      <c r="AI167" s="823">
        <v>37</v>
      </c>
    </row>
    <row r="168" spans="1:36" ht="21.95" customHeight="1">
      <c r="A168" s="596">
        <v>3</v>
      </c>
      <c r="B168" s="153"/>
      <c r="C168" s="768" t="s">
        <v>28</v>
      </c>
      <c r="D168" s="768"/>
      <c r="E168" s="768"/>
      <c r="F168" s="768"/>
      <c r="G168" s="768"/>
      <c r="H168" s="768"/>
      <c r="I168" s="768"/>
      <c r="J168" s="768"/>
      <c r="K168" s="768"/>
      <c r="L168" s="768"/>
      <c r="M168" s="768"/>
      <c r="N168" s="768"/>
      <c r="O168" s="768"/>
      <c r="P168" s="768"/>
      <c r="Q168" s="768"/>
      <c r="R168" s="768"/>
      <c r="S168" s="768"/>
      <c r="T168" s="768"/>
      <c r="U168" s="768"/>
      <c r="V168" s="768"/>
      <c r="W168" s="768"/>
      <c r="X168" s="768"/>
      <c r="Y168" s="768"/>
      <c r="Z168" s="768"/>
      <c r="AA168" s="768"/>
      <c r="AB168" s="768"/>
      <c r="AC168" s="768"/>
      <c r="AD168" s="768"/>
      <c r="AE168" s="768"/>
      <c r="AF168" s="768"/>
      <c r="AG168" s="768"/>
      <c r="AH168" s="822"/>
      <c r="AI168" s="823"/>
    </row>
    <row r="169" spans="1:36" ht="21.95" customHeight="1">
      <c r="A169" s="596">
        <v>4</v>
      </c>
      <c r="B169" s="601" t="s">
        <v>651</v>
      </c>
      <c r="C169" s="768" t="s">
        <v>28</v>
      </c>
      <c r="D169" s="977" t="s">
        <v>491</v>
      </c>
      <c r="E169" s="768"/>
      <c r="F169" s="768"/>
      <c r="G169" s="768" t="s">
        <v>491</v>
      </c>
      <c r="H169" s="768" t="s">
        <v>491</v>
      </c>
      <c r="I169" s="768" t="s">
        <v>491</v>
      </c>
      <c r="J169" s="768" t="s">
        <v>491</v>
      </c>
      <c r="K169" s="768" t="s">
        <v>491</v>
      </c>
      <c r="L169" s="768"/>
      <c r="M169" s="768"/>
      <c r="N169" s="768" t="s">
        <v>491</v>
      </c>
      <c r="O169" s="768" t="s">
        <v>491</v>
      </c>
      <c r="P169" s="768" t="s">
        <v>491</v>
      </c>
      <c r="Q169" s="768" t="s">
        <v>491</v>
      </c>
      <c r="R169" s="768" t="s">
        <v>491</v>
      </c>
      <c r="S169" s="768"/>
      <c r="T169" s="768"/>
      <c r="U169" s="768" t="s">
        <v>491</v>
      </c>
      <c r="V169" s="768" t="s">
        <v>491</v>
      </c>
      <c r="W169" s="768" t="s">
        <v>491</v>
      </c>
      <c r="X169" s="768" t="s">
        <v>491</v>
      </c>
      <c r="Y169" s="768" t="s">
        <v>491</v>
      </c>
      <c r="Z169" s="768"/>
      <c r="AA169" s="768"/>
      <c r="AB169" s="970" t="s">
        <v>491</v>
      </c>
      <c r="AC169" s="970" t="s">
        <v>491</v>
      </c>
      <c r="AD169" s="970" t="s">
        <v>491</v>
      </c>
      <c r="AE169" s="970" t="s">
        <v>491</v>
      </c>
      <c r="AF169" s="970" t="s">
        <v>491</v>
      </c>
      <c r="AG169" s="970"/>
      <c r="AH169" s="822">
        <v>0</v>
      </c>
      <c r="AI169" s="823">
        <v>37</v>
      </c>
    </row>
    <row r="170" spans="1:36" ht="21.95" customHeight="1">
      <c r="A170" s="596">
        <v>5</v>
      </c>
      <c r="B170" s="319" t="s">
        <v>654</v>
      </c>
      <c r="C170" s="768" t="s">
        <v>28</v>
      </c>
      <c r="D170" s="977" t="s">
        <v>491</v>
      </c>
      <c r="E170" s="768"/>
      <c r="F170" s="768"/>
      <c r="G170" s="764" t="s">
        <v>583</v>
      </c>
      <c r="H170" s="764" t="s">
        <v>583</v>
      </c>
      <c r="I170" s="764" t="s">
        <v>583</v>
      </c>
      <c r="J170" s="764" t="s">
        <v>583</v>
      </c>
      <c r="K170" s="764" t="s">
        <v>583</v>
      </c>
      <c r="L170" s="764" t="s">
        <v>583</v>
      </c>
      <c r="M170" s="768"/>
      <c r="N170" s="768">
        <v>5</v>
      </c>
      <c r="O170" s="768">
        <v>5</v>
      </c>
      <c r="P170" s="768">
        <v>5</v>
      </c>
      <c r="Q170" s="768">
        <v>5</v>
      </c>
      <c r="R170" s="768">
        <v>5</v>
      </c>
      <c r="S170" s="768"/>
      <c r="T170" s="768"/>
      <c r="U170" s="764" t="s">
        <v>585</v>
      </c>
      <c r="V170" s="764">
        <v>1</v>
      </c>
      <c r="W170" s="764">
        <v>1</v>
      </c>
      <c r="X170" s="764">
        <v>1</v>
      </c>
      <c r="Y170" s="1279">
        <v>1</v>
      </c>
      <c r="Z170" s="1131"/>
      <c r="AA170" s="768"/>
      <c r="AB170" s="768" t="s">
        <v>652</v>
      </c>
      <c r="AC170" s="768" t="s">
        <v>652</v>
      </c>
      <c r="AD170" s="768" t="s">
        <v>652</v>
      </c>
      <c r="AE170" s="768" t="s">
        <v>652</v>
      </c>
      <c r="AF170" s="768" t="s">
        <v>652</v>
      </c>
      <c r="AG170" s="768" t="s">
        <v>515</v>
      </c>
      <c r="AH170" s="824">
        <v>74</v>
      </c>
      <c r="AI170" s="825">
        <v>37</v>
      </c>
    </row>
    <row r="171" spans="1:36" ht="21.95" customHeight="1">
      <c r="A171" s="596">
        <v>6</v>
      </c>
      <c r="B171" s="153" t="s">
        <v>655</v>
      </c>
      <c r="C171" s="768" t="s">
        <v>28</v>
      </c>
      <c r="D171" s="987" t="s">
        <v>799</v>
      </c>
      <c r="E171" s="768"/>
      <c r="F171" s="768"/>
      <c r="G171" s="768" t="s">
        <v>553</v>
      </c>
      <c r="H171" s="768" t="s">
        <v>553</v>
      </c>
      <c r="I171" s="768" t="s">
        <v>485</v>
      </c>
      <c r="J171" s="768" t="s">
        <v>485</v>
      </c>
      <c r="K171" s="768" t="s">
        <v>485</v>
      </c>
      <c r="L171" s="768"/>
      <c r="M171" s="768"/>
      <c r="N171" s="768" t="s">
        <v>485</v>
      </c>
      <c r="O171" s="768" t="s">
        <v>485</v>
      </c>
      <c r="P171" s="768" t="s">
        <v>485</v>
      </c>
      <c r="Q171" s="768" t="s">
        <v>485</v>
      </c>
      <c r="R171" s="768" t="s">
        <v>554</v>
      </c>
      <c r="S171" s="768"/>
      <c r="T171" s="768"/>
      <c r="U171" s="768">
        <v>3</v>
      </c>
      <c r="V171" s="768">
        <v>3</v>
      </c>
      <c r="W171" s="768">
        <v>3</v>
      </c>
      <c r="X171" s="768">
        <v>3</v>
      </c>
      <c r="Y171" s="768">
        <v>3</v>
      </c>
      <c r="Z171" s="768"/>
      <c r="AA171" s="768"/>
      <c r="AB171" s="970" t="s">
        <v>491</v>
      </c>
      <c r="AC171" s="970" t="s">
        <v>491</v>
      </c>
      <c r="AD171" s="970" t="s">
        <v>491</v>
      </c>
      <c r="AE171" s="970" t="s">
        <v>491</v>
      </c>
      <c r="AF171" s="970" t="s">
        <v>491</v>
      </c>
      <c r="AG171" s="970"/>
      <c r="AH171" s="826">
        <v>37</v>
      </c>
      <c r="AI171" s="827">
        <v>37</v>
      </c>
    </row>
    <row r="172" spans="1:36" ht="21.95" customHeight="1">
      <c r="A172" s="596">
        <v>7</v>
      </c>
      <c r="B172" s="793" t="s">
        <v>656</v>
      </c>
      <c r="C172" s="768" t="s">
        <v>28</v>
      </c>
      <c r="D172" s="977" t="s">
        <v>485</v>
      </c>
      <c r="E172" s="768"/>
      <c r="F172" s="768"/>
      <c r="G172" s="768" t="s">
        <v>491</v>
      </c>
      <c r="H172" s="1038" t="s">
        <v>491</v>
      </c>
      <c r="I172" s="1038" t="s">
        <v>491</v>
      </c>
      <c r="J172" s="1038" t="s">
        <v>491</v>
      </c>
      <c r="K172" s="1038" t="s">
        <v>714</v>
      </c>
      <c r="L172" s="768"/>
      <c r="M172" s="768"/>
      <c r="N172" s="768" t="s">
        <v>491</v>
      </c>
      <c r="O172" s="768" t="s">
        <v>491</v>
      </c>
      <c r="P172" s="768" t="s">
        <v>491</v>
      </c>
      <c r="Q172" s="768" t="s">
        <v>491</v>
      </c>
      <c r="R172" s="768" t="s">
        <v>491</v>
      </c>
      <c r="S172" s="768"/>
      <c r="T172" s="768"/>
      <c r="U172" s="768">
        <v>5</v>
      </c>
      <c r="V172" s="768">
        <v>5</v>
      </c>
      <c r="W172" s="768">
        <v>5</v>
      </c>
      <c r="X172" s="768">
        <v>5</v>
      </c>
      <c r="Y172" s="768">
        <v>5</v>
      </c>
      <c r="Z172" s="768" t="s">
        <v>519</v>
      </c>
      <c r="AA172" s="768" t="s">
        <v>519</v>
      </c>
      <c r="AB172" s="768" t="s">
        <v>481</v>
      </c>
      <c r="AC172" s="768" t="s">
        <v>481</v>
      </c>
      <c r="AD172" s="768" t="s">
        <v>481</v>
      </c>
      <c r="AE172" s="768" t="s">
        <v>481</v>
      </c>
      <c r="AF172" s="768" t="s">
        <v>481</v>
      </c>
      <c r="AG172" s="768"/>
      <c r="AH172" s="826">
        <v>148</v>
      </c>
      <c r="AI172" s="827">
        <v>37</v>
      </c>
    </row>
    <row r="173" spans="1:36" ht="21.95" customHeight="1" thickBot="1">
      <c r="A173" s="596">
        <v>8</v>
      </c>
      <c r="B173" s="878" t="s">
        <v>575</v>
      </c>
      <c r="C173" s="768">
        <v>3</v>
      </c>
      <c r="D173" s="768">
        <v>3</v>
      </c>
      <c r="E173" s="768"/>
      <c r="F173" s="768"/>
      <c r="G173" s="972">
        <v>11</v>
      </c>
      <c r="H173" s="972">
        <v>11</v>
      </c>
      <c r="I173" s="972">
        <v>11</v>
      </c>
      <c r="J173" s="972">
        <v>11</v>
      </c>
      <c r="K173" s="972">
        <v>11</v>
      </c>
      <c r="L173" s="972" t="s">
        <v>517</v>
      </c>
      <c r="M173" s="972" t="s">
        <v>517</v>
      </c>
      <c r="N173" s="764" t="s">
        <v>481</v>
      </c>
      <c r="O173" s="764" t="s">
        <v>481</v>
      </c>
      <c r="P173" s="764" t="s">
        <v>481</v>
      </c>
      <c r="Q173" s="764" t="s">
        <v>481</v>
      </c>
      <c r="R173" s="767" t="s">
        <v>481</v>
      </c>
      <c r="S173" s="764"/>
      <c r="T173" s="764"/>
      <c r="U173" s="1000">
        <v>8</v>
      </c>
      <c r="V173" s="1000" t="s">
        <v>766</v>
      </c>
      <c r="W173" s="764">
        <v>8</v>
      </c>
      <c r="X173" s="764">
        <v>8</v>
      </c>
      <c r="Y173" s="764">
        <v>8</v>
      </c>
      <c r="Z173" s="764" t="s">
        <v>513</v>
      </c>
      <c r="AA173" s="764" t="s">
        <v>513</v>
      </c>
      <c r="AB173" s="764" t="s">
        <v>481</v>
      </c>
      <c r="AC173" s="764" t="s">
        <v>481</v>
      </c>
      <c r="AD173" s="764" t="s">
        <v>481</v>
      </c>
      <c r="AE173" s="764" t="s">
        <v>481</v>
      </c>
      <c r="AF173" s="764" t="s">
        <v>481</v>
      </c>
      <c r="AG173" s="769"/>
      <c r="AH173" s="826">
        <v>62</v>
      </c>
      <c r="AI173" s="827">
        <v>37</v>
      </c>
    </row>
    <row r="174" spans="1:36" ht="21.95" customHeight="1" thickBot="1">
      <c r="A174" s="596">
        <v>9</v>
      </c>
      <c r="B174" s="878"/>
      <c r="C174" s="987"/>
      <c r="D174" s="987"/>
      <c r="E174" s="987"/>
      <c r="F174" s="987"/>
      <c r="G174" s="987"/>
      <c r="H174" s="987"/>
      <c r="I174" s="987"/>
      <c r="J174" s="987"/>
      <c r="K174" s="987"/>
      <c r="L174" s="987"/>
      <c r="M174" s="987"/>
      <c r="N174" s="768"/>
      <c r="O174" s="768"/>
      <c r="P174" s="768"/>
      <c r="Q174" s="768"/>
      <c r="R174" s="768"/>
      <c r="S174" s="768"/>
      <c r="T174" s="768"/>
      <c r="U174" s="768"/>
      <c r="V174" s="768"/>
      <c r="W174" s="768"/>
      <c r="X174" s="768"/>
      <c r="Y174" s="768"/>
      <c r="Z174" s="768"/>
      <c r="AA174" s="768"/>
      <c r="AB174" s="768"/>
      <c r="AC174" s="768"/>
      <c r="AD174" s="768"/>
      <c r="AE174" s="768"/>
      <c r="AF174" s="768"/>
      <c r="AG174" s="769"/>
      <c r="AH174" s="826">
        <v>185</v>
      </c>
      <c r="AI174" s="827">
        <v>37</v>
      </c>
    </row>
    <row r="175" spans="1:36" ht="21.95" customHeight="1">
      <c r="A175" s="596">
        <v>10</v>
      </c>
      <c r="B175" s="153"/>
      <c r="C175" s="766"/>
      <c r="D175" s="766"/>
      <c r="E175" s="766"/>
      <c r="F175" s="766"/>
      <c r="G175" s="766"/>
      <c r="H175" s="766"/>
      <c r="I175" s="766"/>
      <c r="J175" s="766"/>
      <c r="K175" s="766"/>
      <c r="L175" s="766"/>
      <c r="M175" s="766"/>
      <c r="N175" s="766"/>
      <c r="O175" s="766"/>
      <c r="P175" s="766"/>
      <c r="Q175" s="766"/>
      <c r="R175" s="766"/>
      <c r="S175" s="766"/>
      <c r="T175" s="766"/>
      <c r="U175" s="766"/>
      <c r="V175" s="766"/>
      <c r="W175" s="768"/>
      <c r="X175" s="766"/>
      <c r="Y175" s="766"/>
      <c r="Z175" s="766"/>
      <c r="AA175" s="766"/>
      <c r="AB175" s="766"/>
      <c r="AC175" s="766"/>
      <c r="AD175" s="766"/>
      <c r="AE175" s="766"/>
      <c r="AF175" s="766"/>
      <c r="AG175" s="783"/>
      <c r="AH175" s="826">
        <v>185</v>
      </c>
      <c r="AI175" s="827">
        <v>37</v>
      </c>
    </row>
    <row r="176" spans="1:36" ht="21.95" customHeight="1">
      <c r="A176" s="596">
        <v>11</v>
      </c>
      <c r="B176" s="153"/>
      <c r="C176" s="766"/>
      <c r="D176" s="766"/>
      <c r="E176" s="766"/>
      <c r="F176" s="766"/>
      <c r="G176" s="766"/>
      <c r="H176" s="766"/>
      <c r="I176" s="766"/>
      <c r="J176" s="766"/>
      <c r="K176" s="766"/>
      <c r="L176" s="766"/>
      <c r="M176" s="766"/>
      <c r="N176" s="766"/>
      <c r="O176" s="766"/>
      <c r="P176" s="766"/>
      <c r="Q176" s="766"/>
      <c r="R176" s="766"/>
      <c r="S176" s="766"/>
      <c r="T176" s="766"/>
      <c r="U176" s="766"/>
      <c r="V176" s="766"/>
      <c r="W176" s="768"/>
      <c r="X176" s="766"/>
      <c r="Y176" s="766"/>
      <c r="Z176" s="766"/>
      <c r="AA176" s="766"/>
      <c r="AB176" s="766"/>
      <c r="AC176" s="766"/>
      <c r="AD176" s="766"/>
      <c r="AE176" s="766"/>
      <c r="AF176" s="766"/>
      <c r="AG176" s="783"/>
      <c r="AH176" s="826">
        <v>185</v>
      </c>
      <c r="AI176" s="827">
        <v>37</v>
      </c>
    </row>
    <row r="177" spans="1:35" ht="21.95" customHeight="1" thickBot="1">
      <c r="A177" s="894">
        <v>12</v>
      </c>
      <c r="B177" s="895"/>
      <c r="C177" s="863"/>
      <c r="D177" s="863"/>
      <c r="E177" s="863"/>
      <c r="F177" s="863"/>
      <c r="G177" s="863"/>
      <c r="H177" s="863"/>
      <c r="I177" s="863"/>
      <c r="J177" s="863"/>
      <c r="K177" s="863"/>
      <c r="L177" s="863"/>
      <c r="M177" s="863"/>
      <c r="N177" s="863"/>
      <c r="O177" s="863"/>
      <c r="P177" s="863"/>
      <c r="Q177" s="863"/>
      <c r="R177" s="863"/>
      <c r="S177" s="863"/>
      <c r="T177" s="863"/>
      <c r="U177" s="863"/>
      <c r="V177" s="863"/>
      <c r="W177" s="867"/>
      <c r="X177" s="863"/>
      <c r="Y177" s="863"/>
      <c r="Z177" s="863"/>
      <c r="AA177" s="863"/>
      <c r="AB177" s="863"/>
      <c r="AC177" s="863"/>
      <c r="AD177" s="863"/>
      <c r="AE177" s="863"/>
      <c r="AF177" s="863"/>
      <c r="AG177" s="896"/>
      <c r="AH177" s="828">
        <v>185</v>
      </c>
      <c r="AI177" s="829">
        <v>37</v>
      </c>
    </row>
    <row r="178" spans="1:35" ht="21" customHeight="1">
      <c r="A178" s="312" t="s">
        <v>659</v>
      </c>
    </row>
    <row r="179" spans="1:35" ht="21" customHeight="1" thickBot="1">
      <c r="A179" s="861"/>
      <c r="B179" s="862" t="s">
        <v>476</v>
      </c>
      <c r="C179" s="880">
        <v>1</v>
      </c>
      <c r="D179" s="863">
        <v>2</v>
      </c>
      <c r="E179" s="880">
        <v>3</v>
      </c>
      <c r="F179" s="880">
        <v>4</v>
      </c>
      <c r="G179" s="863">
        <v>5</v>
      </c>
      <c r="H179" s="863">
        <v>6</v>
      </c>
      <c r="I179" s="863">
        <v>7</v>
      </c>
      <c r="J179" s="863">
        <v>8</v>
      </c>
      <c r="K179" s="863">
        <v>9</v>
      </c>
      <c r="L179" s="880">
        <v>10</v>
      </c>
      <c r="M179" s="880">
        <v>11</v>
      </c>
      <c r="N179" s="863">
        <v>12</v>
      </c>
      <c r="O179" s="863">
        <v>13</v>
      </c>
      <c r="P179" s="863">
        <v>14</v>
      </c>
      <c r="Q179" s="863">
        <v>15</v>
      </c>
      <c r="R179" s="863">
        <v>16</v>
      </c>
      <c r="S179" s="880">
        <v>17</v>
      </c>
      <c r="T179" s="880">
        <v>18</v>
      </c>
      <c r="U179" s="863">
        <v>19</v>
      </c>
      <c r="V179" s="863">
        <v>20</v>
      </c>
      <c r="W179" s="863">
        <v>21</v>
      </c>
      <c r="X179" s="863">
        <v>22</v>
      </c>
      <c r="Y179" s="863">
        <v>23</v>
      </c>
      <c r="Z179" s="880">
        <v>24</v>
      </c>
      <c r="AA179" s="880">
        <v>25</v>
      </c>
      <c r="AB179" s="863">
        <v>26</v>
      </c>
      <c r="AC179" s="863">
        <v>27</v>
      </c>
      <c r="AD179" s="863">
        <v>28</v>
      </c>
      <c r="AE179" s="863">
        <v>29</v>
      </c>
      <c r="AF179" s="863">
        <v>30</v>
      </c>
      <c r="AG179" s="880">
        <v>31</v>
      </c>
      <c r="AH179" s="600"/>
    </row>
    <row r="180" spans="1:35" ht="21" customHeight="1">
      <c r="A180" s="897">
        <v>1</v>
      </c>
      <c r="B180" s="601" t="s">
        <v>660</v>
      </c>
      <c r="C180" s="898"/>
      <c r="D180" s="898" t="s">
        <v>485</v>
      </c>
      <c r="E180" s="898"/>
      <c r="F180" s="898"/>
      <c r="G180" s="898">
        <v>11</v>
      </c>
      <c r="H180" s="898">
        <v>11</v>
      </c>
      <c r="I180" s="898">
        <v>11</v>
      </c>
      <c r="J180" s="898">
        <v>11</v>
      </c>
      <c r="K180" s="898">
        <v>11</v>
      </c>
      <c r="L180" s="898" t="s">
        <v>517</v>
      </c>
      <c r="M180" s="898" t="s">
        <v>517</v>
      </c>
      <c r="N180" s="898" t="s">
        <v>481</v>
      </c>
      <c r="O180" s="898" t="s">
        <v>481</v>
      </c>
      <c r="P180" s="898" t="s">
        <v>481</v>
      </c>
      <c r="Q180" s="898" t="s">
        <v>481</v>
      </c>
      <c r="R180" s="898" t="s">
        <v>481</v>
      </c>
      <c r="S180" s="898"/>
      <c r="T180" s="898"/>
      <c r="U180" s="898">
        <v>8</v>
      </c>
      <c r="V180" s="898">
        <v>10</v>
      </c>
      <c r="W180" s="898">
        <v>10</v>
      </c>
      <c r="X180" s="898">
        <v>10</v>
      </c>
      <c r="Y180" s="898">
        <v>10</v>
      </c>
      <c r="Z180" s="898" t="s">
        <v>514</v>
      </c>
      <c r="AA180" s="898" t="s">
        <v>514</v>
      </c>
      <c r="AB180" s="898" t="s">
        <v>481</v>
      </c>
      <c r="AC180" s="898">
        <v>3</v>
      </c>
      <c r="AD180" s="898" t="s">
        <v>481</v>
      </c>
      <c r="AE180" s="898" t="s">
        <v>481</v>
      </c>
      <c r="AF180" s="898" t="s">
        <v>481</v>
      </c>
      <c r="AG180" s="898"/>
      <c r="AH180" s="600"/>
    </row>
    <row r="181" spans="1:35" ht="21" customHeight="1">
      <c r="A181" s="552">
        <v>2</v>
      </c>
      <c r="B181" s="1153" t="s">
        <v>661</v>
      </c>
      <c r="C181" s="766">
        <v>1</v>
      </c>
      <c r="D181" s="766">
        <v>1</v>
      </c>
      <c r="E181" s="766"/>
      <c r="F181" s="766"/>
      <c r="G181" s="766" t="s">
        <v>481</v>
      </c>
      <c r="H181" s="766" t="s">
        <v>481</v>
      </c>
      <c r="I181" s="766" t="s">
        <v>481</v>
      </c>
      <c r="J181" s="1147" t="s">
        <v>540</v>
      </c>
      <c r="K181" s="1147" t="s">
        <v>540</v>
      </c>
      <c r="L181" s="766"/>
      <c r="M181" s="766"/>
      <c r="N181" s="768" t="s">
        <v>553</v>
      </c>
      <c r="O181" s="768" t="s">
        <v>481</v>
      </c>
      <c r="P181" s="851" t="s">
        <v>554</v>
      </c>
      <c r="Q181" s="851" t="s">
        <v>553</v>
      </c>
      <c r="R181" s="851" t="s">
        <v>553</v>
      </c>
      <c r="S181" s="766"/>
      <c r="T181" s="766"/>
      <c r="U181" s="766" t="s">
        <v>553</v>
      </c>
      <c r="V181" s="766" t="s">
        <v>553</v>
      </c>
      <c r="W181" s="766" t="s">
        <v>553</v>
      </c>
      <c r="X181" s="766" t="s">
        <v>554</v>
      </c>
      <c r="Y181" s="766" t="s">
        <v>481</v>
      </c>
      <c r="Z181" s="766"/>
      <c r="AA181" s="766" t="s">
        <v>555</v>
      </c>
      <c r="AB181" s="766" t="s">
        <v>481</v>
      </c>
      <c r="AC181" s="766">
        <v>10</v>
      </c>
      <c r="AD181" s="766">
        <v>10</v>
      </c>
      <c r="AE181" s="766">
        <v>10</v>
      </c>
      <c r="AF181" s="766">
        <v>10</v>
      </c>
      <c r="AG181" s="172" t="s">
        <v>514</v>
      </c>
      <c r="AH181" s="600"/>
    </row>
    <row r="182" spans="1:35" ht="21" customHeight="1">
      <c r="A182" s="552">
        <v>3</v>
      </c>
      <c r="B182" s="542" t="s">
        <v>774</v>
      </c>
      <c r="C182" s="766"/>
      <c r="D182" s="766" t="s">
        <v>481</v>
      </c>
      <c r="E182" s="766"/>
      <c r="F182" s="766"/>
      <c r="G182" s="172"/>
      <c r="H182" s="172"/>
      <c r="I182" s="172"/>
      <c r="J182" s="172"/>
      <c r="K182" s="172"/>
      <c r="L182" s="766"/>
      <c r="M182" s="766"/>
      <c r="N182" s="1226" t="s">
        <v>553</v>
      </c>
      <c r="O182" s="1226" t="s">
        <v>553</v>
      </c>
      <c r="P182" s="1226" t="s">
        <v>553</v>
      </c>
      <c r="Q182" s="1226" t="s">
        <v>553</v>
      </c>
      <c r="R182" s="1226" t="s">
        <v>553</v>
      </c>
      <c r="S182" s="766"/>
      <c r="T182" s="766"/>
      <c r="U182" s="1147">
        <v>5</v>
      </c>
      <c r="V182" s="1147">
        <v>5</v>
      </c>
      <c r="W182" s="1147">
        <v>5</v>
      </c>
      <c r="X182" s="1147">
        <v>5</v>
      </c>
      <c r="Y182" s="1147">
        <v>5</v>
      </c>
      <c r="Z182" s="766"/>
      <c r="AA182" s="766"/>
      <c r="AB182" s="1147" t="s">
        <v>591</v>
      </c>
      <c r="AC182" s="1147" t="s">
        <v>591</v>
      </c>
      <c r="AD182" s="1147" t="s">
        <v>591</v>
      </c>
      <c r="AE182" s="1147" t="s">
        <v>591</v>
      </c>
      <c r="AF182" s="1147" t="s">
        <v>591</v>
      </c>
      <c r="AG182" s="172"/>
      <c r="AH182" s="600"/>
    </row>
    <row r="183" spans="1:35" ht="21" customHeight="1">
      <c r="A183" s="552">
        <v>4</v>
      </c>
      <c r="B183" s="859" t="s">
        <v>768</v>
      </c>
      <c r="C183" s="766"/>
      <c r="D183" s="1159">
        <v>4</v>
      </c>
      <c r="E183" s="1159"/>
      <c r="F183" s="1159"/>
      <c r="G183" s="1147" t="s">
        <v>554</v>
      </c>
      <c r="H183" s="1293" t="s">
        <v>485</v>
      </c>
      <c r="I183" s="1147" t="s">
        <v>554</v>
      </c>
      <c r="J183" s="1147" t="s">
        <v>554</v>
      </c>
      <c r="K183" s="1147" t="s">
        <v>554</v>
      </c>
      <c r="L183" s="766"/>
      <c r="M183" s="766"/>
      <c r="N183" s="172" t="s">
        <v>481</v>
      </c>
      <c r="O183" s="172" t="s">
        <v>481</v>
      </c>
      <c r="P183" s="766">
        <v>7</v>
      </c>
      <c r="Q183" s="766">
        <v>7</v>
      </c>
      <c r="R183" s="766">
        <v>7</v>
      </c>
      <c r="S183" s="766"/>
      <c r="T183" s="766"/>
      <c r="U183" s="766">
        <v>3</v>
      </c>
      <c r="V183" s="766">
        <v>3</v>
      </c>
      <c r="W183" s="766">
        <v>3</v>
      </c>
      <c r="X183" s="766">
        <v>3</v>
      </c>
      <c r="Y183" s="766">
        <v>3</v>
      </c>
      <c r="Z183" s="766"/>
      <c r="AA183" s="766"/>
      <c r="AB183" s="172">
        <v>4</v>
      </c>
      <c r="AC183" s="172">
        <v>4</v>
      </c>
      <c r="AD183" s="172">
        <v>4</v>
      </c>
      <c r="AE183" s="172">
        <v>4</v>
      </c>
      <c r="AF183" s="172">
        <v>4</v>
      </c>
      <c r="AG183" s="172"/>
      <c r="AH183" s="600"/>
    </row>
    <row r="184" spans="1:35" ht="21" customHeight="1" thickBot="1">
      <c r="A184" s="861">
        <v>5</v>
      </c>
      <c r="B184" s="874"/>
      <c r="C184" s="863"/>
      <c r="D184" s="863"/>
      <c r="E184" s="863"/>
      <c r="F184" s="863"/>
      <c r="G184" s="863"/>
      <c r="H184" s="863"/>
      <c r="I184" s="863"/>
      <c r="J184" s="863"/>
      <c r="K184" s="863"/>
      <c r="L184" s="863"/>
      <c r="M184" s="863"/>
      <c r="N184" s="863"/>
      <c r="O184" s="863"/>
      <c r="P184" s="863"/>
      <c r="Q184" s="863"/>
      <c r="R184" s="863"/>
      <c r="S184" s="863"/>
      <c r="T184" s="863"/>
      <c r="U184" s="863"/>
      <c r="V184" s="863"/>
      <c r="W184" s="863"/>
      <c r="X184" s="863"/>
      <c r="Y184" s="863"/>
      <c r="Z184" s="863"/>
      <c r="AA184" s="863"/>
      <c r="AB184" s="899"/>
      <c r="AC184" s="899"/>
      <c r="AD184" s="899"/>
      <c r="AE184" s="899"/>
      <c r="AF184" s="899"/>
      <c r="AG184" s="899"/>
      <c r="AH184" s="600"/>
    </row>
    <row r="185" spans="1:35" ht="21" customHeight="1">
      <c r="A185" s="785"/>
      <c r="B185" s="354"/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  <c r="M185" s="139"/>
      <c r="N185" s="786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600"/>
    </row>
    <row r="186" spans="1:35" ht="21.95" customHeight="1" thickBot="1">
      <c r="A186" s="1" t="s">
        <v>800</v>
      </c>
      <c r="B186" s="274"/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</row>
    <row r="187" spans="1:35" ht="21.95" customHeight="1">
      <c r="A187" s="1"/>
      <c r="B187" s="796" t="s">
        <v>664</v>
      </c>
      <c r="C187" s="51" t="s">
        <v>2</v>
      </c>
      <c r="D187" s="51"/>
      <c r="E187" s="51"/>
      <c r="F187" s="51"/>
      <c r="G187" s="798" t="s">
        <v>3</v>
      </c>
      <c r="H187" s="51"/>
      <c r="I187" s="51"/>
      <c r="J187" s="51"/>
      <c r="K187" s="798" t="s">
        <v>4</v>
      </c>
      <c r="L187" s="51"/>
      <c r="M187" s="51"/>
      <c r="N187" s="51"/>
      <c r="O187" s="798" t="s">
        <v>5</v>
      </c>
      <c r="P187" s="51"/>
      <c r="Q187" s="51"/>
      <c r="R187" s="51"/>
      <c r="S187" s="798" t="s">
        <v>6</v>
      </c>
      <c r="T187" s="51"/>
      <c r="U187" s="51"/>
      <c r="V187" s="51"/>
      <c r="W187" s="51"/>
      <c r="X187" s="802" t="s">
        <v>7</v>
      </c>
      <c r="Y187" s="51"/>
      <c r="Z187" s="548"/>
      <c r="AA187" s="7"/>
      <c r="AB187" s="522" t="s">
        <v>8</v>
      </c>
      <c r="AC187" s="51"/>
      <c r="AD187" s="51"/>
      <c r="AE187" s="425" t="s">
        <v>10</v>
      </c>
      <c r="AF187" s="51"/>
      <c r="AG187" s="51"/>
      <c r="AH187" s="51"/>
      <c r="AI187" s="523"/>
    </row>
    <row r="188" spans="1:35" ht="21.95" customHeight="1">
      <c r="A188" s="1"/>
      <c r="B188" s="796">
        <v>3701</v>
      </c>
      <c r="C188" s="55" t="s">
        <v>665</v>
      </c>
      <c r="D188" s="55"/>
      <c r="E188" s="55"/>
      <c r="F188" s="55"/>
      <c r="G188" s="799" t="s">
        <v>124</v>
      </c>
      <c r="H188" s="55"/>
      <c r="I188" s="55"/>
      <c r="J188" s="55"/>
      <c r="K188" s="799" t="s">
        <v>124</v>
      </c>
      <c r="L188" s="55"/>
      <c r="M188" s="55"/>
      <c r="N188" s="55"/>
      <c r="O188" s="799" t="s">
        <v>124</v>
      </c>
      <c r="P188" s="55"/>
      <c r="Q188" s="55"/>
      <c r="R188" s="55"/>
      <c r="S188" s="799" t="s">
        <v>125</v>
      </c>
      <c r="T188" s="55"/>
      <c r="U188" s="55"/>
      <c r="V188" s="55"/>
      <c r="W188" s="55"/>
      <c r="X188" s="803"/>
      <c r="Y188" s="55"/>
      <c r="Z188" s="602"/>
      <c r="AA188" s="14"/>
      <c r="AB188" s="603"/>
      <c r="AC188" s="55"/>
      <c r="AD188" s="55"/>
      <c r="AE188" s="604"/>
      <c r="AF188" s="55"/>
      <c r="AG188" s="55"/>
      <c r="AH188" s="55"/>
      <c r="AI188" s="605"/>
    </row>
    <row r="189" spans="1:35" ht="21.95" customHeight="1">
      <c r="B189" s="796">
        <v>3700</v>
      </c>
      <c r="C189" s="157" t="s">
        <v>535</v>
      </c>
      <c r="D189" s="157"/>
      <c r="E189" s="157"/>
      <c r="F189" s="157"/>
      <c r="G189" s="712" t="s">
        <v>535</v>
      </c>
      <c r="H189" s="157"/>
      <c r="I189" s="157"/>
      <c r="J189" s="157"/>
      <c r="K189" s="712" t="s">
        <v>535</v>
      </c>
      <c r="L189" s="157"/>
      <c r="M189" s="157"/>
      <c r="N189" s="157"/>
      <c r="O189" s="712" t="s">
        <v>535</v>
      </c>
      <c r="P189" s="157"/>
      <c r="Q189" s="157"/>
      <c r="R189" s="157"/>
      <c r="S189" s="712" t="s">
        <v>116</v>
      </c>
      <c r="T189" s="157"/>
      <c r="U189" s="157"/>
      <c r="V189" s="157"/>
      <c r="W189" s="157"/>
      <c r="X189" s="712"/>
      <c r="Y189" s="157"/>
      <c r="Z189" s="564"/>
      <c r="AA189" s="563"/>
      <c r="AB189" s="157"/>
      <c r="AC189" s="157"/>
      <c r="AD189" s="565"/>
      <c r="AE189" s="607"/>
      <c r="AF189" s="157"/>
      <c r="AG189" s="157" t="s">
        <v>28</v>
      </c>
      <c r="AH189" s="565"/>
      <c r="AI189" s="490"/>
    </row>
    <row r="190" spans="1:35" ht="21.95" customHeight="1">
      <c r="A190" s="1"/>
      <c r="B190" s="796">
        <v>8514</v>
      </c>
      <c r="C190" s="157" t="s">
        <v>124</v>
      </c>
      <c r="D190" s="157"/>
      <c r="E190" s="157"/>
      <c r="F190" s="157"/>
      <c r="G190" s="712" t="s">
        <v>124</v>
      </c>
      <c r="H190" s="157"/>
      <c r="I190" s="157"/>
      <c r="J190" s="157"/>
      <c r="K190" s="712" t="s">
        <v>124</v>
      </c>
      <c r="L190" s="157"/>
      <c r="M190" s="157"/>
      <c r="N190" s="157"/>
      <c r="O190" s="712" t="s">
        <v>124</v>
      </c>
      <c r="P190" s="157"/>
      <c r="Q190" s="157"/>
      <c r="R190" s="157"/>
      <c r="S190" s="712" t="s">
        <v>666</v>
      </c>
      <c r="T190" s="157"/>
      <c r="U190" s="157"/>
      <c r="V190" s="157"/>
      <c r="W190" s="157"/>
      <c r="X190" s="712"/>
      <c r="Y190" s="157"/>
      <c r="Z190" s="564"/>
      <c r="AA190" s="121"/>
      <c r="AB190" s="157"/>
      <c r="AC190" s="157"/>
      <c r="AD190" s="565"/>
      <c r="AE190" s="121"/>
      <c r="AF190" s="157"/>
      <c r="AG190" s="157"/>
      <c r="AH190" s="565"/>
      <c r="AI190" s="490"/>
    </row>
    <row r="191" spans="1:35" ht="21.95" customHeight="1">
      <c r="A191" s="1"/>
      <c r="B191" s="796">
        <v>8500</v>
      </c>
      <c r="C191" s="55" t="s">
        <v>11</v>
      </c>
      <c r="D191" s="55"/>
      <c r="E191" s="55"/>
      <c r="F191" s="55"/>
      <c r="G191" s="799" t="s">
        <v>11</v>
      </c>
      <c r="H191" s="55"/>
      <c r="I191" s="55"/>
      <c r="J191" s="55"/>
      <c r="K191" s="799" t="s">
        <v>11</v>
      </c>
      <c r="L191" s="55"/>
      <c r="M191" s="55"/>
      <c r="N191" s="55"/>
      <c r="O191" s="799" t="s">
        <v>11</v>
      </c>
      <c r="P191" s="55"/>
      <c r="Q191" s="55"/>
      <c r="R191" s="55"/>
      <c r="S191" s="799" t="s">
        <v>12</v>
      </c>
      <c r="T191" s="55"/>
      <c r="U191" s="55"/>
      <c r="V191" s="55"/>
      <c r="W191" s="55"/>
      <c r="X191" s="799"/>
      <c r="Y191" s="55"/>
      <c r="Z191" s="609"/>
      <c r="AA191" s="608"/>
      <c r="AB191" s="55"/>
      <c r="AC191" s="55"/>
      <c r="AD191" s="609"/>
      <c r="AE191" s="608"/>
      <c r="AF191" s="55"/>
      <c r="AG191" s="55"/>
      <c r="AH191" s="594"/>
      <c r="AI191" s="605"/>
    </row>
    <row r="192" spans="1:35" ht="21.95" customHeight="1">
      <c r="A192" s="1"/>
      <c r="B192" s="796">
        <v>8514</v>
      </c>
      <c r="C192" s="610" t="s">
        <v>124</v>
      </c>
      <c r="D192" s="610"/>
      <c r="E192" s="610"/>
      <c r="F192" s="610"/>
      <c r="G192" s="800" t="s">
        <v>124</v>
      </c>
      <c r="H192" s="610"/>
      <c r="I192" s="610"/>
      <c r="J192" s="610"/>
      <c r="K192" s="800" t="s">
        <v>124</v>
      </c>
      <c r="L192" s="610"/>
      <c r="M192" s="610"/>
      <c r="N192" s="610"/>
      <c r="O192" s="800" t="s">
        <v>124</v>
      </c>
      <c r="P192" s="610"/>
      <c r="Q192" s="610"/>
      <c r="R192" s="610"/>
      <c r="S192" s="800" t="s">
        <v>666</v>
      </c>
      <c r="T192" s="610"/>
      <c r="U192" s="610"/>
      <c r="V192" s="610"/>
      <c r="W192" s="610"/>
      <c r="X192" s="803"/>
      <c r="Y192" s="55"/>
      <c r="Z192" s="602"/>
      <c r="AA192" s="14"/>
      <c r="AB192" s="603"/>
      <c r="AC192" s="55"/>
      <c r="AD192" s="55"/>
      <c r="AE192" s="604"/>
      <c r="AF192" s="55"/>
      <c r="AG192" s="55"/>
      <c r="AH192" s="55"/>
      <c r="AI192" s="605"/>
    </row>
    <row r="193" spans="1:35" ht="21.95" customHeight="1" thickBot="1">
      <c r="A193" s="1"/>
      <c r="B193" s="797" t="s">
        <v>667</v>
      </c>
      <c r="C193" s="53" t="s">
        <v>668</v>
      </c>
      <c r="D193" s="53"/>
      <c r="E193" s="53"/>
      <c r="F193" s="53"/>
      <c r="G193" s="801" t="s">
        <v>668</v>
      </c>
      <c r="H193" s="53"/>
      <c r="I193" s="53"/>
      <c r="J193" s="53"/>
      <c r="K193" s="53" t="s">
        <v>668</v>
      </c>
      <c r="L193" s="53"/>
      <c r="M193" s="53"/>
      <c r="N193" s="53"/>
      <c r="O193" s="801" t="s">
        <v>668</v>
      </c>
      <c r="P193" s="53"/>
      <c r="Q193" s="53"/>
      <c r="R193" s="53"/>
      <c r="S193" s="801" t="s">
        <v>669</v>
      </c>
      <c r="T193" s="53"/>
      <c r="U193" s="53"/>
      <c r="V193" s="53"/>
      <c r="W193" s="53"/>
      <c r="X193" s="801"/>
      <c r="Y193" s="53"/>
      <c r="Z193" s="571"/>
      <c r="AA193" s="570"/>
      <c r="AB193" s="53"/>
      <c r="AC193" s="53"/>
      <c r="AD193" s="573"/>
      <c r="AE193" s="612"/>
      <c r="AF193" s="53"/>
      <c r="AG193" s="53" t="s">
        <v>28</v>
      </c>
      <c r="AH193" s="573"/>
      <c r="AI193" s="536"/>
    </row>
    <row r="194" spans="1:35" ht="21.95" customHeight="1">
      <c r="A194" s="1"/>
      <c r="B194" s="72"/>
      <c r="C194" s="312"/>
      <c r="F194" s="354"/>
      <c r="G194" s="312"/>
      <c r="J194" s="354"/>
      <c r="K194" s="312"/>
      <c r="N194" s="354"/>
      <c r="O194" s="312"/>
      <c r="R194" s="354"/>
      <c r="S194" s="312"/>
      <c r="V194" s="354"/>
      <c r="W194" s="354"/>
      <c r="Z194" s="354"/>
      <c r="AA194" s="354"/>
      <c r="AD194" s="354"/>
      <c r="AE194" s="354"/>
      <c r="AH194" s="354"/>
    </row>
    <row r="195" spans="1:35" ht="21.95" customHeight="1" thickBot="1">
      <c r="A195" s="1" t="s">
        <v>785</v>
      </c>
      <c r="B195" s="72"/>
      <c r="C195" s="312"/>
      <c r="F195" s="354"/>
      <c r="G195" s="312"/>
      <c r="J195" s="354"/>
      <c r="K195" s="312"/>
      <c r="N195" s="354"/>
      <c r="O195" s="312"/>
      <c r="R195" s="354"/>
      <c r="S195" s="312"/>
      <c r="V195" s="354"/>
      <c r="W195" s="354"/>
      <c r="Z195" s="354"/>
      <c r="AA195" s="354"/>
      <c r="AD195" s="354"/>
      <c r="AE195" s="354"/>
      <c r="AH195" s="354"/>
    </row>
    <row r="196" spans="1:35" ht="21.95" customHeight="1" thickBot="1">
      <c r="A196" s="861"/>
      <c r="B196" s="862" t="s">
        <v>476</v>
      </c>
      <c r="C196" s="880">
        <v>1</v>
      </c>
      <c r="D196" s="863">
        <v>2</v>
      </c>
      <c r="E196" s="880">
        <v>3</v>
      </c>
      <c r="F196" s="880">
        <v>4</v>
      </c>
      <c r="G196" s="863">
        <v>5</v>
      </c>
      <c r="H196" s="863">
        <v>6</v>
      </c>
      <c r="I196" s="863">
        <v>7</v>
      </c>
      <c r="J196" s="863">
        <v>8</v>
      </c>
      <c r="K196" s="863">
        <v>9</v>
      </c>
      <c r="L196" s="880">
        <v>10</v>
      </c>
      <c r="M196" s="880">
        <v>11</v>
      </c>
      <c r="N196" s="863">
        <v>12</v>
      </c>
      <c r="O196" s="863">
        <v>13</v>
      </c>
      <c r="P196" s="863">
        <v>14</v>
      </c>
      <c r="Q196" s="863">
        <v>15</v>
      </c>
      <c r="R196" s="863">
        <v>16</v>
      </c>
      <c r="S196" s="880">
        <v>17</v>
      </c>
      <c r="T196" s="880">
        <v>18</v>
      </c>
      <c r="U196" s="863">
        <v>19</v>
      </c>
      <c r="V196" s="863">
        <v>20</v>
      </c>
      <c r="W196" s="863">
        <v>21</v>
      </c>
      <c r="X196" s="863">
        <v>22</v>
      </c>
      <c r="Y196" s="863">
        <v>23</v>
      </c>
      <c r="Z196" s="880">
        <v>24</v>
      </c>
      <c r="AA196" s="880">
        <v>25</v>
      </c>
      <c r="AB196" s="863">
        <v>26</v>
      </c>
      <c r="AC196" s="863">
        <v>27</v>
      </c>
      <c r="AD196" s="863">
        <v>28</v>
      </c>
      <c r="AE196" s="863">
        <v>29</v>
      </c>
      <c r="AF196" s="863">
        <v>30</v>
      </c>
      <c r="AG196" s="949">
        <v>31</v>
      </c>
      <c r="AH196" s="864" t="s">
        <v>477</v>
      </c>
      <c r="AI196" s="865" t="s">
        <v>478</v>
      </c>
    </row>
    <row r="197" spans="1:35" ht="21.95" customHeight="1">
      <c r="A197" s="897"/>
      <c r="B197" s="900" t="s">
        <v>671</v>
      </c>
      <c r="C197" s="955"/>
      <c r="D197" s="1186" t="s">
        <v>491</v>
      </c>
      <c r="E197" s="955"/>
      <c r="F197" s="955"/>
      <c r="G197" s="955" t="s">
        <v>491</v>
      </c>
      <c r="H197" s="955" t="s">
        <v>491</v>
      </c>
      <c r="I197" s="955" t="s">
        <v>491</v>
      </c>
      <c r="J197" s="955" t="s">
        <v>491</v>
      </c>
      <c r="K197" s="955" t="s">
        <v>491</v>
      </c>
      <c r="L197" s="955"/>
      <c r="M197" s="955"/>
      <c r="N197" s="955" t="s">
        <v>491</v>
      </c>
      <c r="O197" s="955" t="s">
        <v>491</v>
      </c>
      <c r="P197" s="955" t="s">
        <v>491</v>
      </c>
      <c r="Q197" s="955" t="s">
        <v>491</v>
      </c>
      <c r="R197" s="955" t="s">
        <v>491</v>
      </c>
      <c r="S197" s="955"/>
      <c r="T197" s="955"/>
      <c r="U197" s="955" t="s">
        <v>491</v>
      </c>
      <c r="V197" s="955" t="s">
        <v>491</v>
      </c>
      <c r="W197" s="955" t="s">
        <v>491</v>
      </c>
      <c r="X197" s="955" t="s">
        <v>491</v>
      </c>
      <c r="Y197" s="955" t="s">
        <v>491</v>
      </c>
      <c r="Z197" s="955"/>
      <c r="AA197" s="955"/>
      <c r="AB197" s="955" t="s">
        <v>491</v>
      </c>
      <c r="AC197" s="955" t="s">
        <v>491</v>
      </c>
      <c r="AD197" s="955" t="s">
        <v>491</v>
      </c>
      <c r="AE197" s="955" t="s">
        <v>491</v>
      </c>
      <c r="AF197" s="955" t="s">
        <v>491</v>
      </c>
      <c r="AG197" s="956"/>
      <c r="AH197" s="901">
        <v>74</v>
      </c>
      <c r="AI197" s="902">
        <v>37</v>
      </c>
    </row>
    <row r="198" spans="1:35" ht="21.95" customHeight="1">
      <c r="A198" s="614">
        <v>8500</v>
      </c>
      <c r="B198" s="790" t="s">
        <v>156</v>
      </c>
      <c r="C198" s="768"/>
      <c r="D198" s="977" t="s">
        <v>491</v>
      </c>
      <c r="E198" s="768"/>
      <c r="F198" s="768"/>
      <c r="G198" s="768" t="s">
        <v>491</v>
      </c>
      <c r="H198" s="768" t="s">
        <v>491</v>
      </c>
      <c r="I198" s="768" t="s">
        <v>491</v>
      </c>
      <c r="J198" s="768" t="s">
        <v>491</v>
      </c>
      <c r="K198" s="768" t="s">
        <v>491</v>
      </c>
      <c r="L198" s="768"/>
      <c r="M198" s="768"/>
      <c r="N198" s="768" t="s">
        <v>491</v>
      </c>
      <c r="O198" s="768" t="s">
        <v>491</v>
      </c>
      <c r="P198" s="768" t="s">
        <v>491</v>
      </c>
      <c r="Q198" s="768" t="s">
        <v>491</v>
      </c>
      <c r="R198" s="768" t="s">
        <v>491</v>
      </c>
      <c r="S198" s="768"/>
      <c r="T198" s="768"/>
      <c r="U198" s="768" t="s">
        <v>491</v>
      </c>
      <c r="V198" s="768" t="s">
        <v>491</v>
      </c>
      <c r="W198" s="768" t="s">
        <v>491</v>
      </c>
      <c r="X198" s="768" t="s">
        <v>491</v>
      </c>
      <c r="Y198" s="768" t="s">
        <v>491</v>
      </c>
      <c r="Z198" s="768"/>
      <c r="AA198" s="768"/>
      <c r="AB198" s="768" t="s">
        <v>491</v>
      </c>
      <c r="AC198" s="768" t="s">
        <v>491</v>
      </c>
      <c r="AD198" s="768" t="s">
        <v>491</v>
      </c>
      <c r="AE198" s="768" t="s">
        <v>491</v>
      </c>
      <c r="AF198" s="768" t="s">
        <v>491</v>
      </c>
      <c r="AG198" s="774"/>
      <c r="AH198" s="597">
        <v>37</v>
      </c>
      <c r="AI198" s="598">
        <v>37</v>
      </c>
    </row>
    <row r="199" spans="1:35" ht="21" customHeight="1">
      <c r="A199" s="442"/>
      <c r="B199" s="789" t="s">
        <v>672</v>
      </c>
      <c r="C199" s="768"/>
      <c r="D199" s="768" t="s">
        <v>491</v>
      </c>
      <c r="E199" s="768"/>
      <c r="F199" s="768"/>
      <c r="G199" s="768" t="s">
        <v>491</v>
      </c>
      <c r="H199" s="768" t="s">
        <v>491</v>
      </c>
      <c r="I199" s="768" t="s">
        <v>491</v>
      </c>
      <c r="J199" s="768" t="s">
        <v>491</v>
      </c>
      <c r="K199" s="768" t="s">
        <v>491</v>
      </c>
      <c r="L199" s="768"/>
      <c r="M199" s="768"/>
      <c r="N199" s="768" t="s">
        <v>491</v>
      </c>
      <c r="O199" s="768" t="s">
        <v>491</v>
      </c>
      <c r="P199" s="768" t="s">
        <v>491</v>
      </c>
      <c r="Q199" s="768" t="s">
        <v>491</v>
      </c>
      <c r="R199" s="768" t="s">
        <v>491</v>
      </c>
      <c r="S199" s="768"/>
      <c r="T199" s="768"/>
      <c r="U199" s="768" t="s">
        <v>491</v>
      </c>
      <c r="V199" s="768" t="s">
        <v>491</v>
      </c>
      <c r="W199" s="768" t="s">
        <v>491</v>
      </c>
      <c r="X199" s="768" t="s">
        <v>491</v>
      </c>
      <c r="Y199" s="768" t="s">
        <v>491</v>
      </c>
      <c r="Z199" s="768"/>
      <c r="AA199" s="768"/>
      <c r="AB199" s="768" t="s">
        <v>491</v>
      </c>
      <c r="AC199" s="768" t="s">
        <v>491</v>
      </c>
      <c r="AD199" s="768" t="s">
        <v>491</v>
      </c>
      <c r="AE199" s="768" t="s">
        <v>491</v>
      </c>
      <c r="AF199" s="768" t="s">
        <v>491</v>
      </c>
      <c r="AG199" s="774"/>
      <c r="AH199" s="597">
        <v>67</v>
      </c>
      <c r="AI199" s="598">
        <v>37</v>
      </c>
    </row>
    <row r="200" spans="1:35" ht="21" customHeight="1">
      <c r="A200" s="442">
        <v>8521</v>
      </c>
      <c r="B200" s="789" t="s">
        <v>673</v>
      </c>
      <c r="C200" s="1038"/>
      <c r="D200" s="1038" t="s">
        <v>491</v>
      </c>
      <c r="E200" s="1038"/>
      <c r="F200" s="1038"/>
      <c r="G200" s="1038" t="s">
        <v>491</v>
      </c>
      <c r="H200" s="1038" t="s">
        <v>491</v>
      </c>
      <c r="I200" s="1038" t="s">
        <v>491</v>
      </c>
      <c r="J200" s="1038" t="s">
        <v>491</v>
      </c>
      <c r="K200" s="1038" t="s">
        <v>491</v>
      </c>
      <c r="L200" s="1038"/>
      <c r="M200" s="1038"/>
      <c r="N200" s="1038" t="s">
        <v>491</v>
      </c>
      <c r="O200" s="1038" t="s">
        <v>491</v>
      </c>
      <c r="P200" s="1038" t="s">
        <v>491</v>
      </c>
      <c r="Q200" s="1038" t="s">
        <v>491</v>
      </c>
      <c r="R200" s="1038" t="s">
        <v>491</v>
      </c>
      <c r="S200" s="1038"/>
      <c r="T200" s="1038"/>
      <c r="U200" s="1038" t="s">
        <v>491</v>
      </c>
      <c r="V200" s="1038" t="s">
        <v>491</v>
      </c>
      <c r="W200" s="1038" t="s">
        <v>491</v>
      </c>
      <c r="X200" s="1038" t="s">
        <v>491</v>
      </c>
      <c r="Y200" s="1038" t="s">
        <v>491</v>
      </c>
      <c r="Z200" s="1038"/>
      <c r="AA200" s="1038"/>
      <c r="AB200" s="1038" t="s">
        <v>491</v>
      </c>
      <c r="AC200" s="1038" t="s">
        <v>491</v>
      </c>
      <c r="AD200" s="1038" t="s">
        <v>491</v>
      </c>
      <c r="AE200" s="1038" t="s">
        <v>491</v>
      </c>
      <c r="AF200" s="1038" t="s">
        <v>491</v>
      </c>
      <c r="AG200" s="774"/>
      <c r="AH200" s="597">
        <v>111</v>
      </c>
      <c r="AI200" s="598">
        <v>37</v>
      </c>
    </row>
    <row r="201" spans="1:35" ht="21" customHeight="1">
      <c r="A201" s="442"/>
      <c r="B201" s="791" t="s">
        <v>674</v>
      </c>
      <c r="C201" s="768"/>
      <c r="D201" s="970" t="s">
        <v>491</v>
      </c>
      <c r="E201" s="768"/>
      <c r="F201" s="768"/>
      <c r="G201" s="768" t="s">
        <v>491</v>
      </c>
      <c r="H201" s="768" t="s">
        <v>491</v>
      </c>
      <c r="I201" s="768" t="s">
        <v>491</v>
      </c>
      <c r="J201" s="768" t="s">
        <v>491</v>
      </c>
      <c r="K201" s="768" t="s">
        <v>491</v>
      </c>
      <c r="L201" s="768"/>
      <c r="M201" s="768"/>
      <c r="N201" s="768" t="s">
        <v>491</v>
      </c>
      <c r="O201" s="768" t="s">
        <v>491</v>
      </c>
      <c r="P201" s="768" t="s">
        <v>491</v>
      </c>
      <c r="Q201" s="768" t="s">
        <v>491</v>
      </c>
      <c r="R201" s="768" t="s">
        <v>491</v>
      </c>
      <c r="S201" s="768"/>
      <c r="T201" s="768"/>
      <c r="U201" s="768" t="s">
        <v>491</v>
      </c>
      <c r="V201" s="768" t="s">
        <v>491</v>
      </c>
      <c r="W201" s="768" t="s">
        <v>491</v>
      </c>
      <c r="X201" s="768" t="s">
        <v>491</v>
      </c>
      <c r="Y201" s="768" t="s">
        <v>491</v>
      </c>
      <c r="Z201" s="768"/>
      <c r="AA201" s="768"/>
      <c r="AB201" s="768" t="s">
        <v>491</v>
      </c>
      <c r="AC201" s="768" t="s">
        <v>491</v>
      </c>
      <c r="AD201" s="768" t="s">
        <v>491</v>
      </c>
      <c r="AE201" s="768" t="s">
        <v>491</v>
      </c>
      <c r="AF201" s="768" t="s">
        <v>491</v>
      </c>
      <c r="AG201" s="774"/>
      <c r="AH201" s="597">
        <v>37</v>
      </c>
      <c r="AI201" s="598">
        <v>37</v>
      </c>
    </row>
    <row r="202" spans="1:35" ht="21" customHeight="1">
      <c r="A202" s="442">
        <v>8514</v>
      </c>
      <c r="B202" s="542" t="s">
        <v>675</v>
      </c>
      <c r="C202" s="768"/>
      <c r="D202" s="768" t="s">
        <v>491</v>
      </c>
      <c r="E202" s="768"/>
      <c r="F202" s="768"/>
      <c r="G202" s="768" t="s">
        <v>491</v>
      </c>
      <c r="H202" s="768" t="s">
        <v>491</v>
      </c>
      <c r="I202" s="768" t="s">
        <v>491</v>
      </c>
      <c r="J202" s="768" t="s">
        <v>491</v>
      </c>
      <c r="K202" s="768" t="s">
        <v>491</v>
      </c>
      <c r="L202" s="768"/>
      <c r="M202" s="768"/>
      <c r="N202" s="768" t="s">
        <v>491</v>
      </c>
      <c r="O202" s="768" t="s">
        <v>491</v>
      </c>
      <c r="P202" s="768" t="s">
        <v>491</v>
      </c>
      <c r="Q202" s="768" t="s">
        <v>491</v>
      </c>
      <c r="R202" s="768" t="s">
        <v>491</v>
      </c>
      <c r="S202" s="768"/>
      <c r="T202" s="768"/>
      <c r="U202" s="768" t="s">
        <v>491</v>
      </c>
      <c r="V202" s="768" t="s">
        <v>491</v>
      </c>
      <c r="W202" s="768" t="s">
        <v>491</v>
      </c>
      <c r="X202" s="768" t="s">
        <v>491</v>
      </c>
      <c r="Y202" s="768" t="s">
        <v>491</v>
      </c>
      <c r="Z202" s="768"/>
      <c r="AA202" s="768"/>
      <c r="AB202" s="768" t="s">
        <v>491</v>
      </c>
      <c r="AC202" s="768" t="s">
        <v>491</v>
      </c>
      <c r="AD202" s="768" t="s">
        <v>491</v>
      </c>
      <c r="AE202" s="768" t="s">
        <v>491</v>
      </c>
      <c r="AF202" s="768" t="s">
        <v>491</v>
      </c>
      <c r="AG202" s="774"/>
      <c r="AH202" s="597">
        <v>38</v>
      </c>
      <c r="AI202" s="598">
        <v>37</v>
      </c>
    </row>
    <row r="203" spans="1:35" ht="21.95" customHeight="1">
      <c r="A203" s="442">
        <v>3701</v>
      </c>
      <c r="B203" s="789" t="s">
        <v>433</v>
      </c>
      <c r="C203" s="768"/>
      <c r="D203" s="768" t="s">
        <v>491</v>
      </c>
      <c r="E203" s="768"/>
      <c r="F203" s="768"/>
      <c r="G203" s="768" t="s">
        <v>491</v>
      </c>
      <c r="H203" s="768" t="s">
        <v>491</v>
      </c>
      <c r="I203" s="768" t="s">
        <v>491</v>
      </c>
      <c r="J203" s="768" t="s">
        <v>491</v>
      </c>
      <c r="K203" s="768" t="s">
        <v>491</v>
      </c>
      <c r="L203" s="768"/>
      <c r="M203" s="768"/>
      <c r="N203" s="768" t="s">
        <v>491</v>
      </c>
      <c r="O203" s="768" t="s">
        <v>491</v>
      </c>
      <c r="P203" s="768" t="s">
        <v>491</v>
      </c>
      <c r="Q203" s="768" t="s">
        <v>491</v>
      </c>
      <c r="R203" s="768" t="s">
        <v>491</v>
      </c>
      <c r="S203" s="768"/>
      <c r="T203" s="768"/>
      <c r="U203" s="768" t="s">
        <v>491</v>
      </c>
      <c r="V203" s="768" t="s">
        <v>491</v>
      </c>
      <c r="W203" s="768" t="s">
        <v>491</v>
      </c>
      <c r="X203" s="768" t="s">
        <v>491</v>
      </c>
      <c r="Y203" s="768" t="s">
        <v>491</v>
      </c>
      <c r="Z203" s="768"/>
      <c r="AA203" s="768"/>
      <c r="AB203" s="768" t="s">
        <v>491</v>
      </c>
      <c r="AC203" s="768" t="s">
        <v>491</v>
      </c>
      <c r="AD203" s="768" t="s">
        <v>491</v>
      </c>
      <c r="AE203" s="768" t="s">
        <v>491</v>
      </c>
      <c r="AF203" s="768" t="s">
        <v>491</v>
      </c>
      <c r="AG203" s="774"/>
      <c r="AH203" s="597">
        <v>74</v>
      </c>
      <c r="AI203" s="598">
        <v>37</v>
      </c>
    </row>
    <row r="204" spans="1:35" ht="21.95" customHeight="1">
      <c r="A204" s="442">
        <v>3701</v>
      </c>
      <c r="B204" s="789" t="s">
        <v>786</v>
      </c>
      <c r="C204" s="768"/>
      <c r="D204" s="977" t="s">
        <v>491</v>
      </c>
      <c r="E204" s="768"/>
      <c r="F204" s="768"/>
      <c r="G204" s="768" t="s">
        <v>491</v>
      </c>
      <c r="H204" s="768" t="s">
        <v>491</v>
      </c>
      <c r="I204" s="768" t="s">
        <v>491</v>
      </c>
      <c r="J204" s="768" t="s">
        <v>491</v>
      </c>
      <c r="K204" s="768" t="s">
        <v>491</v>
      </c>
      <c r="L204" s="768"/>
      <c r="M204" s="768"/>
      <c r="N204" s="768" t="s">
        <v>491</v>
      </c>
      <c r="O204" s="768" t="s">
        <v>491</v>
      </c>
      <c r="P204" s="768" t="s">
        <v>491</v>
      </c>
      <c r="Q204" s="768" t="s">
        <v>491</v>
      </c>
      <c r="R204" s="768" t="s">
        <v>491</v>
      </c>
      <c r="S204" s="768"/>
      <c r="T204" s="768"/>
      <c r="U204" s="768" t="s">
        <v>491</v>
      </c>
      <c r="V204" s="768" t="s">
        <v>491</v>
      </c>
      <c r="W204" s="768" t="s">
        <v>491</v>
      </c>
      <c r="X204" s="768" t="s">
        <v>491</v>
      </c>
      <c r="Y204" s="768" t="s">
        <v>491</v>
      </c>
      <c r="Z204" s="768"/>
      <c r="AA204" s="768"/>
      <c r="AB204" s="768" t="s">
        <v>491</v>
      </c>
      <c r="AC204" s="768" t="s">
        <v>491</v>
      </c>
      <c r="AD204" s="768" t="s">
        <v>491</v>
      </c>
      <c r="AE204" s="768" t="s">
        <v>491</v>
      </c>
      <c r="AF204" s="768" t="s">
        <v>491</v>
      </c>
      <c r="AG204" s="774"/>
      <c r="AH204" s="597">
        <v>185</v>
      </c>
      <c r="AI204" s="598">
        <v>37</v>
      </c>
    </row>
    <row r="205" spans="1:35" ht="21.95" customHeight="1">
      <c r="A205" s="442">
        <v>3701</v>
      </c>
      <c r="B205" s="789" t="s">
        <v>438</v>
      </c>
      <c r="C205" s="768"/>
      <c r="D205" s="1144" t="s">
        <v>491</v>
      </c>
      <c r="E205" s="768"/>
      <c r="F205" s="768"/>
      <c r="G205" s="768" t="s">
        <v>491</v>
      </c>
      <c r="H205" s="768" t="s">
        <v>491</v>
      </c>
      <c r="I205" s="768" t="s">
        <v>491</v>
      </c>
      <c r="J205" s="768" t="s">
        <v>491</v>
      </c>
      <c r="K205" s="768" t="s">
        <v>491</v>
      </c>
      <c r="L205" s="768"/>
      <c r="M205" s="768"/>
      <c r="N205" s="764">
        <v>19</v>
      </c>
      <c r="O205" s="764">
        <v>19</v>
      </c>
      <c r="P205" s="764">
        <v>19</v>
      </c>
      <c r="Q205" s="764">
        <v>19</v>
      </c>
      <c r="R205" s="764">
        <v>19</v>
      </c>
      <c r="S205" s="768"/>
      <c r="T205" s="768"/>
      <c r="U205" s="768" t="s">
        <v>491</v>
      </c>
      <c r="V205" s="768" t="s">
        <v>491</v>
      </c>
      <c r="W205" s="768" t="s">
        <v>491</v>
      </c>
      <c r="X205" s="768" t="s">
        <v>491</v>
      </c>
      <c r="Y205" s="768" t="s">
        <v>491</v>
      </c>
      <c r="Z205" s="768"/>
      <c r="AA205" s="768"/>
      <c r="AB205" s="768" t="s">
        <v>491</v>
      </c>
      <c r="AC205" s="768" t="s">
        <v>491</v>
      </c>
      <c r="AD205" s="768" t="s">
        <v>491</v>
      </c>
      <c r="AE205" s="768" t="s">
        <v>491</v>
      </c>
      <c r="AF205" s="768" t="s">
        <v>491</v>
      </c>
      <c r="AG205" s="774"/>
      <c r="AH205" s="597">
        <v>2</v>
      </c>
      <c r="AI205" s="598">
        <v>37</v>
      </c>
    </row>
    <row r="206" spans="1:35" ht="21.95" customHeight="1">
      <c r="A206" s="442">
        <v>3701</v>
      </c>
      <c r="B206" s="789" t="s">
        <v>439</v>
      </c>
      <c r="C206" s="768"/>
      <c r="D206" s="970" t="s">
        <v>485</v>
      </c>
      <c r="E206" s="768"/>
      <c r="F206" s="768"/>
      <c r="G206" s="768" t="s">
        <v>491</v>
      </c>
      <c r="H206" s="768" t="s">
        <v>491</v>
      </c>
      <c r="I206" s="768" t="s">
        <v>491</v>
      </c>
      <c r="J206" s="768" t="s">
        <v>491</v>
      </c>
      <c r="K206" s="768" t="s">
        <v>491</v>
      </c>
      <c r="L206" s="768"/>
      <c r="M206" s="768"/>
      <c r="N206" s="764" t="s">
        <v>485</v>
      </c>
      <c r="O206" s="764" t="s">
        <v>485</v>
      </c>
      <c r="P206" s="764" t="s">
        <v>485</v>
      </c>
      <c r="Q206" s="764" t="s">
        <v>485</v>
      </c>
      <c r="R206" s="764" t="s">
        <v>485</v>
      </c>
      <c r="S206" s="768"/>
      <c r="T206" s="768"/>
      <c r="U206" s="768" t="s">
        <v>491</v>
      </c>
      <c r="V206" s="768" t="s">
        <v>491</v>
      </c>
      <c r="W206" s="768" t="s">
        <v>491</v>
      </c>
      <c r="X206" s="768" t="s">
        <v>491</v>
      </c>
      <c r="Y206" s="768" t="s">
        <v>491</v>
      </c>
      <c r="Z206" s="768"/>
      <c r="AA206" s="768"/>
      <c r="AB206" s="764">
        <v>19</v>
      </c>
      <c r="AC206" s="764">
        <v>19</v>
      </c>
      <c r="AD206" s="764">
        <v>19</v>
      </c>
      <c r="AE206" s="764">
        <v>19</v>
      </c>
      <c r="AF206" s="764">
        <v>19</v>
      </c>
      <c r="AG206" s="774"/>
      <c r="AH206" s="597">
        <v>2.5</v>
      </c>
      <c r="AI206" s="598">
        <v>37</v>
      </c>
    </row>
    <row r="207" spans="1:35" ht="21.95" customHeight="1">
      <c r="A207" s="442">
        <v>3701</v>
      </c>
      <c r="B207" s="789" t="s">
        <v>677</v>
      </c>
      <c r="C207" s="768"/>
      <c r="D207" s="977" t="s">
        <v>491</v>
      </c>
      <c r="E207" s="768"/>
      <c r="F207" s="768"/>
      <c r="G207" s="970" t="s">
        <v>491</v>
      </c>
      <c r="H207" s="970" t="s">
        <v>491</v>
      </c>
      <c r="I207" s="970" t="s">
        <v>491</v>
      </c>
      <c r="J207" s="970" t="s">
        <v>491</v>
      </c>
      <c r="K207" s="970" t="s">
        <v>491</v>
      </c>
      <c r="L207" s="970"/>
      <c r="M207" s="970"/>
      <c r="N207" s="980" t="s">
        <v>491</v>
      </c>
      <c r="O207" s="980" t="s">
        <v>491</v>
      </c>
      <c r="P207" s="980" t="s">
        <v>491</v>
      </c>
      <c r="Q207" s="980" t="s">
        <v>491</v>
      </c>
      <c r="R207" s="980" t="s">
        <v>491</v>
      </c>
      <c r="S207" s="980"/>
      <c r="T207" s="980"/>
      <c r="U207" s="764">
        <v>19</v>
      </c>
      <c r="V207" s="764">
        <v>19</v>
      </c>
      <c r="W207" s="764">
        <v>19</v>
      </c>
      <c r="X207" s="764">
        <v>19</v>
      </c>
      <c r="Y207" s="764">
        <v>19</v>
      </c>
      <c r="Z207" s="768"/>
      <c r="AA207" s="768"/>
      <c r="AB207" s="764" t="s">
        <v>485</v>
      </c>
      <c r="AC207" s="764" t="s">
        <v>485</v>
      </c>
      <c r="AD207" s="764" t="s">
        <v>485</v>
      </c>
      <c r="AE207" s="764" t="s">
        <v>485</v>
      </c>
      <c r="AF207" s="764" t="s">
        <v>485</v>
      </c>
      <c r="AG207" s="774"/>
      <c r="AH207" s="597">
        <v>84.25</v>
      </c>
      <c r="AI207" s="598">
        <v>37</v>
      </c>
    </row>
    <row r="208" spans="1:35" ht="21.95" customHeight="1">
      <c r="A208" s="442">
        <v>3701</v>
      </c>
      <c r="B208" s="542" t="s">
        <v>678</v>
      </c>
      <c r="C208" s="768"/>
      <c r="D208" s="977">
        <v>19</v>
      </c>
      <c r="E208" s="768"/>
      <c r="F208" s="768"/>
      <c r="G208" s="768" t="s">
        <v>491</v>
      </c>
      <c r="H208" s="768" t="s">
        <v>491</v>
      </c>
      <c r="I208" s="768" t="s">
        <v>491</v>
      </c>
      <c r="J208" s="768" t="s">
        <v>491</v>
      </c>
      <c r="K208" s="1007" t="s">
        <v>491</v>
      </c>
      <c r="L208" s="768"/>
      <c r="M208" s="768"/>
      <c r="N208" s="768" t="s">
        <v>491</v>
      </c>
      <c r="O208" s="768" t="s">
        <v>491</v>
      </c>
      <c r="P208" s="768" t="s">
        <v>491</v>
      </c>
      <c r="Q208" s="768" t="s">
        <v>491</v>
      </c>
      <c r="R208" s="768" t="s">
        <v>491</v>
      </c>
      <c r="S208" s="768"/>
      <c r="T208" s="768"/>
      <c r="U208" s="768" t="s">
        <v>491</v>
      </c>
      <c r="V208" s="768" t="s">
        <v>491</v>
      </c>
      <c r="W208" s="768" t="s">
        <v>491</v>
      </c>
      <c r="X208" s="768" t="s">
        <v>491</v>
      </c>
      <c r="Y208" s="768" t="s">
        <v>491</v>
      </c>
      <c r="Z208" s="768"/>
      <c r="AA208" s="768"/>
      <c r="AB208" s="768" t="s">
        <v>491</v>
      </c>
      <c r="AC208" s="768" t="s">
        <v>491</v>
      </c>
      <c r="AD208" s="768" t="s">
        <v>491</v>
      </c>
      <c r="AE208" s="768" t="s">
        <v>491</v>
      </c>
      <c r="AF208" s="768" t="s">
        <v>491</v>
      </c>
      <c r="AG208" s="774"/>
      <c r="AH208" s="597">
        <v>23</v>
      </c>
      <c r="AI208" s="598">
        <v>37</v>
      </c>
    </row>
    <row r="209" spans="1:35" ht="21.95" customHeight="1">
      <c r="A209" s="442">
        <v>3701</v>
      </c>
      <c r="B209" s="821" t="s">
        <v>679</v>
      </c>
      <c r="C209" s="768"/>
      <c r="D209" s="1144" t="s">
        <v>491</v>
      </c>
      <c r="E209" s="768"/>
      <c r="F209" s="768"/>
      <c r="G209" s="764">
        <v>19</v>
      </c>
      <c r="H209" s="764">
        <v>19</v>
      </c>
      <c r="I209" s="764">
        <v>19</v>
      </c>
      <c r="J209" s="764">
        <v>19</v>
      </c>
      <c r="K209" s="764">
        <v>19</v>
      </c>
      <c r="L209" s="768"/>
      <c r="M209" s="768"/>
      <c r="N209" s="768" t="s">
        <v>491</v>
      </c>
      <c r="O209" s="768" t="s">
        <v>491</v>
      </c>
      <c r="P209" s="768" t="s">
        <v>491</v>
      </c>
      <c r="Q209" s="768" t="s">
        <v>491</v>
      </c>
      <c r="R209" s="768" t="s">
        <v>491</v>
      </c>
      <c r="S209" s="768"/>
      <c r="T209" s="768"/>
      <c r="U209" s="764" t="s">
        <v>485</v>
      </c>
      <c r="V209" s="764" t="s">
        <v>485</v>
      </c>
      <c r="W209" s="764" t="s">
        <v>485</v>
      </c>
      <c r="X209" s="764" t="s">
        <v>485</v>
      </c>
      <c r="Y209" s="764" t="s">
        <v>485</v>
      </c>
      <c r="Z209" s="768"/>
      <c r="AA209" s="768"/>
      <c r="AB209" s="768" t="s">
        <v>491</v>
      </c>
      <c r="AC209" s="768" t="s">
        <v>491</v>
      </c>
      <c r="AD209" s="768" t="s">
        <v>491</v>
      </c>
      <c r="AE209" s="768" t="s">
        <v>491</v>
      </c>
      <c r="AF209" s="768" t="s">
        <v>491</v>
      </c>
      <c r="AG209" s="774"/>
      <c r="AH209" s="597">
        <v>78.25</v>
      </c>
      <c r="AI209" s="598">
        <v>37</v>
      </c>
    </row>
    <row r="210" spans="1:35" ht="21.95" customHeight="1">
      <c r="A210" s="820">
        <v>3701</v>
      </c>
      <c r="B210" s="792" t="s">
        <v>680</v>
      </c>
      <c r="C210" s="768"/>
      <c r="D210" s="977" t="s">
        <v>491</v>
      </c>
      <c r="E210" s="768"/>
      <c r="F210" s="768"/>
      <c r="G210" s="768" t="s">
        <v>491</v>
      </c>
      <c r="H210" s="768" t="s">
        <v>491</v>
      </c>
      <c r="I210" s="768" t="s">
        <v>491</v>
      </c>
      <c r="J210" s="768" t="s">
        <v>491</v>
      </c>
      <c r="K210" s="768" t="s">
        <v>491</v>
      </c>
      <c r="L210" s="768"/>
      <c r="M210" s="768"/>
      <c r="N210" s="768" t="s">
        <v>491</v>
      </c>
      <c r="O210" s="768" t="s">
        <v>491</v>
      </c>
      <c r="P210" s="768" t="s">
        <v>491</v>
      </c>
      <c r="Q210" s="768" t="s">
        <v>491</v>
      </c>
      <c r="R210" s="768" t="s">
        <v>491</v>
      </c>
      <c r="S210" s="768"/>
      <c r="T210" s="768"/>
      <c r="U210" s="1038" t="s">
        <v>491</v>
      </c>
      <c r="V210" s="1038" t="s">
        <v>491</v>
      </c>
      <c r="W210" s="1038" t="s">
        <v>491</v>
      </c>
      <c r="X210" s="1038" t="s">
        <v>491</v>
      </c>
      <c r="Y210" s="1038" t="s">
        <v>491</v>
      </c>
      <c r="Z210" s="768"/>
      <c r="AA210" s="768"/>
      <c r="AB210" s="768" t="s">
        <v>491</v>
      </c>
      <c r="AC210" s="768" t="s">
        <v>491</v>
      </c>
      <c r="AD210" s="768" t="s">
        <v>491</v>
      </c>
      <c r="AE210" s="768" t="s">
        <v>491</v>
      </c>
      <c r="AF210" s="768" t="s">
        <v>491</v>
      </c>
      <c r="AG210" s="774"/>
      <c r="AH210" s="597">
        <v>74</v>
      </c>
      <c r="AI210" s="598">
        <v>37</v>
      </c>
    </row>
    <row r="211" spans="1:35" ht="21.95" customHeight="1" thickBot="1">
      <c r="A211" s="442">
        <v>3701</v>
      </c>
      <c r="B211" s="904" t="s">
        <v>681</v>
      </c>
      <c r="C211" s="768"/>
      <c r="D211" s="977" t="s">
        <v>491</v>
      </c>
      <c r="E211" s="768"/>
      <c r="F211" s="768"/>
      <c r="G211" s="970" t="s">
        <v>491</v>
      </c>
      <c r="H211" s="970" t="s">
        <v>491</v>
      </c>
      <c r="I211" s="970" t="s">
        <v>491</v>
      </c>
      <c r="J211" s="970" t="s">
        <v>491</v>
      </c>
      <c r="K211" s="970" t="s">
        <v>491</v>
      </c>
      <c r="L211" s="970"/>
      <c r="M211" s="970"/>
      <c r="N211" s="970" t="s">
        <v>491</v>
      </c>
      <c r="O211" s="970" t="s">
        <v>491</v>
      </c>
      <c r="P211" s="768" t="s">
        <v>491</v>
      </c>
      <c r="Q211" s="768" t="s">
        <v>491</v>
      </c>
      <c r="R211" s="768" t="s">
        <v>491</v>
      </c>
      <c r="S211" s="768"/>
      <c r="T211" s="768"/>
      <c r="U211" s="768" t="s">
        <v>491</v>
      </c>
      <c r="V211" s="768" t="s">
        <v>491</v>
      </c>
      <c r="W211" s="768" t="s">
        <v>491</v>
      </c>
      <c r="X211" s="768" t="s">
        <v>491</v>
      </c>
      <c r="Y211" s="768" t="s">
        <v>491</v>
      </c>
      <c r="Z211" s="768"/>
      <c r="AA211" s="768"/>
      <c r="AB211" s="768" t="s">
        <v>491</v>
      </c>
      <c r="AC211" s="768" t="s">
        <v>491</v>
      </c>
      <c r="AD211" s="768" t="s">
        <v>491</v>
      </c>
      <c r="AE211" s="768" t="s">
        <v>491</v>
      </c>
      <c r="AF211" s="768" t="s">
        <v>491</v>
      </c>
      <c r="AG211" s="774"/>
      <c r="AH211" s="597">
        <v>96</v>
      </c>
      <c r="AI211" s="598">
        <v>37</v>
      </c>
    </row>
    <row r="212" spans="1:35" ht="21.95" customHeight="1">
      <c r="A212" s="442">
        <v>3701</v>
      </c>
      <c r="B212" s="789" t="s">
        <v>436</v>
      </c>
      <c r="C212" s="768"/>
      <c r="D212" s="977" t="s">
        <v>491</v>
      </c>
      <c r="E212" s="768"/>
      <c r="F212" s="768"/>
      <c r="G212" s="768" t="s">
        <v>491</v>
      </c>
      <c r="H212" s="768" t="s">
        <v>491</v>
      </c>
      <c r="I212" s="768" t="s">
        <v>491</v>
      </c>
      <c r="J212" s="768" t="s">
        <v>491</v>
      </c>
      <c r="K212" s="768" t="s">
        <v>491</v>
      </c>
      <c r="L212" s="768"/>
      <c r="M212" s="768"/>
      <c r="N212" s="768" t="s">
        <v>491</v>
      </c>
      <c r="O212" s="768" t="s">
        <v>491</v>
      </c>
      <c r="P212" s="768" t="s">
        <v>491</v>
      </c>
      <c r="Q212" s="768" t="s">
        <v>491</v>
      </c>
      <c r="R212" s="768" t="s">
        <v>491</v>
      </c>
      <c r="S212" s="768"/>
      <c r="T212" s="768"/>
      <c r="U212" s="768" t="s">
        <v>491</v>
      </c>
      <c r="V212" s="768" t="s">
        <v>491</v>
      </c>
      <c r="W212" s="768" t="s">
        <v>491</v>
      </c>
      <c r="X212" s="768" t="s">
        <v>491</v>
      </c>
      <c r="Y212" s="768" t="s">
        <v>491</v>
      </c>
      <c r="Z212" s="768"/>
      <c r="AA212" s="768"/>
      <c r="AB212" s="768" t="s">
        <v>491</v>
      </c>
      <c r="AC212" s="768" t="s">
        <v>491</v>
      </c>
      <c r="AD212" s="768" t="s">
        <v>491</v>
      </c>
      <c r="AE212" s="970" t="s">
        <v>491</v>
      </c>
      <c r="AF212" s="970" t="s">
        <v>491</v>
      </c>
      <c r="AG212" s="774"/>
      <c r="AH212" s="597">
        <v>1.75</v>
      </c>
      <c r="AI212" s="598">
        <v>37</v>
      </c>
    </row>
    <row r="213" spans="1:35" ht="21.95" customHeight="1" thickBot="1">
      <c r="A213" s="442">
        <v>3701</v>
      </c>
      <c r="B213" s="904" t="s">
        <v>787</v>
      </c>
      <c r="C213" s="768"/>
      <c r="D213" s="768"/>
      <c r="E213" s="768"/>
      <c r="F213" s="768"/>
      <c r="G213" s="768" t="s">
        <v>491</v>
      </c>
      <c r="H213" s="768" t="s">
        <v>491</v>
      </c>
      <c r="I213" s="768" t="s">
        <v>491</v>
      </c>
      <c r="J213" s="768" t="s">
        <v>491</v>
      </c>
      <c r="K213" s="768" t="s">
        <v>491</v>
      </c>
      <c r="L213" s="768"/>
      <c r="M213" s="768"/>
      <c r="N213" s="1296" t="s">
        <v>491</v>
      </c>
      <c r="O213" s="768" t="s">
        <v>491</v>
      </c>
      <c r="P213" s="768" t="s">
        <v>491</v>
      </c>
      <c r="Q213" s="768" t="s">
        <v>491</v>
      </c>
      <c r="R213" s="768" t="s">
        <v>491</v>
      </c>
      <c r="S213" s="768"/>
      <c r="T213" s="768"/>
      <c r="U213" s="768" t="s">
        <v>491</v>
      </c>
      <c r="V213" s="768" t="s">
        <v>491</v>
      </c>
      <c r="W213" s="768" t="s">
        <v>491</v>
      </c>
      <c r="X213" s="1038" t="s">
        <v>493</v>
      </c>
      <c r="Y213" s="987" t="s">
        <v>491</v>
      </c>
      <c r="Z213" s="768"/>
      <c r="AA213" s="768"/>
      <c r="AB213" s="768" t="s">
        <v>491</v>
      </c>
      <c r="AC213" s="768" t="s">
        <v>491</v>
      </c>
      <c r="AD213" s="768" t="s">
        <v>491</v>
      </c>
      <c r="AE213" s="768" t="s">
        <v>491</v>
      </c>
      <c r="AF213" s="768" t="s">
        <v>491</v>
      </c>
      <c r="AG213" s="774"/>
      <c r="AH213" s="597">
        <v>185</v>
      </c>
      <c r="AI213" s="598">
        <v>37</v>
      </c>
    </row>
    <row r="214" spans="1:35" ht="21.95" customHeight="1" thickBot="1">
      <c r="A214" s="903">
        <v>3701</v>
      </c>
      <c r="B214" s="1299" t="s">
        <v>788</v>
      </c>
      <c r="C214" s="772"/>
      <c r="D214" s="772"/>
      <c r="E214" s="772"/>
      <c r="F214" s="772"/>
      <c r="G214" s="772" t="s">
        <v>491</v>
      </c>
      <c r="H214" s="772" t="s">
        <v>491</v>
      </c>
      <c r="I214" s="772" t="s">
        <v>491</v>
      </c>
      <c r="J214" s="772" t="s">
        <v>491</v>
      </c>
      <c r="K214" s="772" t="s">
        <v>491</v>
      </c>
      <c r="L214" s="772"/>
      <c r="M214" s="772"/>
      <c r="N214" s="772" t="s">
        <v>491</v>
      </c>
      <c r="O214" s="772" t="s">
        <v>491</v>
      </c>
      <c r="P214" s="772" t="s">
        <v>491</v>
      </c>
      <c r="Q214" s="772" t="s">
        <v>491</v>
      </c>
      <c r="R214" s="772" t="s">
        <v>491</v>
      </c>
      <c r="S214" s="772"/>
      <c r="T214" s="772"/>
      <c r="U214" s="772" t="s">
        <v>491</v>
      </c>
      <c r="V214" s="772" t="s">
        <v>491</v>
      </c>
      <c r="W214" s="772" t="s">
        <v>491</v>
      </c>
      <c r="X214" s="772" t="s">
        <v>491</v>
      </c>
      <c r="Y214" s="772" t="s">
        <v>491</v>
      </c>
      <c r="Z214" s="772"/>
      <c r="AA214" s="772"/>
      <c r="AB214" s="772" t="s">
        <v>491</v>
      </c>
      <c r="AC214" s="772" t="s">
        <v>491</v>
      </c>
      <c r="AD214" s="772" t="s">
        <v>491</v>
      </c>
      <c r="AE214" s="772" t="s">
        <v>491</v>
      </c>
      <c r="AF214" s="772" t="s">
        <v>491</v>
      </c>
      <c r="AG214" s="958"/>
      <c r="AH214" s="597"/>
      <c r="AI214" s="598"/>
    </row>
    <row r="215" spans="1:35" ht="21.95" customHeight="1">
      <c r="A215" s="574"/>
      <c r="B215" s="1301" t="s">
        <v>188</v>
      </c>
      <c r="C215" s="851"/>
      <c r="D215" s="851"/>
      <c r="E215" s="851"/>
      <c r="F215" s="851"/>
      <c r="G215" s="782" t="s">
        <v>491</v>
      </c>
      <c r="H215" s="782" t="s">
        <v>491</v>
      </c>
      <c r="I215" s="782" t="s">
        <v>491</v>
      </c>
      <c r="J215" s="782" t="s">
        <v>491</v>
      </c>
      <c r="K215" s="782" t="s">
        <v>491</v>
      </c>
      <c r="L215" s="782"/>
      <c r="M215" s="782"/>
      <c r="N215" s="782" t="s">
        <v>491</v>
      </c>
      <c r="O215" s="782" t="s">
        <v>491</v>
      </c>
      <c r="P215" s="782" t="s">
        <v>491</v>
      </c>
      <c r="Q215" s="782" t="s">
        <v>491</v>
      </c>
      <c r="R215" s="782" t="s">
        <v>491</v>
      </c>
      <c r="S215" s="782"/>
      <c r="T215" s="782"/>
      <c r="U215" s="782" t="s">
        <v>491</v>
      </c>
      <c r="V215" s="782" t="s">
        <v>491</v>
      </c>
      <c r="W215" s="782" t="s">
        <v>491</v>
      </c>
      <c r="X215" s="782" t="s">
        <v>491</v>
      </c>
      <c r="Y215" s="782" t="s">
        <v>491</v>
      </c>
      <c r="Z215" s="782"/>
      <c r="AA215" s="782"/>
      <c r="AB215" s="782" t="s">
        <v>491</v>
      </c>
      <c r="AC215" s="782" t="s">
        <v>491</v>
      </c>
      <c r="AD215" s="1282" t="s">
        <v>491</v>
      </c>
      <c r="AE215" s="1282" t="s">
        <v>491</v>
      </c>
      <c r="AF215" s="782" t="s">
        <v>491</v>
      </c>
      <c r="AG215" s="851"/>
      <c r="AH215" s="998">
        <v>87</v>
      </c>
      <c r="AI215" s="998">
        <v>21.5</v>
      </c>
    </row>
    <row r="216" spans="1:35" ht="21" customHeight="1" thickBot="1">
      <c r="A216" s="1" t="s">
        <v>682</v>
      </c>
    </row>
    <row r="217" spans="1:35" ht="21" customHeight="1">
      <c r="B217" s="201" t="s">
        <v>664</v>
      </c>
      <c r="C217" s="7"/>
      <c r="D217" s="522" t="s">
        <v>2</v>
      </c>
      <c r="E217" s="51"/>
      <c r="F217" s="548"/>
      <c r="G217" s="7"/>
      <c r="H217" s="522" t="s">
        <v>3</v>
      </c>
      <c r="I217" s="51"/>
      <c r="J217" s="548"/>
      <c r="K217" s="7"/>
      <c r="L217" s="522" t="s">
        <v>4</v>
      </c>
      <c r="M217" s="51"/>
      <c r="N217" s="548"/>
      <c r="O217" s="7"/>
      <c r="P217" s="522" t="s">
        <v>5</v>
      </c>
      <c r="Q217" s="51"/>
      <c r="R217" s="548"/>
      <c r="S217" s="7"/>
      <c r="T217" s="522" t="s">
        <v>6</v>
      </c>
      <c r="U217" s="51"/>
      <c r="V217" s="548"/>
      <c r="W217" s="7"/>
      <c r="X217" s="522" t="s">
        <v>7</v>
      </c>
      <c r="Y217" s="51"/>
      <c r="Z217" s="548"/>
      <c r="AA217" s="7"/>
      <c r="AB217" s="522" t="s">
        <v>8</v>
      </c>
      <c r="AC217" s="51"/>
      <c r="AD217" s="51"/>
      <c r="AE217" s="425" t="s">
        <v>10</v>
      </c>
      <c r="AF217" s="51"/>
      <c r="AG217" s="51"/>
      <c r="AH217" s="51"/>
      <c r="AI217" s="523"/>
    </row>
    <row r="218" spans="1:35" ht="21" customHeight="1">
      <c r="B218" s="9">
        <v>8502</v>
      </c>
      <c r="C218" s="14" t="s">
        <v>11</v>
      </c>
      <c r="D218" s="603"/>
      <c r="E218" s="55"/>
      <c r="F218" s="602"/>
      <c r="G218" s="14" t="s">
        <v>11</v>
      </c>
      <c r="H218" s="603"/>
      <c r="I218" s="55"/>
      <c r="J218" s="602"/>
      <c r="K218" s="14" t="s">
        <v>11</v>
      </c>
      <c r="L218" s="603"/>
      <c r="M218" s="55"/>
      <c r="N218" s="602"/>
      <c r="O218" s="14" t="s">
        <v>11</v>
      </c>
      <c r="P218" s="603"/>
      <c r="Q218" s="55"/>
      <c r="R218" s="602"/>
      <c r="S218" s="14" t="s">
        <v>12</v>
      </c>
      <c r="T218" s="603"/>
      <c r="U218" s="55"/>
      <c r="V218" s="602"/>
      <c r="W218" s="14"/>
      <c r="X218" s="603"/>
      <c r="Y218" s="55"/>
      <c r="Z218" s="602"/>
      <c r="AA218" s="14"/>
      <c r="AB218" s="603"/>
      <c r="AC218" s="55"/>
      <c r="AD218" s="55"/>
      <c r="AE218" s="604"/>
      <c r="AF218" s="55"/>
      <c r="AG218" s="55"/>
      <c r="AH218" s="55"/>
      <c r="AI218" s="605"/>
    </row>
    <row r="219" spans="1:35" ht="21" customHeight="1">
      <c r="B219" s="606">
        <v>3701</v>
      </c>
      <c r="C219" s="121" t="s">
        <v>11</v>
      </c>
      <c r="D219" s="131"/>
      <c r="E219" s="55"/>
      <c r="F219" s="602"/>
      <c r="G219" s="121" t="s">
        <v>11</v>
      </c>
      <c r="H219" s="603"/>
      <c r="I219" s="55"/>
      <c r="J219" s="602"/>
      <c r="K219" s="121" t="s">
        <v>11</v>
      </c>
      <c r="L219" s="603"/>
      <c r="M219" s="55"/>
      <c r="N219" s="602"/>
      <c r="O219" s="121" t="s">
        <v>11</v>
      </c>
      <c r="P219" s="603"/>
      <c r="Q219" s="55"/>
      <c r="R219" s="602"/>
      <c r="S219" s="14" t="s">
        <v>12</v>
      </c>
      <c r="T219" s="603"/>
      <c r="U219" s="55"/>
      <c r="V219" s="602"/>
      <c r="W219" s="14"/>
      <c r="X219" s="603"/>
      <c r="Y219" s="55"/>
      <c r="Z219" s="602"/>
      <c r="AA219" s="14"/>
      <c r="AB219" s="603"/>
      <c r="AC219" s="55"/>
      <c r="AD219" s="55"/>
      <c r="AE219" s="604"/>
      <c r="AF219" s="55"/>
      <c r="AG219" s="55"/>
      <c r="AH219" s="55"/>
      <c r="AI219" s="605"/>
    </row>
    <row r="220" spans="1:35" ht="21" customHeight="1">
      <c r="B220" s="606">
        <v>3705</v>
      </c>
      <c r="C220" s="121" t="s">
        <v>147</v>
      </c>
      <c r="D220" s="131"/>
      <c r="E220" s="55"/>
      <c r="F220" s="602"/>
      <c r="G220" s="121" t="s">
        <v>147</v>
      </c>
      <c r="H220" s="603"/>
      <c r="I220" s="55"/>
      <c r="J220" s="602"/>
      <c r="K220" s="121" t="s">
        <v>147</v>
      </c>
      <c r="L220" s="603"/>
      <c r="M220" s="55"/>
      <c r="N220" s="602"/>
      <c r="O220" s="121" t="s">
        <v>147</v>
      </c>
      <c r="P220" s="603"/>
      <c r="Q220" s="55"/>
      <c r="R220" s="602"/>
      <c r="S220" s="121" t="s">
        <v>537</v>
      </c>
      <c r="T220" s="603"/>
      <c r="U220" s="55"/>
      <c r="V220" s="602"/>
      <c r="W220" s="14"/>
      <c r="X220" s="603"/>
      <c r="Y220" s="55"/>
      <c r="Z220" s="602"/>
      <c r="AA220" s="14"/>
      <c r="AB220" s="603"/>
      <c r="AC220" s="55"/>
      <c r="AD220" s="55"/>
      <c r="AE220" s="604"/>
      <c r="AF220" s="55"/>
      <c r="AG220" s="55"/>
      <c r="AH220" s="55"/>
      <c r="AI220" s="605"/>
    </row>
    <row r="221" spans="1:35" ht="21" customHeight="1">
      <c r="B221" s="606">
        <v>3702</v>
      </c>
      <c r="C221" s="563" t="s">
        <v>683</v>
      </c>
      <c r="D221" s="131"/>
      <c r="E221" s="55"/>
      <c r="F221" s="602"/>
      <c r="G221" s="563" t="s">
        <v>683</v>
      </c>
      <c r="H221" s="131"/>
      <c r="I221" s="55"/>
      <c r="J221" s="602"/>
      <c r="K221" s="563" t="s">
        <v>683</v>
      </c>
      <c r="L221" s="131"/>
      <c r="M221" s="55"/>
      <c r="N221" s="602"/>
      <c r="O221" s="563" t="s">
        <v>683</v>
      </c>
      <c r="P221" s="131"/>
      <c r="Q221" s="55"/>
      <c r="R221" s="602"/>
      <c r="S221" s="563" t="s">
        <v>270</v>
      </c>
      <c r="T221" s="131"/>
      <c r="U221" s="55"/>
      <c r="V221" s="602"/>
      <c r="W221" s="14"/>
      <c r="X221" s="603"/>
      <c r="Y221" s="55"/>
      <c r="Z221" s="602"/>
      <c r="AA221" s="14"/>
      <c r="AB221" s="603"/>
      <c r="AC221" s="55"/>
      <c r="AD221" s="55"/>
      <c r="AE221" s="604"/>
      <c r="AF221" s="55"/>
      <c r="AG221" s="55"/>
      <c r="AH221" s="55"/>
      <c r="AI221" s="605"/>
    </row>
    <row r="222" spans="1:35" ht="21" customHeight="1">
      <c r="B222" s="606"/>
      <c r="C222" s="563"/>
      <c r="D222" s="131"/>
      <c r="E222" s="55"/>
      <c r="F222" s="602"/>
      <c r="G222" s="603"/>
      <c r="H222" s="603"/>
      <c r="I222" s="55"/>
      <c r="J222" s="602"/>
      <c r="K222" s="603"/>
      <c r="L222" s="603"/>
      <c r="M222" s="55"/>
      <c r="N222" s="602"/>
      <c r="O222" s="603"/>
      <c r="P222" s="603"/>
      <c r="Q222" s="55"/>
      <c r="R222" s="602"/>
      <c r="S222" s="603"/>
      <c r="T222" s="603"/>
      <c r="U222" s="55"/>
      <c r="V222" s="602"/>
      <c r="W222" s="14"/>
      <c r="X222" s="603"/>
      <c r="Y222" s="55"/>
      <c r="Z222" s="602"/>
      <c r="AA222" s="14"/>
      <c r="AB222" s="603"/>
      <c r="AC222" s="55"/>
      <c r="AD222" s="55"/>
      <c r="AE222" s="604"/>
      <c r="AF222" s="55"/>
      <c r="AG222" s="55"/>
      <c r="AH222" s="55"/>
      <c r="AI222" s="605"/>
    </row>
    <row r="223" spans="1:35" ht="21" customHeight="1">
      <c r="B223" s="606" t="s">
        <v>324</v>
      </c>
      <c r="C223" s="563" t="s">
        <v>684</v>
      </c>
      <c r="D223" s="131"/>
      <c r="E223" s="55"/>
      <c r="F223" s="602"/>
      <c r="G223" s="563" t="s">
        <v>684</v>
      </c>
      <c r="H223" s="131"/>
      <c r="I223" s="55"/>
      <c r="J223" s="602"/>
      <c r="K223" s="563" t="s">
        <v>684</v>
      </c>
      <c r="L223" s="131"/>
      <c r="M223" s="55"/>
      <c r="N223" s="602"/>
      <c r="O223" s="563" t="s">
        <v>684</v>
      </c>
      <c r="P223" s="131"/>
      <c r="Q223" s="55"/>
      <c r="R223" s="602"/>
      <c r="S223" s="603" t="s">
        <v>685</v>
      </c>
      <c r="T223" s="603"/>
      <c r="U223" s="55"/>
      <c r="V223" s="602"/>
      <c r="W223" s="14"/>
      <c r="X223" s="603"/>
      <c r="Y223" s="55"/>
      <c r="Z223" s="602"/>
      <c r="AA223" s="14"/>
      <c r="AB223" s="603"/>
      <c r="AC223" s="55"/>
      <c r="AD223" s="55"/>
      <c r="AE223" s="604"/>
      <c r="AF223" s="55"/>
      <c r="AG223" s="55"/>
      <c r="AH223" s="55"/>
      <c r="AI223" s="605"/>
    </row>
    <row r="224" spans="1:35" ht="21" customHeight="1">
      <c r="B224" s="606" t="s">
        <v>325</v>
      </c>
      <c r="C224" s="563" t="s">
        <v>686</v>
      </c>
      <c r="D224" s="131"/>
      <c r="E224" s="55"/>
      <c r="F224" s="602"/>
      <c r="G224" s="563" t="s">
        <v>686</v>
      </c>
      <c r="H224" s="131"/>
      <c r="I224" s="55"/>
      <c r="J224" s="602"/>
      <c r="K224" s="563" t="s">
        <v>686</v>
      </c>
      <c r="L224" s="131"/>
      <c r="M224" s="55"/>
      <c r="N224" s="602"/>
      <c r="O224" s="563" t="s">
        <v>686</v>
      </c>
      <c r="P224" s="131"/>
      <c r="Q224" s="55"/>
      <c r="R224" s="602"/>
      <c r="S224" s="603" t="s">
        <v>687</v>
      </c>
      <c r="T224" s="603"/>
      <c r="U224" s="55"/>
      <c r="V224" s="602"/>
      <c r="W224" s="14"/>
      <c r="X224" s="603"/>
      <c r="Y224" s="55"/>
      <c r="Z224" s="602"/>
      <c r="AA224" s="14"/>
      <c r="AB224" s="603"/>
      <c r="AC224" s="55"/>
      <c r="AD224" s="55"/>
      <c r="AE224" s="604"/>
      <c r="AF224" s="55"/>
      <c r="AG224" s="55"/>
      <c r="AH224" s="55"/>
      <c r="AI224" s="605"/>
    </row>
    <row r="225" spans="1:35" ht="21" customHeight="1" thickBot="1">
      <c r="B225" s="611" t="s">
        <v>326</v>
      </c>
      <c r="C225" s="570" t="s">
        <v>688</v>
      </c>
      <c r="D225" s="48"/>
      <c r="E225" s="616"/>
      <c r="F225" s="240"/>
      <c r="G225" s="570" t="s">
        <v>688</v>
      </c>
      <c r="H225" s="48"/>
      <c r="I225" s="616"/>
      <c r="J225" s="240"/>
      <c r="K225" s="570" t="s">
        <v>688</v>
      </c>
      <c r="L225" s="48"/>
      <c r="M225" s="616"/>
      <c r="N225" s="240"/>
      <c r="O225" s="570" t="s">
        <v>688</v>
      </c>
      <c r="P225" s="48"/>
      <c r="Q225" s="616"/>
      <c r="R225" s="240"/>
      <c r="S225" s="149" t="s">
        <v>689</v>
      </c>
      <c r="T225" s="149"/>
      <c r="U225" s="616"/>
      <c r="V225" s="240"/>
      <c r="W225" s="617"/>
      <c r="X225" s="149"/>
      <c r="Y225" s="616"/>
      <c r="Z225" s="240"/>
      <c r="AA225" s="617"/>
      <c r="AB225" s="149"/>
      <c r="AC225" s="616"/>
      <c r="AD225" s="616"/>
      <c r="AE225" s="618"/>
      <c r="AF225" s="616"/>
      <c r="AG225" s="616"/>
      <c r="AH225" s="616"/>
      <c r="AI225" s="619"/>
    </row>
    <row r="226" spans="1:35" ht="21" customHeight="1">
      <c r="B226" s="274"/>
      <c r="C226" s="312"/>
      <c r="D226" s="72"/>
      <c r="G226" s="312"/>
      <c r="H226" s="72"/>
      <c r="K226" s="312"/>
      <c r="L226" s="72"/>
      <c r="O226" s="312"/>
      <c r="P226" s="72"/>
      <c r="S226" s="312"/>
      <c r="T226" s="312"/>
      <c r="X226" s="312"/>
      <c r="AB226" s="312"/>
      <c r="AE226" s="312"/>
    </row>
    <row r="227" spans="1:35" ht="21" customHeight="1" thickBot="1">
      <c r="A227" s="620" t="s">
        <v>789</v>
      </c>
    </row>
    <row r="228" spans="1:35" ht="21" customHeight="1" thickBot="1">
      <c r="A228" s="861"/>
      <c r="B228" s="862" t="s">
        <v>476</v>
      </c>
      <c r="C228" s="880">
        <v>1</v>
      </c>
      <c r="D228" s="863">
        <v>2</v>
      </c>
      <c r="E228" s="880">
        <v>3</v>
      </c>
      <c r="F228" s="880">
        <v>4</v>
      </c>
      <c r="G228" s="863">
        <v>5</v>
      </c>
      <c r="H228" s="863">
        <v>6</v>
      </c>
      <c r="I228" s="863">
        <v>7</v>
      </c>
      <c r="J228" s="863">
        <v>8</v>
      </c>
      <c r="K228" s="863">
        <v>9</v>
      </c>
      <c r="L228" s="880">
        <v>10</v>
      </c>
      <c r="M228" s="880">
        <v>11</v>
      </c>
      <c r="N228" s="863">
        <v>12</v>
      </c>
      <c r="O228" s="863">
        <v>13</v>
      </c>
      <c r="P228" s="863">
        <v>14</v>
      </c>
      <c r="Q228" s="863">
        <v>15</v>
      </c>
      <c r="R228" s="863">
        <v>16</v>
      </c>
      <c r="S228" s="880">
        <v>17</v>
      </c>
      <c r="T228" s="880">
        <v>18</v>
      </c>
      <c r="U228" s="863">
        <v>19</v>
      </c>
      <c r="V228" s="863">
        <v>20</v>
      </c>
      <c r="W228" s="863">
        <v>21</v>
      </c>
      <c r="X228" s="863">
        <v>22</v>
      </c>
      <c r="Y228" s="863">
        <v>23</v>
      </c>
      <c r="Z228" s="880">
        <v>24</v>
      </c>
      <c r="AA228" s="880">
        <v>25</v>
      </c>
      <c r="AB228" s="863">
        <v>26</v>
      </c>
      <c r="AC228" s="863">
        <v>27</v>
      </c>
      <c r="AD228" s="863">
        <v>28</v>
      </c>
      <c r="AE228" s="863">
        <v>29</v>
      </c>
      <c r="AF228" s="863">
        <v>30</v>
      </c>
      <c r="AG228" s="949">
        <v>31</v>
      </c>
      <c r="AH228" s="864" t="s">
        <v>477</v>
      </c>
      <c r="AI228" s="865" t="s">
        <v>478</v>
      </c>
    </row>
    <row r="229" spans="1:35" ht="21" customHeight="1">
      <c r="A229" s="438">
        <v>3702</v>
      </c>
      <c r="B229" s="54" t="s">
        <v>691</v>
      </c>
      <c r="C229" s="976">
        <v>2</v>
      </c>
      <c r="D229" s="976">
        <v>2</v>
      </c>
      <c r="E229" s="976"/>
      <c r="F229" s="976"/>
      <c r="G229" s="764">
        <v>1</v>
      </c>
      <c r="H229" s="764">
        <v>1</v>
      </c>
      <c r="I229" s="871">
        <v>1</v>
      </c>
      <c r="J229" s="871">
        <v>1</v>
      </c>
      <c r="K229" s="871">
        <v>1</v>
      </c>
      <c r="L229" s="871"/>
      <c r="M229" s="871"/>
      <c r="N229" s="871">
        <v>2</v>
      </c>
      <c r="O229" s="871">
        <v>2</v>
      </c>
      <c r="P229" s="871">
        <v>2</v>
      </c>
      <c r="Q229" s="871">
        <v>2</v>
      </c>
      <c r="R229" s="871">
        <v>2</v>
      </c>
      <c r="S229" s="871"/>
      <c r="T229" s="871"/>
      <c r="U229" s="764">
        <v>1</v>
      </c>
      <c r="V229" s="764">
        <v>1</v>
      </c>
      <c r="W229" s="871">
        <v>1</v>
      </c>
      <c r="X229" s="871">
        <v>1</v>
      </c>
      <c r="Y229" s="871">
        <v>1</v>
      </c>
      <c r="Z229" s="871"/>
      <c r="AA229" s="871"/>
      <c r="AB229" s="871">
        <v>2</v>
      </c>
      <c r="AC229" s="871">
        <v>2</v>
      </c>
      <c r="AD229" s="871">
        <v>2</v>
      </c>
      <c r="AE229" s="871">
        <v>2</v>
      </c>
      <c r="AF229" s="871">
        <v>2</v>
      </c>
      <c r="AG229" s="871"/>
      <c r="AH229" s="510">
        <v>0</v>
      </c>
      <c r="AI229" s="511">
        <v>0</v>
      </c>
    </row>
    <row r="230" spans="1:35" ht="21" customHeight="1">
      <c r="A230" s="442">
        <v>3701</v>
      </c>
      <c r="B230" s="153" t="s">
        <v>692</v>
      </c>
      <c r="C230" s="762" t="s">
        <v>491</v>
      </c>
      <c r="D230" s="978" t="s">
        <v>491</v>
      </c>
      <c r="E230" s="762"/>
      <c r="F230" s="762"/>
      <c r="G230" s="768" t="s">
        <v>491</v>
      </c>
      <c r="H230" s="768" t="s">
        <v>491</v>
      </c>
      <c r="I230" s="762" t="s">
        <v>491</v>
      </c>
      <c r="J230" s="762" t="s">
        <v>491</v>
      </c>
      <c r="K230" s="762" t="s">
        <v>491</v>
      </c>
      <c r="L230" s="762"/>
      <c r="M230" s="762"/>
      <c r="N230" s="762" t="s">
        <v>491</v>
      </c>
      <c r="O230" s="762" t="s">
        <v>491</v>
      </c>
      <c r="P230" s="762" t="s">
        <v>491</v>
      </c>
      <c r="Q230" s="762" t="s">
        <v>491</v>
      </c>
      <c r="R230" s="762" t="s">
        <v>491</v>
      </c>
      <c r="S230" s="762"/>
      <c r="T230" s="762"/>
      <c r="U230" s="970" t="s">
        <v>491</v>
      </c>
      <c r="V230" s="970" t="s">
        <v>491</v>
      </c>
      <c r="W230" s="966" t="s">
        <v>491</v>
      </c>
      <c r="X230" s="966" t="s">
        <v>491</v>
      </c>
      <c r="Y230" s="966" t="s">
        <v>491</v>
      </c>
      <c r="Z230" s="966"/>
      <c r="AA230" s="966"/>
      <c r="AB230" s="966" t="s">
        <v>491</v>
      </c>
      <c r="AC230" s="966" t="s">
        <v>491</v>
      </c>
      <c r="AD230" s="966" t="s">
        <v>491</v>
      </c>
      <c r="AE230" s="966" t="s">
        <v>491</v>
      </c>
      <c r="AF230" s="966" t="s">
        <v>491</v>
      </c>
      <c r="AG230" s="762"/>
      <c r="AH230" s="924">
        <v>0</v>
      </c>
      <c r="AI230" s="925">
        <v>37</v>
      </c>
    </row>
    <row r="231" spans="1:35" ht="21" customHeight="1">
      <c r="A231" s="442">
        <v>3702</v>
      </c>
      <c r="B231" s="153" t="s">
        <v>693</v>
      </c>
      <c r="C231" s="762">
        <v>1</v>
      </c>
      <c r="D231" s="978">
        <v>1</v>
      </c>
      <c r="E231" s="762"/>
      <c r="F231" s="762"/>
      <c r="G231" s="768">
        <v>2</v>
      </c>
      <c r="H231" s="768">
        <v>2</v>
      </c>
      <c r="I231" s="762">
        <v>2</v>
      </c>
      <c r="J231" s="762">
        <v>2</v>
      </c>
      <c r="K231" s="762">
        <v>2</v>
      </c>
      <c r="L231" s="762"/>
      <c r="M231" s="762"/>
      <c r="N231" s="762">
        <v>1</v>
      </c>
      <c r="O231" s="762">
        <v>1</v>
      </c>
      <c r="P231" s="762">
        <v>1</v>
      </c>
      <c r="Q231" s="762">
        <v>1</v>
      </c>
      <c r="R231" s="762">
        <v>1</v>
      </c>
      <c r="S231" s="762"/>
      <c r="T231" s="762"/>
      <c r="U231" s="768">
        <v>2</v>
      </c>
      <c r="V231" s="1038" t="s">
        <v>762</v>
      </c>
      <c r="W231" s="762">
        <v>2</v>
      </c>
      <c r="X231" s="762">
        <v>2</v>
      </c>
      <c r="Y231" s="762">
        <v>2</v>
      </c>
      <c r="Z231" s="762"/>
      <c r="AA231" s="762"/>
      <c r="AB231" s="762">
        <v>1</v>
      </c>
      <c r="AC231" s="762">
        <v>1</v>
      </c>
      <c r="AD231" s="762">
        <v>1</v>
      </c>
      <c r="AE231" s="762">
        <v>1</v>
      </c>
      <c r="AF231" s="762">
        <v>1</v>
      </c>
      <c r="AG231" s="762"/>
      <c r="AH231" s="924">
        <v>140.5</v>
      </c>
      <c r="AI231" s="925">
        <v>7.5</v>
      </c>
    </row>
    <row r="232" spans="1:35" ht="21" customHeight="1">
      <c r="A232" s="621">
        <v>3706</v>
      </c>
      <c r="B232" s="854"/>
      <c r="C232" s="768"/>
      <c r="D232" s="768"/>
      <c r="E232" s="768"/>
      <c r="F232" s="768"/>
      <c r="G232" s="768"/>
      <c r="H232" s="768"/>
      <c r="I232" s="768"/>
      <c r="J232" s="768"/>
      <c r="K232" s="768"/>
      <c r="L232" s="768"/>
      <c r="M232" s="768"/>
      <c r="N232" s="768"/>
      <c r="O232" s="768"/>
      <c r="P232" s="768"/>
      <c r="Q232" s="768"/>
      <c r="R232" s="768"/>
      <c r="S232" s="768"/>
      <c r="T232" s="768"/>
      <c r="U232" s="768"/>
      <c r="V232" s="768"/>
      <c r="W232" s="768"/>
      <c r="X232" s="768"/>
      <c r="Y232" s="768"/>
      <c r="Z232" s="768"/>
      <c r="AA232" s="768"/>
      <c r="AB232" s="768"/>
      <c r="AC232" s="768"/>
      <c r="AD232" s="768"/>
      <c r="AE232" s="768"/>
      <c r="AF232" s="768"/>
      <c r="AG232" s="768"/>
      <c r="AH232" s="924">
        <v>111</v>
      </c>
      <c r="AI232" s="925">
        <v>37</v>
      </c>
    </row>
    <row r="233" spans="1:35" ht="21" customHeight="1">
      <c r="A233" s="622"/>
      <c r="B233" s="623" t="s">
        <v>695</v>
      </c>
      <c r="C233" s="940"/>
      <c r="D233" s="940"/>
      <c r="E233" s="940"/>
      <c r="F233" s="940"/>
      <c r="G233" s="940"/>
      <c r="H233" s="940"/>
      <c r="I233" s="940"/>
      <c r="J233" s="940"/>
      <c r="K233" s="940"/>
      <c r="L233" s="940"/>
      <c r="M233" s="940"/>
      <c r="N233" s="940"/>
      <c r="O233" s="940"/>
      <c r="P233" s="940"/>
      <c r="Q233" s="940"/>
      <c r="R233" s="940"/>
      <c r="S233" s="940"/>
      <c r="T233" s="940"/>
      <c r="U233" s="940"/>
      <c r="V233" s="940"/>
      <c r="W233" s="940"/>
      <c r="X233" s="940"/>
      <c r="Y233" s="940"/>
      <c r="Z233" s="940"/>
      <c r="AA233" s="940"/>
      <c r="AB233" s="940"/>
      <c r="AC233" s="940"/>
      <c r="AD233" s="940"/>
      <c r="AE233" s="940"/>
      <c r="AF233" s="940"/>
      <c r="AG233" s="922"/>
      <c r="AH233" s="624"/>
      <c r="AI233" s="625"/>
    </row>
    <row r="234" spans="1:35" ht="21" customHeight="1">
      <c r="A234" s="442">
        <v>3702</v>
      </c>
      <c r="B234" s="793" t="s">
        <v>696</v>
      </c>
      <c r="C234" s="762" t="s">
        <v>697</v>
      </c>
      <c r="D234" s="966" t="s">
        <v>697</v>
      </c>
      <c r="E234" s="762"/>
      <c r="F234" s="762"/>
      <c r="G234" s="762" t="s">
        <v>697</v>
      </c>
      <c r="H234" s="966" t="s">
        <v>697</v>
      </c>
      <c r="I234" s="762" t="s">
        <v>697</v>
      </c>
      <c r="J234" s="762" t="s">
        <v>697</v>
      </c>
      <c r="K234" s="762" t="s">
        <v>697</v>
      </c>
      <c r="L234" s="762"/>
      <c r="M234" s="762"/>
      <c r="N234" s="762" t="s">
        <v>697</v>
      </c>
      <c r="O234" s="762" t="s">
        <v>697</v>
      </c>
      <c r="P234" s="762" t="s">
        <v>697</v>
      </c>
      <c r="Q234" s="762" t="s">
        <v>697</v>
      </c>
      <c r="R234" s="762" t="s">
        <v>697</v>
      </c>
      <c r="S234" s="762"/>
      <c r="T234" s="762"/>
      <c r="U234" s="762" t="s">
        <v>697</v>
      </c>
      <c r="V234" s="762" t="s">
        <v>697</v>
      </c>
      <c r="W234" s="762" t="s">
        <v>697</v>
      </c>
      <c r="X234" s="762" t="s">
        <v>697</v>
      </c>
      <c r="Y234" s="762" t="s">
        <v>697</v>
      </c>
      <c r="Z234" s="762"/>
      <c r="AA234" s="762"/>
      <c r="AB234" s="762" t="s">
        <v>697</v>
      </c>
      <c r="AC234" s="762" t="s">
        <v>697</v>
      </c>
      <c r="AD234" s="762" t="s">
        <v>697</v>
      </c>
      <c r="AE234" s="762" t="s">
        <v>697</v>
      </c>
      <c r="AF234" s="762" t="s">
        <v>697</v>
      </c>
      <c r="AG234" s="762"/>
      <c r="AH234" s="924">
        <v>52</v>
      </c>
      <c r="AI234" s="925">
        <v>37</v>
      </c>
    </row>
    <row r="235" spans="1:35" ht="21" customHeight="1">
      <c r="A235" s="442"/>
      <c r="B235" s="153" t="s">
        <v>698</v>
      </c>
      <c r="C235" s="762" t="s">
        <v>699</v>
      </c>
      <c r="D235" s="1286" t="s">
        <v>699</v>
      </c>
      <c r="E235" s="762"/>
      <c r="F235" s="762"/>
      <c r="G235" s="762" t="s">
        <v>699</v>
      </c>
      <c r="H235" s="762" t="s">
        <v>699</v>
      </c>
      <c r="I235" s="762" t="s">
        <v>699</v>
      </c>
      <c r="J235" s="762" t="s">
        <v>699</v>
      </c>
      <c r="K235" s="762" t="s">
        <v>699</v>
      </c>
      <c r="L235" s="762"/>
      <c r="M235" s="762"/>
      <c r="N235" s="762" t="s">
        <v>699</v>
      </c>
      <c r="O235" s="762" t="s">
        <v>699</v>
      </c>
      <c r="P235" s="762" t="s">
        <v>699</v>
      </c>
      <c r="Q235" s="762" t="s">
        <v>699</v>
      </c>
      <c r="R235" s="762" t="s">
        <v>699</v>
      </c>
      <c r="S235" s="762"/>
      <c r="T235" s="762"/>
      <c r="U235" s="762" t="s">
        <v>699</v>
      </c>
      <c r="V235" s="762" t="s">
        <v>699</v>
      </c>
      <c r="W235" s="762" t="s">
        <v>699</v>
      </c>
      <c r="X235" s="762" t="s">
        <v>699</v>
      </c>
      <c r="Y235" s="762" t="s">
        <v>699</v>
      </c>
      <c r="Z235" s="762"/>
      <c r="AA235" s="762"/>
      <c r="AB235" s="762" t="s">
        <v>699</v>
      </c>
      <c r="AC235" s="762" t="s">
        <v>699</v>
      </c>
      <c r="AD235" s="762" t="s">
        <v>699</v>
      </c>
      <c r="AE235" s="762" t="s">
        <v>699</v>
      </c>
      <c r="AF235" s="762" t="s">
        <v>699</v>
      </c>
      <c r="AG235" s="762"/>
      <c r="AH235" s="924">
        <v>18</v>
      </c>
      <c r="AI235" s="925">
        <v>37</v>
      </c>
    </row>
    <row r="236" spans="1:35" ht="21" customHeight="1" thickBot="1">
      <c r="A236" s="906"/>
      <c r="B236" s="895" t="s">
        <v>700</v>
      </c>
      <c r="C236" s="875" t="s">
        <v>701</v>
      </c>
      <c r="D236" s="990" t="s">
        <v>701</v>
      </c>
      <c r="E236" s="875"/>
      <c r="F236" s="875"/>
      <c r="G236" s="875" t="s">
        <v>701</v>
      </c>
      <c r="H236" s="875" t="s">
        <v>701</v>
      </c>
      <c r="I236" s="875" t="s">
        <v>701</v>
      </c>
      <c r="J236" s="875" t="s">
        <v>701</v>
      </c>
      <c r="K236" s="875" t="s">
        <v>701</v>
      </c>
      <c r="L236" s="875"/>
      <c r="M236" s="875"/>
      <c r="N236" s="875" t="s">
        <v>701</v>
      </c>
      <c r="O236" s="875" t="s">
        <v>701</v>
      </c>
      <c r="P236" s="875" t="s">
        <v>701</v>
      </c>
      <c r="Q236" s="875" t="s">
        <v>701</v>
      </c>
      <c r="R236" s="875" t="s">
        <v>701</v>
      </c>
      <c r="S236" s="875"/>
      <c r="T236" s="875"/>
      <c r="U236" s="875" t="s">
        <v>701</v>
      </c>
      <c r="V236" s="875" t="s">
        <v>701</v>
      </c>
      <c r="W236" s="875" t="s">
        <v>701</v>
      </c>
      <c r="X236" s="875" t="s">
        <v>701</v>
      </c>
      <c r="Y236" s="875" t="s">
        <v>701</v>
      </c>
      <c r="Z236" s="875"/>
      <c r="AA236" s="875"/>
      <c r="AB236" s="875" t="s">
        <v>701</v>
      </c>
      <c r="AC236" s="875" t="s">
        <v>701</v>
      </c>
      <c r="AD236" s="875" t="s">
        <v>701</v>
      </c>
      <c r="AE236" s="875" t="s">
        <v>701</v>
      </c>
      <c r="AF236" s="875" t="s">
        <v>701</v>
      </c>
      <c r="AG236" s="875"/>
      <c r="AH236" s="868">
        <v>59</v>
      </c>
      <c r="AI236" s="869">
        <v>37</v>
      </c>
    </row>
    <row r="237" spans="1:35" ht="21" customHeight="1"/>
    <row r="238" spans="1:35" ht="21" customHeight="1"/>
    <row r="239" spans="1:35" ht="21" customHeight="1" thickBot="1">
      <c r="A239" s="1" t="s">
        <v>702</v>
      </c>
    </row>
    <row r="240" spans="1:35" ht="21" customHeight="1">
      <c r="B240" s="201" t="s">
        <v>664</v>
      </c>
      <c r="C240" s="7"/>
      <c r="D240" s="522" t="s">
        <v>2</v>
      </c>
      <c r="E240" s="51"/>
      <c r="F240" s="548"/>
      <c r="G240" s="7"/>
      <c r="H240" s="522" t="s">
        <v>3</v>
      </c>
      <c r="I240" s="51"/>
      <c r="J240" s="548"/>
      <c r="K240" s="7"/>
      <c r="L240" s="522" t="s">
        <v>4</v>
      </c>
      <c r="M240" s="51"/>
      <c r="N240" s="548"/>
      <c r="O240" s="7"/>
      <c r="P240" s="522" t="s">
        <v>5</v>
      </c>
      <c r="Q240" s="51"/>
      <c r="R240" s="548"/>
      <c r="S240" s="7"/>
      <c r="T240" s="522" t="s">
        <v>6</v>
      </c>
      <c r="U240" s="51"/>
      <c r="V240" s="548"/>
      <c r="W240" s="7"/>
      <c r="X240" s="522" t="s">
        <v>7</v>
      </c>
      <c r="Y240" s="51"/>
      <c r="Z240" s="548"/>
      <c r="AA240" s="7"/>
      <c r="AB240" s="522" t="s">
        <v>8</v>
      </c>
      <c r="AC240" s="51"/>
      <c r="AD240" s="51"/>
      <c r="AE240" s="425" t="s">
        <v>10</v>
      </c>
      <c r="AF240" s="51"/>
      <c r="AG240" s="51"/>
      <c r="AH240" s="51"/>
      <c r="AI240" s="523"/>
    </row>
    <row r="241" spans="1:35" ht="21" customHeight="1">
      <c r="B241" s="9">
        <v>8500</v>
      </c>
      <c r="C241" s="121" t="s">
        <v>33</v>
      </c>
      <c r="D241" s="603"/>
      <c r="E241" s="55"/>
      <c r="F241" s="602"/>
      <c r="G241" s="121" t="s">
        <v>33</v>
      </c>
      <c r="H241" s="603"/>
      <c r="I241" s="55"/>
      <c r="J241" s="602"/>
      <c r="K241" s="121" t="s">
        <v>33</v>
      </c>
      <c r="L241" s="603"/>
      <c r="M241" s="55"/>
      <c r="N241" s="602"/>
      <c r="O241" s="121" t="s">
        <v>33</v>
      </c>
      <c r="P241" s="603"/>
      <c r="Q241" s="55"/>
      <c r="R241" s="602"/>
      <c r="S241" s="121" t="s">
        <v>34</v>
      </c>
      <c r="T241" s="603"/>
      <c r="U241" s="55"/>
      <c r="V241" s="602"/>
      <c r="W241" s="14"/>
      <c r="X241" s="603"/>
      <c r="Y241" s="55"/>
      <c r="Z241" s="602"/>
      <c r="AA241" s="14"/>
      <c r="AB241" s="603"/>
      <c r="AC241" s="55"/>
      <c r="AD241" s="55"/>
      <c r="AE241" s="604"/>
      <c r="AF241" s="55"/>
      <c r="AG241" s="55"/>
      <c r="AH241" s="55"/>
      <c r="AI241" s="605"/>
    </row>
    <row r="242" spans="1:35" ht="21" customHeight="1" thickBot="1">
      <c r="B242" s="163" t="s">
        <v>703</v>
      </c>
      <c r="C242" s="626" t="s">
        <v>704</v>
      </c>
      <c r="D242" s="627"/>
      <c r="E242" s="616"/>
      <c r="F242" s="240"/>
      <c r="G242" s="626" t="s">
        <v>704</v>
      </c>
      <c r="H242" s="149"/>
      <c r="I242" s="616"/>
      <c r="J242" s="240"/>
      <c r="K242" s="626" t="s">
        <v>704</v>
      </c>
      <c r="L242" s="149"/>
      <c r="M242" s="616"/>
      <c r="N242" s="240"/>
      <c r="O242" s="626" t="s">
        <v>705</v>
      </c>
      <c r="P242" s="149"/>
      <c r="Q242" s="616"/>
      <c r="R242" s="240"/>
      <c r="S242" s="626" t="s">
        <v>16</v>
      </c>
      <c r="T242" s="149"/>
      <c r="U242" s="616"/>
      <c r="V242" s="240"/>
      <c r="W242" s="617"/>
      <c r="X242" s="149"/>
      <c r="Y242" s="616"/>
      <c r="Z242" s="240"/>
      <c r="AA242" s="617"/>
      <c r="AB242" s="149"/>
      <c r="AC242" s="616"/>
      <c r="AD242" s="616"/>
      <c r="AE242" s="618"/>
      <c r="AF242" s="616"/>
      <c r="AG242" s="616"/>
      <c r="AH242" s="616"/>
      <c r="AI242" s="619"/>
    </row>
    <row r="243" spans="1:35" ht="21" customHeight="1" thickBot="1">
      <c r="A243" s="60" t="s">
        <v>789</v>
      </c>
    </row>
    <row r="244" spans="1:35" ht="21" customHeight="1" thickBot="1">
      <c r="A244" s="911"/>
      <c r="B244" s="862" t="s">
        <v>476</v>
      </c>
      <c r="C244" s="880">
        <v>1</v>
      </c>
      <c r="D244" s="863">
        <v>2</v>
      </c>
      <c r="E244" s="880">
        <v>3</v>
      </c>
      <c r="F244" s="880">
        <v>4</v>
      </c>
      <c r="G244" s="863">
        <v>5</v>
      </c>
      <c r="H244" s="863">
        <v>6</v>
      </c>
      <c r="I244" s="863">
        <v>7</v>
      </c>
      <c r="J244" s="863">
        <v>8</v>
      </c>
      <c r="K244" s="863">
        <v>9</v>
      </c>
      <c r="L244" s="880">
        <v>10</v>
      </c>
      <c r="M244" s="880">
        <v>11</v>
      </c>
      <c r="N244" s="863">
        <v>12</v>
      </c>
      <c r="O244" s="863">
        <v>13</v>
      </c>
      <c r="P244" s="863">
        <v>14</v>
      </c>
      <c r="Q244" s="863">
        <v>15</v>
      </c>
      <c r="R244" s="863">
        <v>16</v>
      </c>
      <c r="S244" s="880">
        <v>17</v>
      </c>
      <c r="T244" s="880">
        <v>18</v>
      </c>
      <c r="U244" s="863">
        <v>19</v>
      </c>
      <c r="V244" s="863">
        <v>20</v>
      </c>
      <c r="W244" s="863">
        <v>21</v>
      </c>
      <c r="X244" s="863">
        <v>22</v>
      </c>
      <c r="Y244" s="863">
        <v>23</v>
      </c>
      <c r="Z244" s="880">
        <v>24</v>
      </c>
      <c r="AA244" s="880">
        <v>25</v>
      </c>
      <c r="AB244" s="863">
        <v>26</v>
      </c>
      <c r="AC244" s="863">
        <v>27</v>
      </c>
      <c r="AD244" s="863">
        <v>28</v>
      </c>
      <c r="AE244" s="863">
        <v>29</v>
      </c>
      <c r="AF244" s="863">
        <v>30</v>
      </c>
      <c r="AG244" s="949">
        <v>31</v>
      </c>
      <c r="AH244" s="864" t="s">
        <v>477</v>
      </c>
      <c r="AI244" s="865" t="s">
        <v>478</v>
      </c>
    </row>
    <row r="245" spans="1:35" ht="21" customHeight="1">
      <c r="A245" s="14">
        <v>8500</v>
      </c>
      <c r="B245" s="908" t="s">
        <v>707</v>
      </c>
      <c r="C245" s="1287"/>
      <c r="D245" s="1186" t="s">
        <v>491</v>
      </c>
      <c r="E245" s="1287"/>
      <c r="F245" s="1287"/>
      <c r="G245" s="955" t="s">
        <v>491</v>
      </c>
      <c r="H245" s="955" t="s">
        <v>491</v>
      </c>
      <c r="I245" s="955" t="s">
        <v>491</v>
      </c>
      <c r="J245" s="955" t="s">
        <v>491</v>
      </c>
      <c r="K245" s="955" t="s">
        <v>491</v>
      </c>
      <c r="L245" s="955"/>
      <c r="M245" s="955"/>
      <c r="N245" s="955" t="s">
        <v>491</v>
      </c>
      <c r="O245" s="955" t="s">
        <v>491</v>
      </c>
      <c r="P245" s="955" t="s">
        <v>491</v>
      </c>
      <c r="Q245" s="955" t="s">
        <v>491</v>
      </c>
      <c r="R245" s="955" t="s">
        <v>491</v>
      </c>
      <c r="S245" s="955"/>
      <c r="T245" s="955"/>
      <c r="U245" s="955" t="s">
        <v>491</v>
      </c>
      <c r="V245" s="955" t="s">
        <v>491</v>
      </c>
      <c r="W245" s="955" t="s">
        <v>491</v>
      </c>
      <c r="X245" s="955" t="s">
        <v>491</v>
      </c>
      <c r="Y245" s="955" t="s">
        <v>491</v>
      </c>
      <c r="Z245" s="955"/>
      <c r="AA245" s="955"/>
      <c r="AB245" s="1287" t="s">
        <v>491</v>
      </c>
      <c r="AC245" s="1287" t="s">
        <v>491</v>
      </c>
      <c r="AD245" s="1287" t="s">
        <v>491</v>
      </c>
      <c r="AE245" s="1287" t="s">
        <v>491</v>
      </c>
      <c r="AF245" s="1287" t="s">
        <v>491</v>
      </c>
      <c r="AG245" s="956"/>
      <c r="AH245" s="909">
        <v>76</v>
      </c>
      <c r="AI245" s="910">
        <v>37</v>
      </c>
    </row>
    <row r="246" spans="1:35" ht="21" customHeight="1">
      <c r="A246" s="500" t="s">
        <v>708</v>
      </c>
      <c r="B246" s="153" t="s">
        <v>709</v>
      </c>
      <c r="C246" s="768"/>
      <c r="D246" s="970" t="s">
        <v>491</v>
      </c>
      <c r="E246" s="768"/>
      <c r="F246" s="768"/>
      <c r="G246" s="768" t="s">
        <v>491</v>
      </c>
      <c r="H246" s="768" t="s">
        <v>491</v>
      </c>
      <c r="I246" s="768" t="s">
        <v>491</v>
      </c>
      <c r="J246" s="768" t="s">
        <v>491</v>
      </c>
      <c r="K246" s="768" t="s">
        <v>481</v>
      </c>
      <c r="L246" s="768"/>
      <c r="M246" s="768"/>
      <c r="N246" s="768" t="s">
        <v>491</v>
      </c>
      <c r="O246" s="768" t="s">
        <v>491</v>
      </c>
      <c r="P246" s="768" t="s">
        <v>491</v>
      </c>
      <c r="Q246" s="768" t="s">
        <v>491</v>
      </c>
      <c r="R246" s="768" t="s">
        <v>491</v>
      </c>
      <c r="S246" s="768"/>
      <c r="T246" s="768"/>
      <c r="U246" s="1038" t="s">
        <v>491</v>
      </c>
      <c r="V246" s="1038" t="s">
        <v>491</v>
      </c>
      <c r="W246" s="1038" t="s">
        <v>491</v>
      </c>
      <c r="X246" s="1038" t="s">
        <v>491</v>
      </c>
      <c r="Y246" s="1038" t="s">
        <v>755</v>
      </c>
      <c r="Z246" s="768"/>
      <c r="AA246" s="768"/>
      <c r="AB246" s="768" t="s">
        <v>491</v>
      </c>
      <c r="AC246" s="768" t="s">
        <v>491</v>
      </c>
      <c r="AD246" s="768" t="s">
        <v>491</v>
      </c>
      <c r="AE246" s="768" t="s">
        <v>491</v>
      </c>
      <c r="AF246" s="768" t="s">
        <v>491</v>
      </c>
      <c r="AG246" s="774"/>
      <c r="AH246" s="628">
        <v>40</v>
      </c>
      <c r="AI246" s="629">
        <v>37</v>
      </c>
    </row>
    <row r="247" spans="1:35" ht="21.95" customHeight="1">
      <c r="A247" s="442"/>
      <c r="B247" s="153" t="s">
        <v>710</v>
      </c>
      <c r="C247" s="768"/>
      <c r="D247" s="768" t="s">
        <v>491</v>
      </c>
      <c r="E247" s="768"/>
      <c r="F247" s="768"/>
      <c r="G247" s="768" t="s">
        <v>491</v>
      </c>
      <c r="H247" s="768" t="s">
        <v>491</v>
      </c>
      <c r="I247" s="768" t="s">
        <v>491</v>
      </c>
      <c r="J247" s="768" t="s">
        <v>491</v>
      </c>
      <c r="K247" s="768" t="s">
        <v>491</v>
      </c>
      <c r="L247" s="768"/>
      <c r="M247" s="768"/>
      <c r="N247" s="768" t="s">
        <v>491</v>
      </c>
      <c r="O247" s="768" t="s">
        <v>491</v>
      </c>
      <c r="P247" s="768" t="s">
        <v>491</v>
      </c>
      <c r="Q247" s="768" t="s">
        <v>491</v>
      </c>
      <c r="R247" s="768" t="s">
        <v>491</v>
      </c>
      <c r="S247" s="768"/>
      <c r="T247" s="768"/>
      <c r="U247" s="768" t="s">
        <v>491</v>
      </c>
      <c r="V247" s="768" t="s">
        <v>491</v>
      </c>
      <c r="W247" s="768" t="s">
        <v>491</v>
      </c>
      <c r="X247" s="768" t="s">
        <v>491</v>
      </c>
      <c r="Y247" s="768" t="s">
        <v>491</v>
      </c>
      <c r="Z247" s="768"/>
      <c r="AA247" s="768"/>
      <c r="AB247" s="768" t="s">
        <v>491</v>
      </c>
      <c r="AC247" s="768" t="s">
        <v>491</v>
      </c>
      <c r="AD247" s="768" t="s">
        <v>491</v>
      </c>
      <c r="AE247" s="768" t="s">
        <v>491</v>
      </c>
      <c r="AF247" s="768" t="s">
        <v>491</v>
      </c>
      <c r="AG247" s="774"/>
      <c r="AH247" s="628">
        <v>111</v>
      </c>
      <c r="AI247" s="629">
        <v>37</v>
      </c>
    </row>
    <row r="248" spans="1:35" ht="21.95" customHeight="1">
      <c r="A248" s="516">
        <v>3701</v>
      </c>
      <c r="B248" s="134" t="s">
        <v>711</v>
      </c>
      <c r="C248" s="768"/>
      <c r="D248" s="977" t="s">
        <v>491</v>
      </c>
      <c r="E248" s="768"/>
      <c r="F248" s="768"/>
      <c r="G248" s="768" t="s">
        <v>491</v>
      </c>
      <c r="H248" s="768" t="s">
        <v>491</v>
      </c>
      <c r="I248" s="768" t="s">
        <v>491</v>
      </c>
      <c r="J248" s="768" t="s">
        <v>491</v>
      </c>
      <c r="K248" s="768" t="s">
        <v>491</v>
      </c>
      <c r="L248" s="768"/>
      <c r="M248" s="768"/>
      <c r="N248" s="970" t="s">
        <v>491</v>
      </c>
      <c r="O248" s="970" t="s">
        <v>491</v>
      </c>
      <c r="P248" s="970" t="s">
        <v>491</v>
      </c>
      <c r="Q248" s="970" t="s">
        <v>491</v>
      </c>
      <c r="R248" s="970" t="s">
        <v>491</v>
      </c>
      <c r="S248" s="970"/>
      <c r="T248" s="970"/>
      <c r="U248" s="970" t="s">
        <v>491</v>
      </c>
      <c r="V248" s="970" t="s">
        <v>491</v>
      </c>
      <c r="W248" s="970" t="s">
        <v>491</v>
      </c>
      <c r="X248" s="970" t="s">
        <v>491</v>
      </c>
      <c r="Y248" s="970" t="s">
        <v>491</v>
      </c>
      <c r="Z248" s="970"/>
      <c r="AA248" s="970"/>
      <c r="AB248" s="970" t="s">
        <v>491</v>
      </c>
      <c r="AC248" s="970" t="s">
        <v>491</v>
      </c>
      <c r="AD248" s="970" t="s">
        <v>491</v>
      </c>
      <c r="AE248" s="970" t="s">
        <v>491</v>
      </c>
      <c r="AF248" s="970" t="s">
        <v>491</v>
      </c>
      <c r="AG248" s="1244"/>
      <c r="AH248" s="849">
        <v>0</v>
      </c>
      <c r="AI248" s="850">
        <v>37</v>
      </c>
    </row>
    <row r="249" spans="1:35" ht="21" customHeight="1">
      <c r="A249" s="793">
        <v>8500</v>
      </c>
      <c r="B249" s="227" t="s">
        <v>712</v>
      </c>
      <c r="C249" s="768"/>
      <c r="D249" s="1144" t="s">
        <v>491</v>
      </c>
      <c r="E249" s="768"/>
      <c r="F249" s="768"/>
      <c r="G249" s="768" t="s">
        <v>491</v>
      </c>
      <c r="H249" s="768" t="s">
        <v>491</v>
      </c>
      <c r="I249" s="768" t="s">
        <v>491</v>
      </c>
      <c r="J249" s="768" t="s">
        <v>491</v>
      </c>
      <c r="K249" s="768" t="s">
        <v>491</v>
      </c>
      <c r="L249" s="768"/>
      <c r="M249" s="768"/>
      <c r="N249" s="768" t="s">
        <v>491</v>
      </c>
      <c r="O249" s="768" t="s">
        <v>491</v>
      </c>
      <c r="P249" s="768" t="s">
        <v>491</v>
      </c>
      <c r="Q249" s="768" t="s">
        <v>491</v>
      </c>
      <c r="R249" s="768" t="s">
        <v>491</v>
      </c>
      <c r="S249" s="768"/>
      <c r="T249" s="768"/>
      <c r="U249" s="768" t="s">
        <v>491</v>
      </c>
      <c r="V249" s="768" t="s">
        <v>491</v>
      </c>
      <c r="W249" s="768" t="s">
        <v>491</v>
      </c>
      <c r="X249" s="768" t="s">
        <v>491</v>
      </c>
      <c r="Y249" s="768" t="s">
        <v>491</v>
      </c>
      <c r="Z249" s="768"/>
      <c r="AA249" s="768"/>
      <c r="AB249" s="768" t="s">
        <v>491</v>
      </c>
      <c r="AC249" s="768" t="s">
        <v>491</v>
      </c>
      <c r="AD249" s="768" t="s">
        <v>491</v>
      </c>
      <c r="AE249" s="768" t="s">
        <v>491</v>
      </c>
      <c r="AF249" s="768" t="s">
        <v>491</v>
      </c>
      <c r="AG249" s="774"/>
      <c r="AH249" s="849">
        <v>185</v>
      </c>
      <c r="AI249" s="850">
        <v>37</v>
      </c>
    </row>
    <row r="250" spans="1:35" ht="21.95" customHeight="1">
      <c r="A250" s="856">
        <v>3350</v>
      </c>
      <c r="B250" s="855"/>
      <c r="C250" s="768"/>
      <c r="D250" s="768" t="s">
        <v>491</v>
      </c>
      <c r="E250" s="768"/>
      <c r="F250" s="768"/>
      <c r="G250" s="768" t="s">
        <v>491</v>
      </c>
      <c r="H250" s="768" t="s">
        <v>491</v>
      </c>
      <c r="I250" s="768" t="s">
        <v>491</v>
      </c>
      <c r="J250" s="768" t="s">
        <v>491</v>
      </c>
      <c r="K250" s="768" t="s">
        <v>491</v>
      </c>
      <c r="L250" s="768"/>
      <c r="M250" s="768"/>
      <c r="N250" s="768" t="s">
        <v>491</v>
      </c>
      <c r="O250" s="768" t="s">
        <v>491</v>
      </c>
      <c r="P250" s="768" t="s">
        <v>491</v>
      </c>
      <c r="Q250" s="768" t="s">
        <v>491</v>
      </c>
      <c r="R250" s="768" t="s">
        <v>491</v>
      </c>
      <c r="S250" s="768"/>
      <c r="T250" s="768"/>
      <c r="U250" s="768" t="s">
        <v>491</v>
      </c>
      <c r="V250" s="768" t="s">
        <v>491</v>
      </c>
      <c r="W250" s="768" t="s">
        <v>491</v>
      </c>
      <c r="X250" s="768" t="s">
        <v>491</v>
      </c>
      <c r="Y250" s="768" t="s">
        <v>491</v>
      </c>
      <c r="Z250" s="768"/>
      <c r="AA250" s="768"/>
      <c r="AB250" s="768" t="s">
        <v>491</v>
      </c>
      <c r="AC250" s="768" t="s">
        <v>491</v>
      </c>
      <c r="AD250" s="768" t="s">
        <v>491</v>
      </c>
      <c r="AE250" s="768" t="s">
        <v>491</v>
      </c>
      <c r="AF250" s="768" t="s">
        <v>491</v>
      </c>
      <c r="AG250" s="774"/>
      <c r="AH250" s="849">
        <v>185</v>
      </c>
      <c r="AI250" s="850">
        <v>37</v>
      </c>
    </row>
    <row r="251" spans="1:35" ht="21.95" customHeight="1">
      <c r="A251" s="1136"/>
      <c r="B251" s="1137"/>
      <c r="C251" s="772"/>
      <c r="D251" s="772" t="s">
        <v>491</v>
      </c>
      <c r="E251" s="772"/>
      <c r="F251" s="772"/>
      <c r="G251" s="772" t="s">
        <v>491</v>
      </c>
      <c r="H251" s="772" t="s">
        <v>491</v>
      </c>
      <c r="I251" s="772" t="s">
        <v>491</v>
      </c>
      <c r="J251" s="772" t="s">
        <v>491</v>
      </c>
      <c r="K251" s="772" t="s">
        <v>491</v>
      </c>
      <c r="L251" s="772"/>
      <c r="M251" s="772"/>
      <c r="N251" s="772" t="s">
        <v>491</v>
      </c>
      <c r="O251" s="772" t="s">
        <v>491</v>
      </c>
      <c r="P251" s="772" t="s">
        <v>491</v>
      </c>
      <c r="Q251" s="772" t="s">
        <v>491</v>
      </c>
      <c r="R251" s="772" t="s">
        <v>491</v>
      </c>
      <c r="S251" s="772"/>
      <c r="T251" s="772"/>
      <c r="U251" s="772" t="s">
        <v>491</v>
      </c>
      <c r="V251" s="772" t="s">
        <v>491</v>
      </c>
      <c r="W251" s="772" t="s">
        <v>491</v>
      </c>
      <c r="X251" s="772" t="s">
        <v>491</v>
      </c>
      <c r="Y251" s="772" t="s">
        <v>491</v>
      </c>
      <c r="Z251" s="772"/>
      <c r="AA251" s="772"/>
      <c r="AB251" s="772" t="s">
        <v>491</v>
      </c>
      <c r="AC251" s="772" t="s">
        <v>491</v>
      </c>
      <c r="AD251" s="772" t="s">
        <v>491</v>
      </c>
      <c r="AE251" s="772" t="s">
        <v>491</v>
      </c>
      <c r="AF251" s="772" t="s">
        <v>491</v>
      </c>
      <c r="AG251" s="958"/>
      <c r="AH251" s="849"/>
      <c r="AI251" s="850"/>
    </row>
    <row r="252" spans="1:35" ht="21.95" customHeight="1">
      <c r="A252" s="856"/>
      <c r="B252" s="1142"/>
      <c r="C252" s="782"/>
      <c r="D252" s="782"/>
      <c r="E252" s="782"/>
      <c r="F252" s="782"/>
      <c r="G252" s="782"/>
      <c r="H252" s="782"/>
      <c r="I252" s="782"/>
      <c r="J252" s="782"/>
      <c r="K252" s="782"/>
      <c r="L252" s="782"/>
      <c r="M252" s="782"/>
      <c r="N252" s="782"/>
      <c r="O252" s="782"/>
      <c r="P252" s="782"/>
      <c r="Q252" s="782"/>
      <c r="R252" s="782"/>
      <c r="S252" s="782"/>
      <c r="T252" s="782"/>
      <c r="U252" s="782"/>
      <c r="V252" s="782"/>
      <c r="W252" s="782"/>
      <c r="X252" s="782"/>
      <c r="Y252" s="782"/>
      <c r="Z252" s="782"/>
      <c r="AA252" s="782"/>
      <c r="AB252" s="782"/>
      <c r="AC252" s="782"/>
      <c r="AD252" s="782"/>
      <c r="AE252" s="782"/>
      <c r="AF252" s="782"/>
      <c r="AG252" s="782"/>
      <c r="AH252" s="1141"/>
      <c r="AI252" s="1141"/>
    </row>
    <row r="253" spans="1:35" ht="21.95" customHeight="1">
      <c r="A253" s="793"/>
      <c r="B253" s="1142"/>
      <c r="C253" s="793"/>
      <c r="D253" s="793"/>
      <c r="E253" s="793"/>
      <c r="F253" s="793"/>
      <c r="G253" s="793"/>
      <c r="H253" s="793"/>
      <c r="I253" s="793"/>
      <c r="J253" s="793"/>
      <c r="K253" s="793"/>
      <c r="L253" s="793"/>
      <c r="M253" s="793"/>
      <c r="N253" s="793"/>
      <c r="O253" s="793"/>
      <c r="P253" s="793"/>
      <c r="Q253" s="793"/>
      <c r="R253" s="793"/>
      <c r="S253" s="793"/>
      <c r="T253" s="793"/>
      <c r="U253" s="793"/>
      <c r="V253" s="793"/>
      <c r="W253" s="793"/>
      <c r="X253" s="793"/>
      <c r="Y253" s="793"/>
      <c r="Z253" s="793"/>
      <c r="AA253" s="793"/>
      <c r="AB253" s="793"/>
      <c r="AC253" s="793"/>
      <c r="AD253" s="793"/>
      <c r="AE253" s="793"/>
      <c r="AF253" s="793"/>
      <c r="AG253" s="782"/>
      <c r="AH253" s="1141"/>
      <c r="AI253" s="793"/>
    </row>
    <row r="255" spans="1:35" ht="25.5" customHeight="1" thickBot="1">
      <c r="A255" s="1" t="s">
        <v>716</v>
      </c>
    </row>
    <row r="256" spans="1:35" ht="21" customHeight="1">
      <c r="A256" s="1"/>
      <c r="B256" s="201" t="s">
        <v>664</v>
      </c>
      <c r="C256" s="7"/>
      <c r="D256" s="522" t="s">
        <v>2</v>
      </c>
      <c r="E256" s="51"/>
      <c r="F256" s="548"/>
      <c r="G256" s="7"/>
      <c r="H256" s="522" t="s">
        <v>3</v>
      </c>
      <c r="I256" s="51"/>
      <c r="J256" s="548"/>
      <c r="K256" s="7"/>
      <c r="L256" s="522" t="s">
        <v>4</v>
      </c>
      <c r="M256" s="51"/>
      <c r="N256" s="548"/>
      <c r="O256" s="7"/>
      <c r="P256" s="522" t="s">
        <v>5</v>
      </c>
      <c r="Q256" s="51"/>
      <c r="R256" s="548"/>
      <c r="S256" s="7"/>
      <c r="T256" s="522" t="s">
        <v>6</v>
      </c>
      <c r="U256" s="51"/>
      <c r="V256" s="548"/>
      <c r="W256" s="7"/>
      <c r="X256" s="522" t="s">
        <v>7</v>
      </c>
      <c r="Y256" s="51"/>
      <c r="Z256" s="548"/>
      <c r="AA256" s="7"/>
      <c r="AB256" s="522" t="s">
        <v>8</v>
      </c>
      <c r="AC256" s="51"/>
      <c r="AD256" s="51"/>
      <c r="AE256" s="425" t="s">
        <v>10</v>
      </c>
      <c r="AF256" s="51"/>
      <c r="AG256" s="51"/>
      <c r="AH256" s="51"/>
      <c r="AI256" s="523"/>
    </row>
    <row r="257" spans="1:35" ht="21" customHeight="1">
      <c r="A257" s="1"/>
      <c r="B257" s="9"/>
      <c r="C257" s="14"/>
      <c r="D257" s="603"/>
      <c r="E257" s="55"/>
      <c r="F257" s="602"/>
      <c r="G257" s="14"/>
      <c r="H257" s="603"/>
      <c r="I257" s="55"/>
      <c r="J257" s="602"/>
      <c r="K257" s="14"/>
      <c r="L257" s="603"/>
      <c r="M257" s="55"/>
      <c r="N257" s="602"/>
      <c r="O257" s="14"/>
      <c r="P257" s="603"/>
      <c r="Q257" s="55"/>
      <c r="R257" s="602"/>
      <c r="S257" s="14"/>
      <c r="T257" s="603"/>
      <c r="U257" s="55"/>
      <c r="V257" s="602"/>
      <c r="W257" s="14"/>
      <c r="X257" s="603"/>
      <c r="Y257" s="55"/>
      <c r="Z257" s="602"/>
      <c r="AA257" s="14"/>
      <c r="AB257" s="603"/>
      <c r="AC257" s="55"/>
      <c r="AD257" s="55"/>
      <c r="AE257" s="604"/>
      <c r="AF257" s="55"/>
      <c r="AG257" s="55"/>
      <c r="AH257" s="55"/>
      <c r="AI257" s="605"/>
    </row>
    <row r="258" spans="1:35" ht="21" customHeight="1">
      <c r="B258" s="606"/>
      <c r="C258" s="121"/>
      <c r="D258" s="157"/>
      <c r="E258" s="157"/>
      <c r="F258" s="564"/>
      <c r="G258" s="121"/>
      <c r="H258" s="157"/>
      <c r="I258" s="157"/>
      <c r="J258" s="564"/>
      <c r="K258" s="121"/>
      <c r="L258" s="157"/>
      <c r="M258" s="157"/>
      <c r="N258" s="564"/>
      <c r="O258" s="121"/>
      <c r="P258" s="157"/>
      <c r="Q258" s="157"/>
      <c r="R258" s="564"/>
      <c r="S258" s="121"/>
      <c r="T258" s="157"/>
      <c r="U258" s="157"/>
      <c r="V258" s="564"/>
      <c r="W258" s="121"/>
      <c r="X258" s="157"/>
      <c r="Y258" s="157"/>
      <c r="Z258" s="564"/>
      <c r="AA258" s="563"/>
      <c r="AB258" s="157"/>
      <c r="AC258" s="157"/>
      <c r="AD258" s="565"/>
      <c r="AE258" s="607"/>
      <c r="AF258" s="157"/>
      <c r="AG258" s="157" t="s">
        <v>28</v>
      </c>
      <c r="AH258" s="565"/>
      <c r="AI258" s="490"/>
    </row>
    <row r="259" spans="1:35" ht="21" customHeight="1" thickBot="1">
      <c r="A259" s="1"/>
      <c r="B259" s="47"/>
      <c r="C259" s="570"/>
      <c r="D259" s="53"/>
      <c r="E259" s="53"/>
      <c r="F259" s="571"/>
      <c r="G259" s="570"/>
      <c r="H259" s="53"/>
      <c r="I259" s="53"/>
      <c r="J259" s="571"/>
      <c r="K259" s="570"/>
      <c r="L259" s="53"/>
      <c r="M259" s="53"/>
      <c r="N259" s="571"/>
      <c r="O259" s="570"/>
      <c r="P259" s="53"/>
      <c r="Q259" s="53"/>
      <c r="R259" s="571"/>
      <c r="S259" s="570"/>
      <c r="T259" s="53"/>
      <c r="U259" s="53"/>
      <c r="V259" s="571"/>
      <c r="W259" s="57"/>
      <c r="X259" s="53"/>
      <c r="Y259" s="53"/>
      <c r="Z259" s="571"/>
      <c r="AA259" s="57"/>
      <c r="AB259" s="53"/>
      <c r="AC259" s="53"/>
      <c r="AD259" s="573"/>
      <c r="AE259" s="57"/>
      <c r="AF259" s="53"/>
      <c r="AG259" s="53"/>
      <c r="AH259" s="573"/>
      <c r="AI259" s="536"/>
    </row>
    <row r="260" spans="1:35" ht="33" customHeight="1" thickBot="1">
      <c r="A260" s="1" t="s">
        <v>790</v>
      </c>
      <c r="B260" s="72"/>
      <c r="C260" s="312"/>
      <c r="F260" s="354"/>
      <c r="G260" s="312"/>
      <c r="J260" s="354"/>
      <c r="K260" s="312"/>
      <c r="N260" s="354"/>
      <c r="O260" s="312"/>
      <c r="R260" s="354"/>
      <c r="S260" s="312"/>
      <c r="V260" s="354"/>
      <c r="W260" s="354"/>
      <c r="Z260" s="354"/>
      <c r="AA260" s="354"/>
      <c r="AD260" s="354"/>
      <c r="AE260" s="354"/>
      <c r="AH260" s="354"/>
    </row>
    <row r="261" spans="1:35" ht="21" customHeight="1" thickBot="1">
      <c r="A261" s="861" t="s">
        <v>475</v>
      </c>
      <c r="B261" s="862" t="s">
        <v>476</v>
      </c>
      <c r="C261" s="880">
        <v>1</v>
      </c>
      <c r="D261" s="863">
        <v>2</v>
      </c>
      <c r="E261" s="880">
        <v>3</v>
      </c>
      <c r="F261" s="880">
        <v>4</v>
      </c>
      <c r="G261" s="863">
        <v>5</v>
      </c>
      <c r="H261" s="863">
        <v>6</v>
      </c>
      <c r="I261" s="863">
        <v>7</v>
      </c>
      <c r="J261" s="863">
        <v>8</v>
      </c>
      <c r="K261" s="863">
        <v>9</v>
      </c>
      <c r="L261" s="880">
        <v>10</v>
      </c>
      <c r="M261" s="880">
        <v>11</v>
      </c>
      <c r="N261" s="863">
        <v>12</v>
      </c>
      <c r="O261" s="863">
        <v>13</v>
      </c>
      <c r="P261" s="863">
        <v>14</v>
      </c>
      <c r="Q261" s="863">
        <v>15</v>
      </c>
      <c r="R261" s="863">
        <v>16</v>
      </c>
      <c r="S261" s="880">
        <v>17</v>
      </c>
      <c r="T261" s="880">
        <v>18</v>
      </c>
      <c r="U261" s="863">
        <v>19</v>
      </c>
      <c r="V261" s="863">
        <v>20</v>
      </c>
      <c r="W261" s="863">
        <v>21</v>
      </c>
      <c r="X261" s="863">
        <v>22</v>
      </c>
      <c r="Y261" s="863">
        <v>23</v>
      </c>
      <c r="Z261" s="880">
        <v>24</v>
      </c>
      <c r="AA261" s="880">
        <v>25</v>
      </c>
      <c r="AB261" s="863">
        <v>26</v>
      </c>
      <c r="AC261" s="863">
        <v>27</v>
      </c>
      <c r="AD261" s="863">
        <v>28</v>
      </c>
      <c r="AE261" s="863">
        <v>29</v>
      </c>
      <c r="AF261" s="863">
        <v>30</v>
      </c>
      <c r="AG261" s="949">
        <v>31</v>
      </c>
      <c r="AH261" s="864" t="s">
        <v>477</v>
      </c>
      <c r="AI261" s="865" t="s">
        <v>478</v>
      </c>
    </row>
    <row r="262" spans="1:35" ht="21" customHeight="1">
      <c r="A262" s="438"/>
      <c r="B262" s="916" t="s">
        <v>718</v>
      </c>
      <c r="C262" s="955"/>
      <c r="D262" s="955" t="s">
        <v>491</v>
      </c>
      <c r="E262" s="955"/>
      <c r="F262" s="955"/>
      <c r="G262" s="955" t="s">
        <v>491</v>
      </c>
      <c r="H262" s="955" t="s">
        <v>491</v>
      </c>
      <c r="I262" s="955" t="s">
        <v>491</v>
      </c>
      <c r="J262" s="955" t="s">
        <v>491</v>
      </c>
      <c r="K262" s="955" t="s">
        <v>491</v>
      </c>
      <c r="L262" s="955"/>
      <c r="M262" s="955"/>
      <c r="N262" s="955" t="s">
        <v>491</v>
      </c>
      <c r="O262" s="955" t="s">
        <v>491</v>
      </c>
      <c r="P262" s="955" t="s">
        <v>491</v>
      </c>
      <c r="Q262" s="955" t="s">
        <v>491</v>
      </c>
      <c r="R262" s="955" t="s">
        <v>491</v>
      </c>
      <c r="S262" s="955"/>
      <c r="T262" s="955"/>
      <c r="U262" s="955" t="s">
        <v>491</v>
      </c>
      <c r="V262" s="955" t="s">
        <v>491</v>
      </c>
      <c r="W262" s="955" t="s">
        <v>491</v>
      </c>
      <c r="X262" s="955" t="s">
        <v>491</v>
      </c>
      <c r="Y262" s="955" t="s">
        <v>491</v>
      </c>
      <c r="Z262" s="955"/>
      <c r="AA262" s="955"/>
      <c r="AB262" s="955" t="s">
        <v>491</v>
      </c>
      <c r="AC262" s="955" t="s">
        <v>491</v>
      </c>
      <c r="AD262" s="955" t="s">
        <v>491</v>
      </c>
      <c r="AE262" s="955" t="s">
        <v>491</v>
      </c>
      <c r="AF262" s="955" t="s">
        <v>491</v>
      </c>
      <c r="AG262" s="956"/>
      <c r="AH262" s="909">
        <v>52</v>
      </c>
      <c r="AI262" s="910">
        <v>37</v>
      </c>
    </row>
    <row r="263" spans="1:35" ht="21" customHeight="1">
      <c r="A263" s="442"/>
      <c r="B263" s="613" t="s">
        <v>719</v>
      </c>
      <c r="C263" s="768"/>
      <c r="D263" s="768" t="s">
        <v>491</v>
      </c>
      <c r="E263" s="768"/>
      <c r="F263" s="768"/>
      <c r="G263" s="1038" t="s">
        <v>491</v>
      </c>
      <c r="H263" s="1038" t="s">
        <v>493</v>
      </c>
      <c r="I263" s="768" t="s">
        <v>491</v>
      </c>
      <c r="J263" s="768" t="s">
        <v>491</v>
      </c>
      <c r="K263" s="768" t="s">
        <v>491</v>
      </c>
      <c r="L263" s="768"/>
      <c r="M263" s="768"/>
      <c r="N263" s="768" t="s">
        <v>491</v>
      </c>
      <c r="O263" s="768" t="s">
        <v>491</v>
      </c>
      <c r="P263" s="768" t="s">
        <v>491</v>
      </c>
      <c r="Q263" s="768" t="s">
        <v>491</v>
      </c>
      <c r="R263" s="768" t="s">
        <v>491</v>
      </c>
      <c r="S263" s="768"/>
      <c r="T263" s="768"/>
      <c r="U263" s="768" t="s">
        <v>491</v>
      </c>
      <c r="V263" s="768" t="s">
        <v>491</v>
      </c>
      <c r="W263" s="768" t="s">
        <v>491</v>
      </c>
      <c r="X263" s="768" t="s">
        <v>491</v>
      </c>
      <c r="Y263" s="768" t="s">
        <v>491</v>
      </c>
      <c r="Z263" s="768"/>
      <c r="AA263" s="768"/>
      <c r="AB263" s="768" t="s">
        <v>491</v>
      </c>
      <c r="AC263" s="768" t="s">
        <v>491</v>
      </c>
      <c r="AD263" s="768" t="s">
        <v>491</v>
      </c>
      <c r="AE263" s="768" t="s">
        <v>491</v>
      </c>
      <c r="AF263" s="768" t="s">
        <v>491</v>
      </c>
      <c r="AG263" s="774"/>
      <c r="AH263" s="628">
        <v>1</v>
      </c>
      <c r="AI263" s="629">
        <v>37</v>
      </c>
    </row>
    <row r="264" spans="1:35" ht="21" customHeight="1">
      <c r="A264" s="442"/>
      <c r="B264" s="613" t="s">
        <v>720</v>
      </c>
      <c r="C264" s="768"/>
      <c r="D264" s="980" t="s">
        <v>491</v>
      </c>
      <c r="E264" s="768"/>
      <c r="F264" s="768"/>
      <c r="G264" s="768" t="s">
        <v>491</v>
      </c>
      <c r="H264" s="768" t="s">
        <v>491</v>
      </c>
      <c r="I264" s="768" t="s">
        <v>491</v>
      </c>
      <c r="J264" s="768" t="s">
        <v>491</v>
      </c>
      <c r="K264" s="768" t="s">
        <v>491</v>
      </c>
      <c r="L264" s="768"/>
      <c r="M264" s="768"/>
      <c r="N264" s="1038" t="s">
        <v>493</v>
      </c>
      <c r="O264" s="987" t="s">
        <v>491</v>
      </c>
      <c r="P264" s="987" t="s">
        <v>491</v>
      </c>
      <c r="Q264" s="987" t="s">
        <v>491</v>
      </c>
      <c r="R264" s="987" t="s">
        <v>491</v>
      </c>
      <c r="S264" s="768"/>
      <c r="T264" s="768"/>
      <c r="U264" s="768" t="s">
        <v>491</v>
      </c>
      <c r="V264" s="768" t="s">
        <v>491</v>
      </c>
      <c r="W264" s="768" t="s">
        <v>491</v>
      </c>
      <c r="X264" s="768" t="s">
        <v>491</v>
      </c>
      <c r="Y264" s="768" t="s">
        <v>491</v>
      </c>
      <c r="Z264" s="768"/>
      <c r="AA264" s="768"/>
      <c r="AB264" s="768" t="s">
        <v>491</v>
      </c>
      <c r="AC264" s="768" t="s">
        <v>491</v>
      </c>
      <c r="AD264" s="768" t="s">
        <v>491</v>
      </c>
      <c r="AE264" s="768" t="s">
        <v>491</v>
      </c>
      <c r="AF264" s="768" t="s">
        <v>491</v>
      </c>
      <c r="AG264" s="774"/>
      <c r="AH264" s="628">
        <v>28</v>
      </c>
      <c r="AI264" s="629">
        <v>30</v>
      </c>
    </row>
    <row r="265" spans="1:35" ht="21" customHeight="1">
      <c r="A265" s="442"/>
      <c r="B265" s="613" t="s">
        <v>721</v>
      </c>
      <c r="C265" s="772"/>
      <c r="D265" s="1086" t="s">
        <v>491</v>
      </c>
      <c r="E265" s="772"/>
      <c r="F265" s="772"/>
      <c r="G265" s="772" t="s">
        <v>491</v>
      </c>
      <c r="H265" s="772" t="s">
        <v>491</v>
      </c>
      <c r="I265" s="772" t="s">
        <v>491</v>
      </c>
      <c r="J265" s="772" t="s">
        <v>491</v>
      </c>
      <c r="K265" s="772" t="s">
        <v>491</v>
      </c>
      <c r="L265" s="772"/>
      <c r="M265" s="772"/>
      <c r="N265" s="772" t="s">
        <v>491</v>
      </c>
      <c r="O265" s="772" t="s">
        <v>491</v>
      </c>
      <c r="P265" s="772" t="s">
        <v>491</v>
      </c>
      <c r="Q265" s="772" t="s">
        <v>491</v>
      </c>
      <c r="R265" s="772" t="s">
        <v>491</v>
      </c>
      <c r="S265" s="772"/>
      <c r="T265" s="772"/>
      <c r="U265" s="772" t="s">
        <v>491</v>
      </c>
      <c r="V265" s="772" t="s">
        <v>491</v>
      </c>
      <c r="W265" s="772" t="s">
        <v>491</v>
      </c>
      <c r="X265" s="772" t="s">
        <v>491</v>
      </c>
      <c r="Y265" s="772" t="s">
        <v>491</v>
      </c>
      <c r="Z265" s="772"/>
      <c r="AA265" s="772"/>
      <c r="AB265" s="772" t="s">
        <v>491</v>
      </c>
      <c r="AC265" s="772" t="s">
        <v>491</v>
      </c>
      <c r="AD265" s="772" t="s">
        <v>491</v>
      </c>
      <c r="AE265" s="772" t="s">
        <v>491</v>
      </c>
      <c r="AF265" s="772" t="s">
        <v>491</v>
      </c>
      <c r="AG265" s="958"/>
      <c r="AH265" s="628">
        <v>130</v>
      </c>
      <c r="AI265" s="629">
        <v>0</v>
      </c>
    </row>
    <row r="266" spans="1:35" ht="21" customHeight="1">
      <c r="A266" s="442"/>
      <c r="B266" s="957" t="s">
        <v>722</v>
      </c>
      <c r="C266" s="782"/>
      <c r="D266" s="1281" t="s">
        <v>491</v>
      </c>
      <c r="E266" s="782"/>
      <c r="F266" s="782"/>
      <c r="G266" s="782" t="s">
        <v>491</v>
      </c>
      <c r="H266" s="782" t="s">
        <v>491</v>
      </c>
      <c r="I266" s="782" t="s">
        <v>491</v>
      </c>
      <c r="J266" s="782" t="s">
        <v>491</v>
      </c>
      <c r="K266" s="782" t="s">
        <v>491</v>
      </c>
      <c r="L266" s="782"/>
      <c r="M266" s="782"/>
      <c r="N266" s="782" t="s">
        <v>491</v>
      </c>
      <c r="O266" s="782" t="s">
        <v>491</v>
      </c>
      <c r="P266" s="782" t="s">
        <v>491</v>
      </c>
      <c r="Q266" s="782" t="s">
        <v>491</v>
      </c>
      <c r="R266" s="782" t="s">
        <v>491</v>
      </c>
      <c r="S266" s="782"/>
      <c r="T266" s="782"/>
      <c r="U266" s="782" t="s">
        <v>491</v>
      </c>
      <c r="V266" s="782" t="s">
        <v>491</v>
      </c>
      <c r="W266" s="782" t="s">
        <v>491</v>
      </c>
      <c r="X266" s="782" t="s">
        <v>491</v>
      </c>
      <c r="Y266" s="782" t="s">
        <v>491</v>
      </c>
      <c r="Z266" s="782"/>
      <c r="AA266" s="782"/>
      <c r="AB266" s="782" t="s">
        <v>491</v>
      </c>
      <c r="AC266" s="782" t="s">
        <v>491</v>
      </c>
      <c r="AD266" s="782" t="s">
        <v>491</v>
      </c>
      <c r="AE266" s="782" t="s">
        <v>491</v>
      </c>
      <c r="AF266" s="782" t="s">
        <v>491</v>
      </c>
      <c r="AG266" s="958"/>
      <c r="AH266" s="628">
        <v>55</v>
      </c>
      <c r="AI266" s="629">
        <v>5</v>
      </c>
    </row>
    <row r="267" spans="1:35" ht="21" customHeight="1">
      <c r="A267" s="442"/>
      <c r="B267" s="957" t="s">
        <v>723</v>
      </c>
      <c r="C267" s="782"/>
      <c r="D267" s="1289" t="s">
        <v>491</v>
      </c>
      <c r="E267" s="782"/>
      <c r="F267" s="782"/>
      <c r="G267" s="782" t="s">
        <v>491</v>
      </c>
      <c r="H267" s="782" t="s">
        <v>491</v>
      </c>
      <c r="I267" s="782" t="s">
        <v>491</v>
      </c>
      <c r="J267" s="782" t="s">
        <v>491</v>
      </c>
      <c r="K267" s="782" t="s">
        <v>491</v>
      </c>
      <c r="L267" s="782"/>
      <c r="M267" s="782"/>
      <c r="N267" s="782" t="s">
        <v>491</v>
      </c>
      <c r="O267" s="782" t="s">
        <v>491</v>
      </c>
      <c r="P267" s="782" t="s">
        <v>491</v>
      </c>
      <c r="Q267" s="782" t="s">
        <v>491</v>
      </c>
      <c r="R267" s="782" t="s">
        <v>491</v>
      </c>
      <c r="S267" s="782"/>
      <c r="T267" s="782"/>
      <c r="U267" s="782" t="s">
        <v>491</v>
      </c>
      <c r="V267" s="782" t="s">
        <v>491</v>
      </c>
      <c r="W267" s="782" t="s">
        <v>491</v>
      </c>
      <c r="X267" s="782" t="s">
        <v>491</v>
      </c>
      <c r="Y267" s="782" t="s">
        <v>491</v>
      </c>
      <c r="Z267" s="782"/>
      <c r="AA267" s="782"/>
      <c r="AB267" s="782" t="s">
        <v>491</v>
      </c>
      <c r="AC267" s="782" t="s">
        <v>491</v>
      </c>
      <c r="AD267" s="782" t="s">
        <v>491</v>
      </c>
      <c r="AE267" s="782" t="s">
        <v>491</v>
      </c>
      <c r="AF267" s="782" t="s">
        <v>491</v>
      </c>
      <c r="AG267" s="958"/>
      <c r="AH267" s="628">
        <v>4</v>
      </c>
      <c r="AI267" s="629">
        <v>37</v>
      </c>
    </row>
    <row r="268" spans="1:35" ht="21" customHeight="1">
      <c r="A268" s="442"/>
      <c r="B268" s="957" t="s">
        <v>724</v>
      </c>
      <c r="C268" s="782"/>
      <c r="D268" s="1281" t="s">
        <v>491</v>
      </c>
      <c r="E268" s="782"/>
      <c r="F268" s="782"/>
      <c r="G268" s="1289" t="s">
        <v>491</v>
      </c>
      <c r="H268" s="1289" t="s">
        <v>491</v>
      </c>
      <c r="I268" s="1289" t="s">
        <v>491</v>
      </c>
      <c r="J268" s="1289" t="s">
        <v>491</v>
      </c>
      <c r="K268" s="1289" t="s">
        <v>491</v>
      </c>
      <c r="L268" s="1289"/>
      <c r="M268" s="1289"/>
      <c r="N268" s="782" t="s">
        <v>491</v>
      </c>
      <c r="O268" s="782" t="s">
        <v>491</v>
      </c>
      <c r="P268" s="782" t="s">
        <v>491</v>
      </c>
      <c r="Q268" s="782" t="s">
        <v>491</v>
      </c>
      <c r="R268" s="1281" t="s">
        <v>491</v>
      </c>
      <c r="S268" s="782"/>
      <c r="T268" s="782"/>
      <c r="U268" s="1017" t="s">
        <v>491</v>
      </c>
      <c r="V268" s="1017" t="s">
        <v>491</v>
      </c>
      <c r="W268" s="1017" t="s">
        <v>491</v>
      </c>
      <c r="X268" s="1017" t="s">
        <v>491</v>
      </c>
      <c r="Y268" s="1017" t="s">
        <v>491</v>
      </c>
      <c r="Z268" s="782"/>
      <c r="AA268" s="782"/>
      <c r="AB268" s="782" t="s">
        <v>491</v>
      </c>
      <c r="AC268" s="782" t="s">
        <v>491</v>
      </c>
      <c r="AD268" s="782" t="s">
        <v>491</v>
      </c>
      <c r="AE268" s="782" t="s">
        <v>491</v>
      </c>
      <c r="AF268" s="782" t="s">
        <v>491</v>
      </c>
      <c r="AG268" s="958"/>
      <c r="AH268" s="628">
        <v>8</v>
      </c>
      <c r="AI268" s="629">
        <v>25</v>
      </c>
    </row>
    <row r="269" spans="1:35" ht="21" customHeight="1">
      <c r="A269" s="442"/>
      <c r="B269" s="957" t="s">
        <v>725</v>
      </c>
      <c r="C269" s="782"/>
      <c r="D269" s="782" t="s">
        <v>491</v>
      </c>
      <c r="E269" s="782"/>
      <c r="F269" s="782"/>
      <c r="G269" s="782" t="s">
        <v>491</v>
      </c>
      <c r="H269" s="782" t="s">
        <v>491</v>
      </c>
      <c r="I269" s="782" t="s">
        <v>491</v>
      </c>
      <c r="J269" s="782" t="s">
        <v>491</v>
      </c>
      <c r="K269" s="782" t="s">
        <v>491</v>
      </c>
      <c r="L269" s="782"/>
      <c r="M269" s="782"/>
      <c r="N269" s="782" t="s">
        <v>491</v>
      </c>
      <c r="O269" s="782" t="s">
        <v>491</v>
      </c>
      <c r="P269" s="782" t="s">
        <v>491</v>
      </c>
      <c r="Q269" s="782" t="s">
        <v>491</v>
      </c>
      <c r="R269" s="782" t="s">
        <v>491</v>
      </c>
      <c r="S269" s="782"/>
      <c r="T269" s="782"/>
      <c r="U269" s="782" t="s">
        <v>491</v>
      </c>
      <c r="V269" s="782" t="s">
        <v>491</v>
      </c>
      <c r="W269" s="782" t="s">
        <v>491</v>
      </c>
      <c r="X269" s="782" t="s">
        <v>491</v>
      </c>
      <c r="Y269" s="782" t="s">
        <v>491</v>
      </c>
      <c r="Z269" s="782"/>
      <c r="AA269" s="782"/>
      <c r="AB269" s="782" t="s">
        <v>491</v>
      </c>
      <c r="AC269" s="782" t="s">
        <v>491</v>
      </c>
      <c r="AD269" s="782" t="s">
        <v>491</v>
      </c>
      <c r="AE269" s="782" t="s">
        <v>491</v>
      </c>
      <c r="AF269" s="782" t="s">
        <v>491</v>
      </c>
      <c r="AG269" s="958"/>
      <c r="AH269" s="628">
        <v>59</v>
      </c>
      <c r="AI269" s="629">
        <v>37</v>
      </c>
    </row>
    <row r="270" spans="1:35" ht="21" customHeight="1">
      <c r="A270" s="442"/>
      <c r="B270" s="957" t="s">
        <v>726</v>
      </c>
      <c r="C270" s="1017"/>
      <c r="D270" s="1017" t="s">
        <v>491</v>
      </c>
      <c r="E270" s="1017"/>
      <c r="F270" s="1017"/>
      <c r="G270" s="1017" t="s">
        <v>491</v>
      </c>
      <c r="H270" s="1017" t="s">
        <v>491</v>
      </c>
      <c r="I270" s="1017" t="s">
        <v>491</v>
      </c>
      <c r="J270" s="1017" t="s">
        <v>491</v>
      </c>
      <c r="K270" s="1017" t="s">
        <v>491</v>
      </c>
      <c r="L270" s="1017"/>
      <c r="M270" s="1017"/>
      <c r="N270" s="1017" t="s">
        <v>491</v>
      </c>
      <c r="O270" s="1017" t="s">
        <v>491</v>
      </c>
      <c r="P270" s="1017" t="s">
        <v>491</v>
      </c>
      <c r="Q270" s="1017" t="s">
        <v>491</v>
      </c>
      <c r="R270" s="1017" t="s">
        <v>491</v>
      </c>
      <c r="S270" s="1017"/>
      <c r="T270" s="1017"/>
      <c r="U270" s="1017" t="s">
        <v>491</v>
      </c>
      <c r="V270" s="1017" t="s">
        <v>491</v>
      </c>
      <c r="W270" s="1017" t="s">
        <v>491</v>
      </c>
      <c r="X270" s="1017" t="s">
        <v>491</v>
      </c>
      <c r="Y270" s="1017" t="s">
        <v>491</v>
      </c>
      <c r="Z270" s="1017"/>
      <c r="AA270" s="1017"/>
      <c r="AB270" s="1017" t="s">
        <v>491</v>
      </c>
      <c r="AC270" s="1017" t="s">
        <v>491</v>
      </c>
      <c r="AD270" s="1017" t="s">
        <v>491</v>
      </c>
      <c r="AE270" s="1017" t="s">
        <v>491</v>
      </c>
      <c r="AF270" s="1017" t="s">
        <v>491</v>
      </c>
      <c r="AG270" s="958"/>
      <c r="AH270" s="628">
        <v>98</v>
      </c>
      <c r="AI270" s="629">
        <v>37</v>
      </c>
    </row>
    <row r="271" spans="1:35" ht="21" customHeight="1">
      <c r="A271" s="442"/>
      <c r="B271" s="957" t="s">
        <v>727</v>
      </c>
      <c r="C271" s="782"/>
      <c r="D271" s="1281" t="s">
        <v>491</v>
      </c>
      <c r="E271" s="782"/>
      <c r="F271" s="782"/>
      <c r="G271" s="782" t="s">
        <v>491</v>
      </c>
      <c r="H271" s="782" t="s">
        <v>491</v>
      </c>
      <c r="I271" s="1282" t="s">
        <v>491</v>
      </c>
      <c r="J271" s="1017" t="s">
        <v>491</v>
      </c>
      <c r="K271" s="1017" t="s">
        <v>491</v>
      </c>
      <c r="L271" s="1017"/>
      <c r="M271" s="1017"/>
      <c r="N271" s="1017" t="s">
        <v>491</v>
      </c>
      <c r="O271" s="1017" t="s">
        <v>493</v>
      </c>
      <c r="P271" s="1004" t="s">
        <v>491</v>
      </c>
      <c r="Q271" s="1004" t="s">
        <v>491</v>
      </c>
      <c r="R271" s="1004" t="s">
        <v>491</v>
      </c>
      <c r="S271" s="782"/>
      <c r="T271" s="782"/>
      <c r="U271" s="782" t="s">
        <v>491</v>
      </c>
      <c r="V271" s="782" t="s">
        <v>491</v>
      </c>
      <c r="W271" s="782" t="s">
        <v>491</v>
      </c>
      <c r="X271" s="782" t="s">
        <v>491</v>
      </c>
      <c r="Y271" s="782" t="s">
        <v>491</v>
      </c>
      <c r="Z271" s="782"/>
      <c r="AA271" s="782"/>
      <c r="AB271" s="782" t="s">
        <v>491</v>
      </c>
      <c r="AC271" s="782" t="s">
        <v>491</v>
      </c>
      <c r="AD271" s="782" t="s">
        <v>491</v>
      </c>
      <c r="AE271" s="782" t="s">
        <v>491</v>
      </c>
      <c r="AF271" s="782" t="s">
        <v>491</v>
      </c>
      <c r="AG271" s="958"/>
      <c r="AH271" s="628">
        <v>55</v>
      </c>
      <c r="AI271" s="629">
        <v>1</v>
      </c>
    </row>
    <row r="272" spans="1:35" ht="21" customHeight="1">
      <c r="A272" s="442"/>
      <c r="B272" s="155" t="s">
        <v>728</v>
      </c>
      <c r="C272" s="782"/>
      <c r="D272" s="1295" t="s">
        <v>491</v>
      </c>
      <c r="E272" s="782"/>
      <c r="F272" s="782"/>
      <c r="G272" s="782" t="s">
        <v>491</v>
      </c>
      <c r="H272" s="782" t="s">
        <v>491</v>
      </c>
      <c r="I272" s="782" t="s">
        <v>491</v>
      </c>
      <c r="J272" s="782" t="s">
        <v>491</v>
      </c>
      <c r="K272" s="782" t="s">
        <v>491</v>
      </c>
      <c r="L272" s="782"/>
      <c r="M272" s="782"/>
      <c r="N272" s="782" t="s">
        <v>491</v>
      </c>
      <c r="O272" s="782" t="s">
        <v>491</v>
      </c>
      <c r="P272" s="782" t="s">
        <v>491</v>
      </c>
      <c r="Q272" s="782" t="s">
        <v>491</v>
      </c>
      <c r="R272" s="782" t="s">
        <v>491</v>
      </c>
      <c r="S272" s="782"/>
      <c r="T272" s="782"/>
      <c r="U272" s="782" t="s">
        <v>491</v>
      </c>
      <c r="V272" s="782" t="s">
        <v>491</v>
      </c>
      <c r="W272" s="782" t="s">
        <v>491</v>
      </c>
      <c r="X272" s="1017" t="s">
        <v>491</v>
      </c>
      <c r="Y272" s="1017" t="s">
        <v>491</v>
      </c>
      <c r="Z272" s="1017"/>
      <c r="AA272" s="1017"/>
      <c r="AB272" s="1017" t="s">
        <v>491</v>
      </c>
      <c r="AC272" s="1017" t="s">
        <v>491</v>
      </c>
      <c r="AD272" s="1017" t="s">
        <v>491</v>
      </c>
      <c r="AE272" s="1017" t="s">
        <v>491</v>
      </c>
      <c r="AF272" s="1017" t="s">
        <v>491</v>
      </c>
      <c r="AG272" s="958"/>
      <c r="AH272" s="628">
        <v>38</v>
      </c>
      <c r="AI272" s="629">
        <v>0</v>
      </c>
    </row>
    <row r="273" spans="1:35" ht="21" customHeight="1">
      <c r="A273" s="442"/>
      <c r="B273" s="155" t="s">
        <v>729</v>
      </c>
      <c r="C273" s="782"/>
      <c r="D273" s="1289" t="s">
        <v>491</v>
      </c>
      <c r="E273" s="782"/>
      <c r="F273" s="782"/>
      <c r="G273" s="782" t="s">
        <v>491</v>
      </c>
      <c r="H273" s="782" t="s">
        <v>491</v>
      </c>
      <c r="I273" s="782" t="s">
        <v>491</v>
      </c>
      <c r="J273" s="782" t="s">
        <v>491</v>
      </c>
      <c r="K273" s="782" t="s">
        <v>491</v>
      </c>
      <c r="L273" s="782"/>
      <c r="M273" s="782"/>
      <c r="N273" s="782" t="s">
        <v>491</v>
      </c>
      <c r="O273" s="782" t="s">
        <v>491</v>
      </c>
      <c r="P273" s="782" t="s">
        <v>491</v>
      </c>
      <c r="Q273" s="782" t="s">
        <v>491</v>
      </c>
      <c r="R273" s="782" t="s">
        <v>491</v>
      </c>
      <c r="S273" s="782"/>
      <c r="T273" s="782"/>
      <c r="U273" s="782" t="s">
        <v>491</v>
      </c>
      <c r="V273" s="782" t="s">
        <v>491</v>
      </c>
      <c r="W273" s="782" t="s">
        <v>491</v>
      </c>
      <c r="X273" s="782" t="s">
        <v>491</v>
      </c>
      <c r="Y273" s="782" t="s">
        <v>491</v>
      </c>
      <c r="Z273" s="782"/>
      <c r="AA273" s="782"/>
      <c r="AB273" s="782" t="s">
        <v>491</v>
      </c>
      <c r="AC273" s="782" t="s">
        <v>491</v>
      </c>
      <c r="AD273" s="1302" t="s">
        <v>491</v>
      </c>
      <c r="AE273" s="1302" t="s">
        <v>491</v>
      </c>
      <c r="AF273" s="1302" t="s">
        <v>491</v>
      </c>
      <c r="AG273" s="958"/>
      <c r="AH273" s="628">
        <v>54</v>
      </c>
      <c r="AI273" s="629">
        <v>0</v>
      </c>
    </row>
    <row r="274" spans="1:35" ht="21" customHeight="1">
      <c r="A274" s="134"/>
      <c r="B274" s="652" t="s">
        <v>730</v>
      </c>
      <c r="C274" s="782"/>
      <c r="D274" s="782" t="s">
        <v>491</v>
      </c>
      <c r="E274" s="782"/>
      <c r="F274" s="782"/>
      <c r="G274" s="1289" t="s">
        <v>491</v>
      </c>
      <c r="H274" s="782" t="s">
        <v>491</v>
      </c>
      <c r="I274" s="1017" t="s">
        <v>491</v>
      </c>
      <c r="J274" s="1017" t="s">
        <v>491</v>
      </c>
      <c r="K274" s="1017" t="s">
        <v>491</v>
      </c>
      <c r="L274" s="1017"/>
      <c r="M274" s="1017"/>
      <c r="N274" s="1017" t="s">
        <v>491</v>
      </c>
      <c r="O274" s="1017" t="s">
        <v>491</v>
      </c>
      <c r="P274" s="1017" t="s">
        <v>491</v>
      </c>
      <c r="Q274" s="1017" t="s">
        <v>491</v>
      </c>
      <c r="R274" s="1017" t="s">
        <v>493</v>
      </c>
      <c r="S274" s="782"/>
      <c r="T274" s="782"/>
      <c r="U274" s="782" t="s">
        <v>491</v>
      </c>
      <c r="V274" s="782" t="s">
        <v>491</v>
      </c>
      <c r="W274" s="782" t="s">
        <v>491</v>
      </c>
      <c r="X274" s="782" t="s">
        <v>491</v>
      </c>
      <c r="Y274" s="782" t="s">
        <v>491</v>
      </c>
      <c r="Z274" s="782"/>
      <c r="AA274" s="782"/>
      <c r="AB274" s="782" t="s">
        <v>491</v>
      </c>
      <c r="AC274" s="782" t="s">
        <v>491</v>
      </c>
      <c r="AD274" s="782" t="s">
        <v>491</v>
      </c>
      <c r="AE274" s="782" t="s">
        <v>491</v>
      </c>
      <c r="AF274" s="782" t="s">
        <v>491</v>
      </c>
      <c r="AG274" s="960"/>
      <c r="AH274" s="849">
        <v>24</v>
      </c>
      <c r="AI274" s="850">
        <v>2</v>
      </c>
    </row>
    <row r="275" spans="1:35" ht="21" customHeight="1" thickBot="1">
      <c r="A275" s="917"/>
      <c r="B275" s="917" t="s">
        <v>731</v>
      </c>
      <c r="C275" s="1066"/>
      <c r="D275" s="1066" t="s">
        <v>491</v>
      </c>
      <c r="E275" s="1066"/>
      <c r="F275" s="1066"/>
      <c r="G275" s="1066" t="s">
        <v>491</v>
      </c>
      <c r="H275" s="1066" t="s">
        <v>491</v>
      </c>
      <c r="I275" s="1066" t="s">
        <v>491</v>
      </c>
      <c r="J275" s="1066" t="s">
        <v>491</v>
      </c>
      <c r="K275" s="1066" t="s">
        <v>491</v>
      </c>
      <c r="L275" s="1066"/>
      <c r="M275" s="1066"/>
      <c r="N275" s="1066" t="s">
        <v>491</v>
      </c>
      <c r="O275" s="1066" t="s">
        <v>491</v>
      </c>
      <c r="P275" s="1066" t="s">
        <v>491</v>
      </c>
      <c r="Q275" s="1066" t="s">
        <v>491</v>
      </c>
      <c r="R275" s="1066" t="s">
        <v>491</v>
      </c>
      <c r="S275" s="1066"/>
      <c r="T275" s="1066"/>
      <c r="U275" s="1066" t="s">
        <v>491</v>
      </c>
      <c r="V275" s="1066" t="s">
        <v>491</v>
      </c>
      <c r="W275" s="1066" t="s">
        <v>491</v>
      </c>
      <c r="X275" s="1066" t="s">
        <v>491</v>
      </c>
      <c r="Y275" s="1066" t="s">
        <v>491</v>
      </c>
      <c r="Z275" s="1066"/>
      <c r="AA275" s="1066"/>
      <c r="AB275" s="1066" t="s">
        <v>491</v>
      </c>
      <c r="AC275" s="1066" t="s">
        <v>491</v>
      </c>
      <c r="AD275" s="1066" t="s">
        <v>491</v>
      </c>
      <c r="AE275" s="1066" t="s">
        <v>491</v>
      </c>
      <c r="AF275" s="1066" t="s">
        <v>491</v>
      </c>
      <c r="AG275" s="959"/>
      <c r="AH275" s="914">
        <v>185</v>
      </c>
      <c r="AI275" s="915">
        <v>37</v>
      </c>
    </row>
  </sheetData>
  <sheetProtection password="CC44" sheet="1" objects="1" scenarios="1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59" max="16383" man="1"/>
  </rowBreaks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44"/>
  <dimension ref="A1:AL275"/>
  <sheetViews>
    <sheetView zoomScale="70" zoomScaleNormal="70" workbookViewId="0">
      <selection activeCell="AN149" sqref="AN149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449</v>
      </c>
    </row>
    <row r="2" spans="1:35" ht="13.35" customHeight="1">
      <c r="B2" s="443" t="s">
        <v>450</v>
      </c>
      <c r="C2" s="444" t="s">
        <v>451</v>
      </c>
      <c r="D2" s="445"/>
      <c r="E2" s="446" t="s">
        <v>452</v>
      </c>
      <c r="F2" s="447"/>
      <c r="G2" s="448"/>
      <c r="H2" s="448"/>
      <c r="I2" s="448"/>
      <c r="J2" s="448"/>
      <c r="K2" s="449"/>
      <c r="L2" s="450" t="s">
        <v>453</v>
      </c>
      <c r="M2" s="451"/>
      <c r="N2" s="380"/>
      <c r="O2" s="452" t="s">
        <v>454</v>
      </c>
      <c r="P2" s="453"/>
      <c r="Q2" s="454"/>
      <c r="R2" s="455"/>
      <c r="S2" s="456" t="s">
        <v>455</v>
      </c>
      <c r="T2" s="457"/>
      <c r="U2" s="458"/>
      <c r="V2" s="457"/>
      <c r="W2" s="459" t="s">
        <v>456</v>
      </c>
      <c r="X2" s="368"/>
      <c r="Y2" s="460"/>
      <c r="Z2" s="461" t="s">
        <v>457</v>
      </c>
      <c r="AA2" s="462"/>
      <c r="AB2" s="463"/>
      <c r="AC2" s="464"/>
      <c r="AD2" s="465" t="s">
        <v>458</v>
      </c>
      <c r="AE2" s="466"/>
      <c r="AF2" s="466"/>
      <c r="AG2" s="467"/>
    </row>
    <row r="3" spans="1:35" ht="13.35" customHeight="1">
      <c r="A3" s="1"/>
      <c r="B3" s="468" t="s">
        <v>459</v>
      </c>
      <c r="C3" s="469" t="s">
        <v>460</v>
      </c>
      <c r="D3" s="470"/>
      <c r="E3" s="471"/>
      <c r="F3" s="472"/>
      <c r="G3" s="472"/>
      <c r="H3" s="473" t="s">
        <v>461</v>
      </c>
      <c r="I3" s="474"/>
      <c r="J3" s="474"/>
      <c r="K3" s="475"/>
      <c r="L3" s="476" t="s">
        <v>462</v>
      </c>
      <c r="M3" s="157"/>
      <c r="N3" s="477"/>
      <c r="O3" s="474"/>
      <c r="P3" s="474"/>
      <c r="Q3" s="474"/>
      <c r="R3" s="474"/>
      <c r="S3" s="55"/>
      <c r="T3" s="478" t="s">
        <v>463</v>
      </c>
      <c r="U3" s="479"/>
      <c r="V3" s="480"/>
      <c r="W3" s="481"/>
      <c r="X3" s="482"/>
      <c r="Y3" s="473" t="s">
        <v>464</v>
      </c>
      <c r="Z3" s="157"/>
      <c r="AA3" s="157"/>
      <c r="AB3" s="483"/>
      <c r="AC3" s="484"/>
      <c r="AD3" s="485" t="s">
        <v>465</v>
      </c>
      <c r="AE3" s="486"/>
      <c r="AF3" s="486"/>
      <c r="AG3" s="487"/>
    </row>
    <row r="4" spans="1:35" ht="13.35" customHeight="1">
      <c r="A4" s="1" t="s">
        <v>776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 t="s">
        <v>14</v>
      </c>
      <c r="B5" s="1"/>
    </row>
    <row r="6" spans="1:35" ht="21.95" customHeight="1">
      <c r="A6" s="488" t="s">
        <v>467</v>
      </c>
      <c r="B6" s="157"/>
      <c r="C6" s="489"/>
      <c r="D6" s="488" t="s">
        <v>468</v>
      </c>
      <c r="E6" s="157"/>
      <c r="F6" s="157"/>
      <c r="G6" s="157"/>
      <c r="H6" s="490"/>
      <c r="I6" s="157"/>
      <c r="J6" s="157"/>
      <c r="K6" s="157"/>
      <c r="L6" s="488" t="s">
        <v>769</v>
      </c>
      <c r="M6" s="157"/>
      <c r="N6" s="157"/>
      <c r="O6" s="157"/>
      <c r="P6" s="157"/>
      <c r="Q6" s="157"/>
      <c r="R6" s="157"/>
      <c r="S6" s="489"/>
      <c r="T6" s="491" t="s">
        <v>470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35" ht="21.95" customHeight="1">
      <c r="A7" s="488" t="s">
        <v>471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472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35" ht="21.95" customHeight="1">
      <c r="A8" s="496" t="s">
        <v>473</v>
      </c>
      <c r="L8" s="496"/>
      <c r="AB8" s="1"/>
    </row>
    <row r="9" spans="1:35" ht="21.95" customHeight="1" thickBot="1">
      <c r="B9" s="497" t="s">
        <v>474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35" ht="21.95" customHeight="1">
      <c r="A10" s="442" t="s">
        <v>475</v>
      </c>
      <c r="B10" s="297" t="s">
        <v>476</v>
      </c>
      <c r="C10" s="788">
        <v>1</v>
      </c>
      <c r="D10" s="787">
        <v>2</v>
      </c>
      <c r="E10" s="787">
        <v>3</v>
      </c>
      <c r="F10" s="787">
        <v>4</v>
      </c>
      <c r="G10" s="787">
        <v>5</v>
      </c>
      <c r="H10" s="787">
        <v>6</v>
      </c>
      <c r="I10" s="830">
        <v>7</v>
      </c>
      <c r="J10" s="830">
        <v>8</v>
      </c>
      <c r="K10" s="787">
        <v>9</v>
      </c>
      <c r="L10" s="787">
        <v>10</v>
      </c>
      <c r="M10" s="787">
        <v>11</v>
      </c>
      <c r="N10" s="787">
        <v>12</v>
      </c>
      <c r="O10" s="787">
        <v>13</v>
      </c>
      <c r="P10" s="830">
        <v>14</v>
      </c>
      <c r="Q10" s="830">
        <v>15</v>
      </c>
      <c r="R10" s="787">
        <v>16</v>
      </c>
      <c r="S10" s="787">
        <v>17</v>
      </c>
      <c r="T10" s="787">
        <v>18</v>
      </c>
      <c r="U10" s="787">
        <v>19</v>
      </c>
      <c r="V10" s="766">
        <v>20</v>
      </c>
      <c r="W10" s="830">
        <v>21</v>
      </c>
      <c r="X10" s="830">
        <v>22</v>
      </c>
      <c r="Y10" s="787">
        <v>23</v>
      </c>
      <c r="Z10" s="787">
        <v>24</v>
      </c>
      <c r="AA10" s="787">
        <v>25</v>
      </c>
      <c r="AB10" s="787">
        <v>26</v>
      </c>
      <c r="AC10" s="787">
        <v>27</v>
      </c>
      <c r="AD10" s="830">
        <v>28</v>
      </c>
      <c r="AE10" s="766"/>
      <c r="AF10" s="787"/>
      <c r="AG10" s="787"/>
      <c r="AH10" s="498" t="s">
        <v>477</v>
      </c>
      <c r="AI10" s="499" t="s">
        <v>478</v>
      </c>
    </row>
    <row r="11" spans="1:35" ht="21.95" customHeight="1">
      <c r="A11" s="500"/>
      <c r="B11" s="501"/>
      <c r="C11" s="768"/>
      <c r="D11" s="768"/>
      <c r="E11" s="768"/>
      <c r="F11" s="768"/>
      <c r="G11" s="768"/>
      <c r="H11" s="768"/>
      <c r="I11" s="768"/>
      <c r="J11" s="768"/>
      <c r="K11" s="768"/>
      <c r="L11" s="768"/>
      <c r="M11" s="768"/>
      <c r="N11" s="768"/>
      <c r="O11" s="768"/>
      <c r="P11" s="768"/>
      <c r="Q11" s="768"/>
      <c r="R11" s="768"/>
      <c r="S11" s="768"/>
      <c r="T11" s="768"/>
      <c r="U11" s="768"/>
      <c r="V11" s="768"/>
      <c r="W11" s="768"/>
      <c r="X11" s="768"/>
      <c r="Y11" s="768"/>
      <c r="Z11" s="768"/>
      <c r="AA11" s="768"/>
      <c r="AB11" s="768"/>
      <c r="AC11" s="768"/>
      <c r="AD11" s="768"/>
      <c r="AE11" s="768"/>
      <c r="AF11" s="768"/>
      <c r="AG11" s="502"/>
      <c r="AH11" s="924"/>
      <c r="AI11" s="925"/>
    </row>
    <row r="12" spans="1:35" ht="21.95" customHeight="1">
      <c r="A12" s="503" t="s">
        <v>479</v>
      </c>
      <c r="B12" s="457"/>
      <c r="C12" s="504"/>
      <c r="D12" s="504"/>
      <c r="E12" s="504"/>
      <c r="F12" s="504"/>
      <c r="G12" s="504"/>
      <c r="H12" s="504"/>
      <c r="I12" s="504"/>
      <c r="J12" s="504"/>
      <c r="K12" s="504"/>
      <c r="L12" s="504"/>
      <c r="M12" s="504"/>
      <c r="N12" s="504"/>
      <c r="O12" s="504"/>
      <c r="P12" s="504"/>
      <c r="Q12" s="504"/>
      <c r="R12" s="504"/>
      <c r="S12" s="504"/>
      <c r="T12" s="504"/>
      <c r="U12" s="504"/>
      <c r="V12" s="504"/>
      <c r="W12" s="504"/>
      <c r="X12" s="504"/>
      <c r="Y12" s="504"/>
      <c r="Z12" s="504"/>
      <c r="AA12" s="504"/>
      <c r="AB12" s="504"/>
      <c r="AC12" s="504"/>
      <c r="AD12" s="504"/>
      <c r="AE12" s="504"/>
      <c r="AF12" s="504"/>
      <c r="AG12" s="505"/>
      <c r="AH12" s="506"/>
      <c r="AI12" s="507"/>
    </row>
    <row r="13" spans="1:35" ht="21.95" customHeight="1">
      <c r="A13" s="508">
        <v>8546</v>
      </c>
      <c r="B13" s="509" t="s">
        <v>480</v>
      </c>
      <c r="C13" s="764"/>
      <c r="D13" s="764">
        <v>1</v>
      </c>
      <c r="E13" s="764">
        <v>1</v>
      </c>
      <c r="F13" s="764">
        <v>1</v>
      </c>
      <c r="G13" s="764">
        <v>1</v>
      </c>
      <c r="H13" s="768">
        <v>1</v>
      </c>
      <c r="I13" s="764"/>
      <c r="J13" s="764"/>
      <c r="K13" s="764">
        <v>2</v>
      </c>
      <c r="L13" s="764">
        <v>2</v>
      </c>
      <c r="M13" s="764">
        <v>2</v>
      </c>
      <c r="N13" s="764">
        <v>2</v>
      </c>
      <c r="O13" s="764">
        <v>2</v>
      </c>
      <c r="P13" s="764" t="s">
        <v>484</v>
      </c>
      <c r="Q13" s="764" t="s">
        <v>484</v>
      </c>
      <c r="R13" s="764" t="s">
        <v>481</v>
      </c>
      <c r="S13" s="764" t="s">
        <v>481</v>
      </c>
      <c r="T13" s="764" t="s">
        <v>481</v>
      </c>
      <c r="U13" s="764" t="s">
        <v>481</v>
      </c>
      <c r="V13" s="764" t="s">
        <v>481</v>
      </c>
      <c r="W13" s="764"/>
      <c r="X13" s="764"/>
      <c r="Y13" s="764">
        <v>3</v>
      </c>
      <c r="Z13" s="764">
        <v>3</v>
      </c>
      <c r="AA13" s="764">
        <v>3</v>
      </c>
      <c r="AB13" s="764">
        <v>3</v>
      </c>
      <c r="AC13" s="764">
        <v>3</v>
      </c>
      <c r="AD13" s="764"/>
      <c r="AE13" s="764"/>
      <c r="AF13" s="764"/>
      <c r="AG13" s="771"/>
      <c r="AH13" s="924">
        <v>47</v>
      </c>
      <c r="AI13" s="925">
        <v>37</v>
      </c>
    </row>
    <row r="14" spans="1:35" ht="21.95" customHeight="1">
      <c r="A14" s="500">
        <v>8546</v>
      </c>
      <c r="B14" s="347" t="s">
        <v>483</v>
      </c>
      <c r="C14" s="768"/>
      <c r="D14" s="768">
        <v>4</v>
      </c>
      <c r="E14" s="768">
        <v>4</v>
      </c>
      <c r="F14" s="768">
        <v>4</v>
      </c>
      <c r="G14" s="768">
        <v>4</v>
      </c>
      <c r="H14" s="768">
        <v>4</v>
      </c>
      <c r="I14" s="768" t="s">
        <v>482</v>
      </c>
      <c r="J14" s="768" t="s">
        <v>482</v>
      </c>
      <c r="K14" s="768" t="s">
        <v>481</v>
      </c>
      <c r="L14" s="768" t="s">
        <v>481</v>
      </c>
      <c r="M14" s="768" t="s">
        <v>481</v>
      </c>
      <c r="N14" s="768" t="s">
        <v>481</v>
      </c>
      <c r="O14" s="768" t="s">
        <v>481</v>
      </c>
      <c r="P14" s="768"/>
      <c r="Q14" s="768"/>
      <c r="R14" s="768">
        <v>1</v>
      </c>
      <c r="S14" s="768">
        <v>1</v>
      </c>
      <c r="T14" s="768">
        <v>1</v>
      </c>
      <c r="U14" s="768">
        <v>1</v>
      </c>
      <c r="V14" s="768">
        <v>1</v>
      </c>
      <c r="W14" s="768"/>
      <c r="X14" s="768"/>
      <c r="Y14" s="768">
        <v>2</v>
      </c>
      <c r="Z14" s="768">
        <v>2</v>
      </c>
      <c r="AA14" s="768">
        <v>2</v>
      </c>
      <c r="AB14" s="768">
        <v>2</v>
      </c>
      <c r="AC14" s="768">
        <v>2</v>
      </c>
      <c r="AD14" s="768" t="s">
        <v>484</v>
      </c>
      <c r="AE14" s="768"/>
      <c r="AF14" s="768"/>
      <c r="AG14" s="769"/>
      <c r="AH14" s="924">
        <v>82.5</v>
      </c>
      <c r="AI14" s="925">
        <v>37</v>
      </c>
    </row>
    <row r="15" spans="1:35" ht="21.95" customHeight="1">
      <c r="A15" s="500">
        <v>8546</v>
      </c>
      <c r="B15" s="347" t="s">
        <v>174</v>
      </c>
      <c r="C15" s="768" t="s">
        <v>482</v>
      </c>
      <c r="D15" s="768" t="s">
        <v>481</v>
      </c>
      <c r="E15" s="768" t="s">
        <v>481</v>
      </c>
      <c r="F15" s="768" t="s">
        <v>481</v>
      </c>
      <c r="G15" s="768" t="s">
        <v>481</v>
      </c>
      <c r="H15" s="768" t="s">
        <v>481</v>
      </c>
      <c r="I15" s="768"/>
      <c r="J15" s="768"/>
      <c r="K15" s="768">
        <v>1</v>
      </c>
      <c r="L15" s="768">
        <v>1</v>
      </c>
      <c r="M15" s="977">
        <v>1</v>
      </c>
      <c r="N15" s="977">
        <v>1</v>
      </c>
      <c r="O15" s="977">
        <v>1</v>
      </c>
      <c r="P15" s="768"/>
      <c r="Q15" s="768"/>
      <c r="R15" s="768">
        <v>2</v>
      </c>
      <c r="S15" s="768">
        <v>2</v>
      </c>
      <c r="T15" s="768">
        <v>2</v>
      </c>
      <c r="U15" s="768">
        <v>2</v>
      </c>
      <c r="V15" s="768">
        <v>2</v>
      </c>
      <c r="W15" s="768" t="s">
        <v>484</v>
      </c>
      <c r="X15" s="768" t="s">
        <v>484</v>
      </c>
      <c r="Y15" s="768" t="s">
        <v>481</v>
      </c>
      <c r="Z15" s="768" t="s">
        <v>481</v>
      </c>
      <c r="AA15" s="768" t="s">
        <v>481</v>
      </c>
      <c r="AB15" s="768" t="s">
        <v>481</v>
      </c>
      <c r="AC15" s="768" t="s">
        <v>481</v>
      </c>
      <c r="AD15" s="768"/>
      <c r="AE15" s="768"/>
      <c r="AF15" s="768"/>
      <c r="AG15" s="769"/>
      <c r="AH15" s="924">
        <v>0</v>
      </c>
      <c r="AI15" s="925">
        <v>0</v>
      </c>
    </row>
    <row r="16" spans="1:35" ht="21.95" customHeight="1">
      <c r="A16" s="500">
        <v>8546</v>
      </c>
      <c r="B16" s="347" t="s">
        <v>486</v>
      </c>
      <c r="C16" s="768" t="s">
        <v>484</v>
      </c>
      <c r="D16" s="768" t="s">
        <v>481</v>
      </c>
      <c r="E16" s="768" t="s">
        <v>481</v>
      </c>
      <c r="F16" s="768" t="s">
        <v>481</v>
      </c>
      <c r="G16" s="768" t="s">
        <v>481</v>
      </c>
      <c r="H16" s="768" t="s">
        <v>481</v>
      </c>
      <c r="I16" s="768"/>
      <c r="J16" s="768"/>
      <c r="K16" s="768">
        <v>3</v>
      </c>
      <c r="L16" s="768">
        <v>3</v>
      </c>
      <c r="M16" s="768">
        <v>3</v>
      </c>
      <c r="N16" s="768">
        <v>3</v>
      </c>
      <c r="O16" s="768">
        <v>3</v>
      </c>
      <c r="P16" s="768"/>
      <c r="Q16" s="768"/>
      <c r="R16" s="1044">
        <v>4</v>
      </c>
      <c r="S16" s="768">
        <v>4</v>
      </c>
      <c r="T16" s="768">
        <v>4</v>
      </c>
      <c r="U16" s="768">
        <v>4</v>
      </c>
      <c r="V16" s="768">
        <v>4</v>
      </c>
      <c r="W16" s="768" t="s">
        <v>482</v>
      </c>
      <c r="X16" s="768" t="s">
        <v>482</v>
      </c>
      <c r="Y16" s="768" t="s">
        <v>481</v>
      </c>
      <c r="Z16" s="1044" t="s">
        <v>481</v>
      </c>
      <c r="AA16" s="768" t="s">
        <v>481</v>
      </c>
      <c r="AB16" s="1044" t="s">
        <v>481</v>
      </c>
      <c r="AC16" s="768" t="s">
        <v>481</v>
      </c>
      <c r="AD16" s="768"/>
      <c r="AE16" s="768"/>
      <c r="AF16" s="768"/>
      <c r="AG16" s="769"/>
      <c r="AH16" s="924">
        <v>1.5</v>
      </c>
      <c r="AI16" s="925">
        <v>37</v>
      </c>
    </row>
    <row r="17" spans="1:37" ht="21.95" customHeight="1">
      <c r="A17" s="500">
        <v>8546</v>
      </c>
      <c r="B17" s="347" t="s">
        <v>487</v>
      </c>
      <c r="C17" s="768"/>
      <c r="D17" s="768">
        <v>2</v>
      </c>
      <c r="E17" s="768">
        <v>2</v>
      </c>
      <c r="F17" s="977">
        <v>2</v>
      </c>
      <c r="G17" s="977">
        <v>2</v>
      </c>
      <c r="H17" s="768">
        <v>2</v>
      </c>
      <c r="I17" s="768" t="s">
        <v>484</v>
      </c>
      <c r="J17" s="768" t="s">
        <v>484</v>
      </c>
      <c r="K17" s="768" t="s">
        <v>481</v>
      </c>
      <c r="L17" s="768" t="s">
        <v>481</v>
      </c>
      <c r="M17" s="768" t="s">
        <v>481</v>
      </c>
      <c r="N17" s="768" t="s">
        <v>481</v>
      </c>
      <c r="O17" s="768" t="s">
        <v>481</v>
      </c>
      <c r="P17" s="768"/>
      <c r="Q17" s="768"/>
      <c r="R17" s="768">
        <v>3</v>
      </c>
      <c r="S17" s="768">
        <v>3</v>
      </c>
      <c r="T17" s="768">
        <v>3</v>
      </c>
      <c r="U17" s="768">
        <v>3</v>
      </c>
      <c r="V17" s="768">
        <v>3</v>
      </c>
      <c r="W17" s="768"/>
      <c r="X17" s="768"/>
      <c r="Y17" s="1044">
        <v>4</v>
      </c>
      <c r="Z17" s="768">
        <v>4</v>
      </c>
      <c r="AA17" s="768">
        <v>4</v>
      </c>
      <c r="AB17" s="768">
        <v>4</v>
      </c>
      <c r="AC17" s="768">
        <v>4</v>
      </c>
      <c r="AD17" s="768" t="s">
        <v>482</v>
      </c>
      <c r="AE17" s="768"/>
      <c r="AF17" s="768"/>
      <c r="AG17" s="769"/>
      <c r="AH17" s="924">
        <v>0</v>
      </c>
      <c r="AI17" s="925">
        <v>5.75</v>
      </c>
    </row>
    <row r="18" spans="1:37" ht="21.95" customHeight="1">
      <c r="A18" s="500">
        <v>8546</v>
      </c>
      <c r="B18" s="347" t="s">
        <v>488</v>
      </c>
      <c r="C18" s="768"/>
      <c r="D18" s="768">
        <v>3</v>
      </c>
      <c r="E18" s="768">
        <v>3</v>
      </c>
      <c r="F18" s="768">
        <v>3</v>
      </c>
      <c r="G18" s="768">
        <v>3</v>
      </c>
      <c r="H18" s="768">
        <v>3</v>
      </c>
      <c r="I18" s="768"/>
      <c r="J18" s="768"/>
      <c r="K18" s="768">
        <v>4</v>
      </c>
      <c r="L18" s="768">
        <v>4</v>
      </c>
      <c r="M18" s="768">
        <v>4</v>
      </c>
      <c r="N18" s="768">
        <v>4</v>
      </c>
      <c r="O18" s="768">
        <v>4</v>
      </c>
      <c r="P18" s="768" t="s">
        <v>482</v>
      </c>
      <c r="Q18" s="768" t="s">
        <v>482</v>
      </c>
      <c r="R18" s="768" t="s">
        <v>481</v>
      </c>
      <c r="S18" s="768" t="s">
        <v>481</v>
      </c>
      <c r="T18" s="768" t="s">
        <v>481</v>
      </c>
      <c r="U18" s="768" t="s">
        <v>481</v>
      </c>
      <c r="V18" s="768" t="s">
        <v>481</v>
      </c>
      <c r="W18" s="768"/>
      <c r="X18" s="768"/>
      <c r="Y18" s="970">
        <v>1</v>
      </c>
      <c r="Z18" s="970">
        <v>1</v>
      </c>
      <c r="AA18" s="970">
        <v>1</v>
      </c>
      <c r="AB18" s="970">
        <v>1</v>
      </c>
      <c r="AC18" s="970">
        <v>1</v>
      </c>
      <c r="AD18" s="970"/>
      <c r="AE18" s="768"/>
      <c r="AF18" s="768"/>
      <c r="AG18" s="769"/>
      <c r="AH18" s="924">
        <v>0</v>
      </c>
      <c r="AI18" s="925">
        <v>9</v>
      </c>
    </row>
    <row r="19" spans="1:37" ht="21.95" customHeight="1">
      <c r="A19" s="512" t="s">
        <v>489</v>
      </c>
      <c r="B19" s="513"/>
      <c r="C19" s="504"/>
      <c r="D19" s="504"/>
      <c r="E19" s="504"/>
      <c r="F19" s="504"/>
      <c r="G19" s="504"/>
      <c r="H19" s="504"/>
      <c r="I19" s="504"/>
      <c r="J19" s="504"/>
      <c r="K19" s="504"/>
      <c r="L19" s="504"/>
      <c r="M19" s="504"/>
      <c r="N19" s="504"/>
      <c r="O19" s="504"/>
      <c r="P19" s="504"/>
      <c r="Q19" s="504"/>
      <c r="R19" s="504"/>
      <c r="S19" s="504"/>
      <c r="T19" s="504"/>
      <c r="U19" s="504"/>
      <c r="V19" s="504"/>
      <c r="W19" s="504"/>
      <c r="X19" s="504"/>
      <c r="Y19" s="504"/>
      <c r="Z19" s="504"/>
      <c r="AA19" s="504"/>
      <c r="AB19" s="504"/>
      <c r="AC19" s="504"/>
      <c r="AD19" s="504"/>
      <c r="AE19" s="504"/>
      <c r="AF19" s="504"/>
      <c r="AG19" s="505"/>
      <c r="AH19" s="506"/>
      <c r="AI19" s="507"/>
    </row>
    <row r="20" spans="1:37" ht="21.95" customHeight="1">
      <c r="A20" s="500">
        <v>8500</v>
      </c>
      <c r="B20" s="153" t="s">
        <v>492</v>
      </c>
      <c r="C20" s="768"/>
      <c r="D20" s="768" t="s">
        <v>491</v>
      </c>
      <c r="E20" s="768" t="s">
        <v>491</v>
      </c>
      <c r="F20" s="768" t="s">
        <v>491</v>
      </c>
      <c r="G20" s="768" t="s">
        <v>491</v>
      </c>
      <c r="H20" s="768" t="s">
        <v>491</v>
      </c>
      <c r="I20" s="768"/>
      <c r="J20" s="768"/>
      <c r="K20" s="970" t="s">
        <v>491</v>
      </c>
      <c r="L20" s="970" t="s">
        <v>491</v>
      </c>
      <c r="M20" s="970" t="s">
        <v>491</v>
      </c>
      <c r="N20" s="970" t="s">
        <v>491</v>
      </c>
      <c r="O20" s="970" t="s">
        <v>491</v>
      </c>
      <c r="P20" s="970"/>
      <c r="Q20" s="970"/>
      <c r="R20" s="768" t="s">
        <v>491</v>
      </c>
      <c r="S20" s="768" t="s">
        <v>491</v>
      </c>
      <c r="T20" s="768" t="s">
        <v>491</v>
      </c>
      <c r="U20" s="768" t="s">
        <v>491</v>
      </c>
      <c r="V20" s="768" t="s">
        <v>491</v>
      </c>
      <c r="W20" s="768"/>
      <c r="X20" s="768"/>
      <c r="Y20" s="768" t="s">
        <v>491</v>
      </c>
      <c r="Z20" s="768" t="s">
        <v>491</v>
      </c>
      <c r="AA20" s="768" t="s">
        <v>491</v>
      </c>
      <c r="AB20" s="768" t="s">
        <v>491</v>
      </c>
      <c r="AC20" s="768" t="s">
        <v>491</v>
      </c>
      <c r="AD20" s="768"/>
      <c r="AE20" s="768"/>
      <c r="AF20" s="768"/>
      <c r="AG20" s="768"/>
      <c r="AH20" s="924">
        <v>6</v>
      </c>
      <c r="AI20" s="925">
        <v>37</v>
      </c>
    </row>
    <row r="21" spans="1:37" ht="21.95" customHeight="1">
      <c r="A21" s="500">
        <v>8500</v>
      </c>
      <c r="B21" s="319" t="s">
        <v>527</v>
      </c>
      <c r="C21" s="768"/>
      <c r="D21" s="768">
        <v>3</v>
      </c>
      <c r="E21" s="1007" t="s">
        <v>485</v>
      </c>
      <c r="F21" s="768">
        <v>2</v>
      </c>
      <c r="G21" s="768">
        <v>2</v>
      </c>
      <c r="H21" s="768">
        <v>1</v>
      </c>
      <c r="I21" s="768"/>
      <c r="J21" s="768"/>
      <c r="K21" s="1060" t="s">
        <v>554</v>
      </c>
      <c r="L21" s="768">
        <v>7</v>
      </c>
      <c r="M21" s="768">
        <v>1</v>
      </c>
      <c r="N21" s="768">
        <v>1</v>
      </c>
      <c r="O21" s="768">
        <v>1</v>
      </c>
      <c r="P21" s="768"/>
      <c r="Q21" s="768"/>
      <c r="R21" s="987" t="s">
        <v>485</v>
      </c>
      <c r="S21" s="987" t="s">
        <v>485</v>
      </c>
      <c r="T21" s="987" t="s">
        <v>485</v>
      </c>
      <c r="U21" s="987" t="s">
        <v>485</v>
      </c>
      <c r="V21" s="987" t="s">
        <v>485</v>
      </c>
      <c r="W21" s="768"/>
      <c r="X21" s="768"/>
      <c r="Y21" s="768">
        <v>1</v>
      </c>
      <c r="Z21" s="768">
        <v>1</v>
      </c>
      <c r="AA21" s="768">
        <v>1</v>
      </c>
      <c r="AB21" s="768">
        <v>1</v>
      </c>
      <c r="AC21" s="768">
        <v>1</v>
      </c>
      <c r="AD21" s="768"/>
      <c r="AE21" s="768"/>
      <c r="AF21" s="768"/>
      <c r="AG21" s="768"/>
      <c r="AH21" s="924">
        <v>43</v>
      </c>
      <c r="AI21" s="925">
        <v>37</v>
      </c>
    </row>
    <row r="22" spans="1:37" ht="21.95" customHeight="1" thickBot="1">
      <c r="A22" s="500"/>
      <c r="B22" s="319"/>
      <c r="C22" s="768"/>
      <c r="D22" s="768"/>
      <c r="E22" s="768"/>
      <c r="F22" s="768"/>
      <c r="G22" s="768"/>
      <c r="H22" s="768"/>
      <c r="I22" s="768"/>
      <c r="J22" s="768"/>
      <c r="K22" s="768"/>
      <c r="L22" s="768"/>
      <c r="M22" s="768"/>
      <c r="N22" s="768"/>
      <c r="O22" s="768"/>
      <c r="P22" s="768"/>
      <c r="Q22" s="768"/>
      <c r="R22" s="768"/>
      <c r="S22" s="768"/>
      <c r="T22" s="768"/>
      <c r="U22" s="768"/>
      <c r="V22" s="768"/>
      <c r="W22" s="768"/>
      <c r="X22" s="768"/>
      <c r="Y22" s="768"/>
      <c r="Z22" s="768"/>
      <c r="AA22" s="768"/>
      <c r="AB22" s="768"/>
      <c r="AC22" s="768"/>
      <c r="AD22" s="768"/>
      <c r="AE22" s="768"/>
      <c r="AF22" s="768"/>
      <c r="AG22" s="768"/>
      <c r="AH22" s="514"/>
      <c r="AI22" s="515"/>
    </row>
    <row r="23" spans="1:37" ht="21.95" customHeight="1">
      <c r="A23" s="516"/>
      <c r="C23" s="517"/>
      <c r="D23" s="517"/>
      <c r="E23" s="517"/>
      <c r="F23" s="517"/>
      <c r="G23" s="517"/>
      <c r="H23" s="517"/>
      <c r="I23" s="517"/>
      <c r="J23" s="517"/>
      <c r="K23" s="517"/>
      <c r="L23" s="517"/>
      <c r="M23" s="517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17"/>
      <c r="Y23" s="517"/>
      <c r="Z23" s="517"/>
      <c r="AA23" s="517"/>
      <c r="AB23" s="517"/>
      <c r="AC23" s="517"/>
      <c r="AD23" s="517"/>
      <c r="AE23" s="517"/>
      <c r="AF23" s="517"/>
      <c r="AG23" s="517"/>
    </row>
    <row r="24" spans="1:37" ht="21.95" customHeight="1">
      <c r="A24" s="516"/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</row>
    <row r="25" spans="1:37" ht="21.95" customHeight="1">
      <c r="A25" s="516"/>
      <c r="C25" s="517"/>
      <c r="D25" s="517"/>
      <c r="E25" s="517"/>
      <c r="F25" s="517"/>
      <c r="G25" s="517"/>
      <c r="H25" s="517"/>
      <c r="I25" s="517"/>
      <c r="J25" s="517"/>
      <c r="K25" s="517"/>
      <c r="L25" s="517"/>
      <c r="M25" s="517"/>
      <c r="N25" s="517"/>
      <c r="O25" s="517"/>
      <c r="P25" s="517"/>
      <c r="Q25" s="517"/>
      <c r="R25" s="517"/>
      <c r="S25" s="517"/>
      <c r="T25" s="517"/>
      <c r="U25" s="517"/>
      <c r="V25" s="517"/>
      <c r="W25" s="517"/>
      <c r="X25" s="517"/>
      <c r="Y25" s="517"/>
      <c r="Z25" s="517"/>
      <c r="AA25" s="517"/>
      <c r="AB25" s="517"/>
      <c r="AC25" s="517"/>
      <c r="AD25" s="517"/>
      <c r="AE25" s="517"/>
      <c r="AF25" s="517"/>
      <c r="AG25" s="517"/>
    </row>
    <row r="26" spans="1:37" ht="21.95" customHeight="1">
      <c r="A26" s="516"/>
      <c r="C26" s="517"/>
      <c r="D26" s="517"/>
      <c r="E26" s="517"/>
      <c r="F26" s="517"/>
      <c r="G26" s="517"/>
      <c r="H26" s="517"/>
      <c r="I26" s="517"/>
      <c r="J26" s="517"/>
      <c r="K26" s="517"/>
      <c r="L26" s="517"/>
      <c r="M26" s="517"/>
      <c r="N26" s="517"/>
      <c r="O26" s="517"/>
      <c r="P26" s="517"/>
      <c r="Q26" s="517"/>
      <c r="R26" s="517"/>
      <c r="S26" s="517"/>
      <c r="T26" s="517"/>
      <c r="U26" s="517"/>
      <c r="V26" s="517"/>
      <c r="W26" s="517"/>
      <c r="X26" s="517"/>
      <c r="Y26" s="517"/>
      <c r="Z26" s="517"/>
      <c r="AA26" s="517"/>
      <c r="AB26" s="517"/>
      <c r="AC26" s="517"/>
      <c r="AD26" s="517"/>
      <c r="AE26" s="517"/>
      <c r="AF26" s="517"/>
      <c r="AG26" s="517"/>
    </row>
    <row r="27" spans="1:37" ht="21.95" customHeight="1">
      <c r="A27" s="516"/>
      <c r="C27" s="517"/>
      <c r="D27" s="517"/>
      <c r="E27" s="517"/>
      <c r="F27" s="517"/>
      <c r="G27" s="517"/>
      <c r="H27" s="517"/>
      <c r="I27" s="517"/>
      <c r="J27" s="517"/>
      <c r="K27" s="517"/>
      <c r="L27" s="517"/>
      <c r="M27" s="517"/>
      <c r="N27" s="517"/>
      <c r="O27" s="517"/>
      <c r="P27" s="517"/>
      <c r="Q27" s="517"/>
      <c r="R27" s="517"/>
      <c r="S27" s="517"/>
      <c r="T27" s="517"/>
      <c r="U27" s="517"/>
      <c r="V27" s="517"/>
      <c r="W27" s="517"/>
      <c r="X27" s="517"/>
      <c r="Y27" s="517"/>
      <c r="Z27" s="517"/>
      <c r="AA27" s="517"/>
      <c r="AB27" s="517"/>
      <c r="AC27" s="517"/>
      <c r="AD27" s="517"/>
      <c r="AE27" s="517"/>
      <c r="AF27" s="517"/>
      <c r="AG27" s="517"/>
    </row>
    <row r="28" spans="1:37" ht="21.95" customHeight="1">
      <c r="A28" s="516"/>
      <c r="C28" s="517"/>
      <c r="D28" s="517"/>
      <c r="E28" s="517"/>
      <c r="F28" s="517"/>
      <c r="G28" s="517"/>
      <c r="H28" s="517"/>
      <c r="I28" s="517"/>
      <c r="J28" s="517"/>
      <c r="K28" s="517"/>
      <c r="L28" s="517"/>
      <c r="M28" s="517"/>
      <c r="N28" s="517"/>
      <c r="O28" s="517"/>
      <c r="P28" s="517"/>
      <c r="Q28" s="517"/>
      <c r="R28" s="517"/>
      <c r="S28" s="517"/>
      <c r="T28" s="517"/>
      <c r="U28" s="517"/>
      <c r="V28" s="517"/>
      <c r="W28" s="517"/>
      <c r="X28" s="517"/>
      <c r="Y28" s="517"/>
      <c r="Z28" s="517"/>
      <c r="AA28" s="517"/>
      <c r="AB28" s="517"/>
      <c r="AC28" s="517"/>
      <c r="AD28" s="517"/>
      <c r="AE28" s="517"/>
      <c r="AF28" s="517"/>
      <c r="AG28" s="517"/>
    </row>
    <row r="29" spans="1:37" ht="21.95" customHeight="1">
      <c r="A29" s="516"/>
      <c r="C29" s="517"/>
      <c r="D29" s="517"/>
      <c r="E29" s="517"/>
      <c r="F29" s="517"/>
      <c r="G29" s="517"/>
      <c r="H29" s="517"/>
      <c r="I29" s="517"/>
      <c r="J29" s="517"/>
      <c r="K29" s="517"/>
      <c r="L29" s="517"/>
      <c r="M29" s="517"/>
      <c r="N29" s="517"/>
      <c r="O29" s="517"/>
      <c r="P29" s="517"/>
      <c r="Q29" s="517"/>
      <c r="R29" s="517"/>
      <c r="S29" s="517"/>
      <c r="T29" s="517"/>
      <c r="U29" s="517"/>
      <c r="V29" s="517"/>
      <c r="W29" s="517"/>
      <c r="X29" s="517"/>
      <c r="Y29" s="517"/>
      <c r="Z29" s="517"/>
      <c r="AA29" s="517"/>
      <c r="AB29" s="517"/>
      <c r="AC29" s="517"/>
      <c r="AD29" s="517"/>
      <c r="AE29" s="517"/>
      <c r="AF29" s="517"/>
      <c r="AG29" s="517"/>
    </row>
    <row r="30" spans="1:37" ht="21.95" customHeight="1" thickBot="1">
      <c r="A30" s="1" t="s">
        <v>494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495</v>
      </c>
      <c r="B31" s="518"/>
      <c r="C31" s="518"/>
      <c r="D31" s="425" t="s">
        <v>496</v>
      </c>
      <c r="E31" s="519"/>
      <c r="F31" s="519"/>
      <c r="G31" s="519"/>
      <c r="H31" s="519"/>
      <c r="I31" s="519"/>
      <c r="J31" s="519"/>
      <c r="K31" s="519"/>
      <c r="L31" s="519"/>
      <c r="M31" s="520" t="s">
        <v>497</v>
      </c>
      <c r="N31" s="519"/>
      <c r="O31" s="519"/>
      <c r="P31" s="519"/>
      <c r="Q31" s="519"/>
      <c r="R31" s="519"/>
      <c r="S31" s="521"/>
      <c r="T31" s="521" t="s">
        <v>801</v>
      </c>
      <c r="U31" s="519"/>
      <c r="V31" s="519"/>
      <c r="W31" s="519"/>
      <c r="X31" s="519"/>
      <c r="Y31" s="519"/>
      <c r="Z31" s="238"/>
      <c r="AA31" s="522" t="s">
        <v>499</v>
      </c>
      <c r="AB31" s="51"/>
      <c r="AC31" s="51"/>
      <c r="AD31" s="51"/>
      <c r="AE31" s="51"/>
      <c r="AF31" s="51"/>
      <c r="AG31" s="523"/>
      <c r="AK31" s="1"/>
    </row>
    <row r="32" spans="1:37" ht="21.95" customHeight="1">
      <c r="A32" s="524" t="s">
        <v>500</v>
      </c>
      <c r="B32" s="135"/>
      <c r="C32" s="135"/>
      <c r="D32" s="495" t="s">
        <v>501</v>
      </c>
      <c r="E32" s="491"/>
      <c r="F32" s="157"/>
      <c r="G32" s="157"/>
      <c r="H32" s="157"/>
      <c r="I32" s="157"/>
      <c r="J32" s="157"/>
      <c r="K32" s="157"/>
      <c r="L32" s="489"/>
      <c r="M32" s="525" t="s">
        <v>502</v>
      </c>
      <c r="N32" s="135"/>
      <c r="O32" s="526"/>
      <c r="P32" s="135"/>
      <c r="Q32" s="135"/>
      <c r="R32" s="135"/>
      <c r="S32" s="527"/>
      <c r="T32" s="495" t="s">
        <v>503</v>
      </c>
      <c r="U32" s="157"/>
      <c r="V32" s="491"/>
      <c r="W32" s="157"/>
      <c r="X32" s="157"/>
      <c r="Y32" s="157"/>
      <c r="Z32" s="489"/>
      <c r="AA32" s="1" t="s">
        <v>504</v>
      </c>
      <c r="AD32" s="496"/>
      <c r="AG32" s="528"/>
      <c r="AK32" s="1"/>
    </row>
    <row r="33" spans="1:38" ht="21.95" customHeight="1">
      <c r="A33" s="529" t="s">
        <v>505</v>
      </c>
      <c r="B33" s="157"/>
      <c r="C33" s="157"/>
      <c r="D33" s="157"/>
      <c r="E33" s="157"/>
      <c r="F33" s="157"/>
      <c r="G33" s="489"/>
      <c r="H33" s="495" t="s">
        <v>506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0" t="s">
        <v>507</v>
      </c>
      <c r="AA33" s="526"/>
      <c r="AB33" s="135"/>
      <c r="AC33" s="135"/>
      <c r="AD33" s="135"/>
      <c r="AE33" s="135"/>
      <c r="AF33" s="135"/>
      <c r="AG33" s="531"/>
      <c r="AK33" s="312"/>
    </row>
    <row r="34" spans="1:38" ht="21.95" customHeight="1" thickBot="1">
      <c r="A34" s="532" t="s">
        <v>508</v>
      </c>
      <c r="B34" s="53"/>
      <c r="C34" s="53"/>
      <c r="D34" s="53"/>
      <c r="E34" s="53"/>
      <c r="F34" s="53"/>
      <c r="G34" s="533"/>
      <c r="H34" s="534" t="s">
        <v>509</v>
      </c>
      <c r="I34" s="533"/>
      <c r="J34" s="53"/>
      <c r="K34" s="53"/>
      <c r="L34" s="53"/>
      <c r="M34" s="53"/>
      <c r="N34" s="53"/>
      <c r="O34" s="53"/>
      <c r="P34" s="53"/>
      <c r="Q34" s="535"/>
      <c r="R34" s="535"/>
      <c r="S34" s="535"/>
      <c r="T34" s="53"/>
      <c r="U34" s="534" t="s">
        <v>510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6"/>
      <c r="AK34" s="1"/>
    </row>
    <row r="35" spans="1:38" ht="21.95" customHeight="1" thickBot="1">
      <c r="B35" s="537" t="s">
        <v>474</v>
      </c>
      <c r="C35" s="538"/>
      <c r="D35" s="538"/>
      <c r="E35" s="538"/>
      <c r="F35" s="538"/>
      <c r="G35" s="538"/>
      <c r="H35" s="538"/>
      <c r="I35" s="538"/>
      <c r="J35" s="538"/>
      <c r="K35" s="538"/>
      <c r="L35" s="538"/>
      <c r="M35" s="538"/>
      <c r="N35" s="538"/>
      <c r="O35" s="538"/>
      <c r="P35" s="538"/>
      <c r="Q35" s="538"/>
      <c r="R35" s="538"/>
      <c r="S35" s="538"/>
      <c r="T35" s="538"/>
      <c r="U35" s="538"/>
      <c r="V35" s="538"/>
      <c r="W35" s="538"/>
      <c r="X35" s="538"/>
      <c r="Y35" s="538"/>
      <c r="Z35" s="538"/>
      <c r="AA35" s="538"/>
      <c r="AB35" s="538"/>
      <c r="AC35" s="538"/>
      <c r="AD35" s="538"/>
      <c r="AE35" s="538"/>
      <c r="AF35" s="538"/>
      <c r="AG35" s="538"/>
      <c r="AH35" s="1"/>
    </row>
    <row r="36" spans="1:38" ht="21.95" customHeight="1" thickBot="1">
      <c r="A36" s="539" t="s">
        <v>475</v>
      </c>
      <c r="B36" s="182" t="s">
        <v>476</v>
      </c>
      <c r="C36" s="788">
        <v>1</v>
      </c>
      <c r="D36" s="787">
        <v>2</v>
      </c>
      <c r="E36" s="787">
        <v>3</v>
      </c>
      <c r="F36" s="787">
        <v>4</v>
      </c>
      <c r="G36" s="787">
        <v>5</v>
      </c>
      <c r="H36" s="787">
        <v>6</v>
      </c>
      <c r="I36" s="830">
        <v>7</v>
      </c>
      <c r="J36" s="830">
        <v>8</v>
      </c>
      <c r="K36" s="787">
        <v>9</v>
      </c>
      <c r="L36" s="787">
        <v>10</v>
      </c>
      <c r="M36" s="787">
        <v>11</v>
      </c>
      <c r="N36" s="787">
        <v>12</v>
      </c>
      <c r="O36" s="787">
        <v>13</v>
      </c>
      <c r="P36" s="830">
        <v>14</v>
      </c>
      <c r="Q36" s="830">
        <v>15</v>
      </c>
      <c r="R36" s="787">
        <v>16</v>
      </c>
      <c r="S36" s="787">
        <v>17</v>
      </c>
      <c r="T36" s="787">
        <v>18</v>
      </c>
      <c r="U36" s="787">
        <v>19</v>
      </c>
      <c r="V36" s="766">
        <v>20</v>
      </c>
      <c r="W36" s="830">
        <v>21</v>
      </c>
      <c r="X36" s="830">
        <v>22</v>
      </c>
      <c r="Y36" s="787">
        <v>23</v>
      </c>
      <c r="Z36" s="787">
        <v>24</v>
      </c>
      <c r="AA36" s="787">
        <v>25</v>
      </c>
      <c r="AB36" s="787">
        <v>26</v>
      </c>
      <c r="AC36" s="787">
        <v>27</v>
      </c>
      <c r="AD36" s="830">
        <v>28</v>
      </c>
      <c r="AE36" s="766"/>
      <c r="AF36" s="787"/>
      <c r="AG36" s="787"/>
      <c r="AH36" s="498" t="s">
        <v>477</v>
      </c>
      <c r="AI36" s="499" t="s">
        <v>478</v>
      </c>
      <c r="AL36" t="s">
        <v>28</v>
      </c>
    </row>
    <row r="37" spans="1:38" ht="21.95" customHeight="1">
      <c r="A37" s="540">
        <v>1</v>
      </c>
      <c r="B37" s="45" t="s">
        <v>511</v>
      </c>
      <c r="C37" s="763"/>
      <c r="D37" s="763">
        <v>8</v>
      </c>
      <c r="E37" s="763">
        <v>8</v>
      </c>
      <c r="F37" s="1069">
        <v>8</v>
      </c>
      <c r="G37" s="763">
        <v>8</v>
      </c>
      <c r="H37" s="763">
        <v>8</v>
      </c>
      <c r="I37" s="763" t="s">
        <v>513</v>
      </c>
      <c r="J37" s="763" t="s">
        <v>513</v>
      </c>
      <c r="K37" s="763" t="s">
        <v>481</v>
      </c>
      <c r="L37" s="763" t="s">
        <v>481</v>
      </c>
      <c r="M37" s="1069" t="s">
        <v>481</v>
      </c>
      <c r="N37" s="763" t="s">
        <v>481</v>
      </c>
      <c r="O37" s="763" t="s">
        <v>481</v>
      </c>
      <c r="P37" s="763"/>
      <c r="Q37" s="763"/>
      <c r="R37" s="974">
        <v>1</v>
      </c>
      <c r="S37" s="974">
        <v>1</v>
      </c>
      <c r="T37" s="974">
        <v>1</v>
      </c>
      <c r="U37" s="974">
        <v>1</v>
      </c>
      <c r="V37" s="974">
        <v>1</v>
      </c>
      <c r="W37" s="974"/>
      <c r="X37" s="974"/>
      <c r="Y37" s="763">
        <v>9</v>
      </c>
      <c r="Z37" s="763">
        <v>9</v>
      </c>
      <c r="AA37" s="763">
        <v>9</v>
      </c>
      <c r="AB37" s="763">
        <v>9</v>
      </c>
      <c r="AC37" s="763">
        <v>9</v>
      </c>
      <c r="AD37" s="763" t="s">
        <v>519</v>
      </c>
      <c r="AE37" s="763"/>
      <c r="AF37" s="763"/>
      <c r="AG37" s="773"/>
      <c r="AH37" s="924">
        <v>56</v>
      </c>
      <c r="AI37" s="925">
        <v>37</v>
      </c>
    </row>
    <row r="38" spans="1:38" ht="21.95" customHeight="1">
      <c r="A38" s="541">
        <v>6</v>
      </c>
      <c r="B38" s="153" t="s">
        <v>794</v>
      </c>
      <c r="C38" s="768"/>
      <c r="D38" s="970">
        <v>6</v>
      </c>
      <c r="E38" s="970">
        <v>6</v>
      </c>
      <c r="F38" s="970">
        <v>6</v>
      </c>
      <c r="G38" s="980">
        <v>6</v>
      </c>
      <c r="H38" s="980">
        <v>6</v>
      </c>
      <c r="I38" s="980" t="s">
        <v>512</v>
      </c>
      <c r="J38" s="980" t="s">
        <v>513</v>
      </c>
      <c r="K38" s="768" t="s">
        <v>481</v>
      </c>
      <c r="L38" s="768" t="s">
        <v>481</v>
      </c>
      <c r="M38" s="768" t="s">
        <v>481</v>
      </c>
      <c r="N38" s="768" t="s">
        <v>481</v>
      </c>
      <c r="O38" s="768" t="s">
        <v>481</v>
      </c>
      <c r="P38" s="768"/>
      <c r="Q38" s="768"/>
      <c r="R38" s="768">
        <v>5</v>
      </c>
      <c r="S38" s="768">
        <v>5</v>
      </c>
      <c r="T38" s="768">
        <v>5</v>
      </c>
      <c r="U38" s="768" t="s">
        <v>485</v>
      </c>
      <c r="V38" s="768" t="s">
        <v>485</v>
      </c>
      <c r="W38" s="768"/>
      <c r="X38" s="768"/>
      <c r="Y38" s="768">
        <v>10</v>
      </c>
      <c r="Z38" s="768">
        <v>10</v>
      </c>
      <c r="AA38" s="768">
        <v>10</v>
      </c>
      <c r="AB38" s="768">
        <v>10</v>
      </c>
      <c r="AC38" s="768">
        <v>10</v>
      </c>
      <c r="AD38" s="768" t="s">
        <v>514</v>
      </c>
      <c r="AE38" s="768"/>
      <c r="AF38" s="768"/>
      <c r="AG38" s="774"/>
      <c r="AH38" s="924">
        <v>0</v>
      </c>
      <c r="AI38" s="925">
        <v>2</v>
      </c>
    </row>
    <row r="39" spans="1:38" ht="21.95" customHeight="1" thickBot="1">
      <c r="A39" s="543">
        <v>11</v>
      </c>
      <c r="B39" s="794" t="s">
        <v>518</v>
      </c>
      <c r="C39" s="1068" t="s">
        <v>515</v>
      </c>
      <c r="D39" s="1068">
        <v>7</v>
      </c>
      <c r="E39" s="1068">
        <v>7</v>
      </c>
      <c r="F39" s="1068">
        <v>7</v>
      </c>
      <c r="G39" s="1068">
        <v>7</v>
      </c>
      <c r="H39" s="1068">
        <v>7</v>
      </c>
      <c r="I39" s="761"/>
      <c r="J39" s="761"/>
      <c r="K39" s="1068">
        <v>4</v>
      </c>
      <c r="L39" s="1068">
        <v>4</v>
      </c>
      <c r="M39" s="1068">
        <v>4</v>
      </c>
      <c r="N39" s="1068">
        <v>4</v>
      </c>
      <c r="O39" s="1068">
        <v>4</v>
      </c>
      <c r="P39" s="1068"/>
      <c r="Q39" s="1068"/>
      <c r="R39" s="1068">
        <v>3</v>
      </c>
      <c r="S39" s="1068">
        <v>3</v>
      </c>
      <c r="T39" s="1068">
        <v>3</v>
      </c>
      <c r="U39" s="1068">
        <v>3</v>
      </c>
      <c r="V39" s="1068">
        <v>3</v>
      </c>
      <c r="W39" s="1068"/>
      <c r="X39" s="1068"/>
      <c r="Y39" s="1068">
        <v>11</v>
      </c>
      <c r="Z39" s="1068">
        <v>11</v>
      </c>
      <c r="AA39" s="1068">
        <v>11</v>
      </c>
      <c r="AB39" s="1068">
        <v>11</v>
      </c>
      <c r="AC39" s="1068">
        <v>11</v>
      </c>
      <c r="AD39" s="1068" t="s">
        <v>517</v>
      </c>
      <c r="AE39" s="761"/>
      <c r="AF39" s="761"/>
      <c r="AG39" s="775"/>
      <c r="AH39" s="924">
        <v>5.5</v>
      </c>
      <c r="AI39" s="925">
        <v>37</v>
      </c>
    </row>
    <row r="40" spans="1:38" ht="21.95" customHeight="1" thickBot="1">
      <c r="A40" s="540">
        <v>2</v>
      </c>
      <c r="B40" s="45" t="s">
        <v>520</v>
      </c>
      <c r="C40" s="763" t="s">
        <v>513</v>
      </c>
      <c r="D40" s="763" t="s">
        <v>481</v>
      </c>
      <c r="E40" s="763" t="s">
        <v>481</v>
      </c>
      <c r="F40" s="776" t="s">
        <v>481</v>
      </c>
      <c r="G40" s="776" t="s">
        <v>481</v>
      </c>
      <c r="H40" s="763" t="s">
        <v>481</v>
      </c>
      <c r="I40" s="763"/>
      <c r="J40" s="763"/>
      <c r="K40" s="974">
        <v>1</v>
      </c>
      <c r="L40" s="974">
        <v>1</v>
      </c>
      <c r="M40" s="974">
        <v>1</v>
      </c>
      <c r="N40" s="974">
        <v>1</v>
      </c>
      <c r="O40" s="974">
        <v>1</v>
      </c>
      <c r="P40" s="763"/>
      <c r="Q40" s="763"/>
      <c r="R40" s="1305">
        <v>9</v>
      </c>
      <c r="S40" s="1305">
        <v>9</v>
      </c>
      <c r="T40" s="776">
        <v>9</v>
      </c>
      <c r="U40" s="776">
        <v>9</v>
      </c>
      <c r="V40" s="763">
        <v>9</v>
      </c>
      <c r="W40" s="763" t="s">
        <v>519</v>
      </c>
      <c r="X40" s="763" t="s">
        <v>514</v>
      </c>
      <c r="Y40" s="1305" t="s">
        <v>481</v>
      </c>
      <c r="Z40" s="1305" t="s">
        <v>481</v>
      </c>
      <c r="AA40" s="1305" t="s">
        <v>481</v>
      </c>
      <c r="AB40" s="1305" t="s">
        <v>481</v>
      </c>
      <c r="AC40" s="1305" t="s">
        <v>481</v>
      </c>
      <c r="AD40" s="1305"/>
      <c r="AE40" s="763"/>
      <c r="AF40" s="763"/>
      <c r="AG40" s="763"/>
      <c r="AH40" s="924">
        <v>0</v>
      </c>
      <c r="AI40" s="925">
        <v>37</v>
      </c>
    </row>
    <row r="41" spans="1:38" ht="21.95" customHeight="1">
      <c r="A41" s="541">
        <v>7</v>
      </c>
      <c r="B41" s="153" t="s">
        <v>522</v>
      </c>
      <c r="C41" s="768" t="s">
        <v>513</v>
      </c>
      <c r="D41" s="768" t="s">
        <v>481</v>
      </c>
      <c r="E41" s="768" t="s">
        <v>481</v>
      </c>
      <c r="F41" s="768" t="s">
        <v>481</v>
      </c>
      <c r="G41" s="768" t="s">
        <v>481</v>
      </c>
      <c r="H41" s="768" t="s">
        <v>481</v>
      </c>
      <c r="I41" s="768"/>
      <c r="J41" s="768"/>
      <c r="K41" s="768">
        <v>5</v>
      </c>
      <c r="L41" s="768">
        <v>5</v>
      </c>
      <c r="M41" s="768" t="s">
        <v>485</v>
      </c>
      <c r="N41" s="768">
        <v>5</v>
      </c>
      <c r="O41" s="768">
        <v>5</v>
      </c>
      <c r="P41" s="768"/>
      <c r="Q41" s="768"/>
      <c r="R41" s="1069">
        <v>10</v>
      </c>
      <c r="S41" s="1305">
        <v>9</v>
      </c>
      <c r="T41" s="768">
        <v>10</v>
      </c>
      <c r="U41" s="768">
        <v>10</v>
      </c>
      <c r="V41" s="768">
        <v>10</v>
      </c>
      <c r="W41" s="768" t="s">
        <v>514</v>
      </c>
      <c r="X41" s="768" t="s">
        <v>514</v>
      </c>
      <c r="Y41" s="768" t="s">
        <v>481</v>
      </c>
      <c r="Z41" s="768" t="s">
        <v>481</v>
      </c>
      <c r="AA41" s="768" t="s">
        <v>481</v>
      </c>
      <c r="AB41" s="768" t="s">
        <v>481</v>
      </c>
      <c r="AC41" s="768" t="s">
        <v>481</v>
      </c>
      <c r="AD41" s="768" t="s">
        <v>515</v>
      </c>
      <c r="AE41" s="768"/>
      <c r="AF41" s="768"/>
      <c r="AG41" s="774"/>
      <c r="AH41" s="924">
        <v>48</v>
      </c>
      <c r="AI41" s="925">
        <v>37</v>
      </c>
    </row>
    <row r="42" spans="1:38" ht="21.95" customHeight="1" thickBot="1">
      <c r="A42" s="543">
        <v>12</v>
      </c>
      <c r="B42" s="544" t="s">
        <v>523</v>
      </c>
      <c r="C42" s="761"/>
      <c r="D42" s="761">
        <v>4</v>
      </c>
      <c r="E42" s="761">
        <v>4</v>
      </c>
      <c r="F42" s="761">
        <v>4</v>
      </c>
      <c r="G42" s="761">
        <v>4</v>
      </c>
      <c r="H42" s="1037">
        <v>4</v>
      </c>
      <c r="I42" s="761"/>
      <c r="J42" s="761"/>
      <c r="K42" s="1047">
        <v>3</v>
      </c>
      <c r="L42" s="761">
        <v>3</v>
      </c>
      <c r="M42" s="761">
        <v>3</v>
      </c>
      <c r="N42" s="761">
        <v>3</v>
      </c>
      <c r="O42" s="761">
        <v>3</v>
      </c>
      <c r="P42" s="761"/>
      <c r="Q42" s="761"/>
      <c r="R42" s="967">
        <v>11</v>
      </c>
      <c r="S42" s="967">
        <v>11</v>
      </c>
      <c r="T42" s="967">
        <v>11</v>
      </c>
      <c r="U42" s="967">
        <v>11</v>
      </c>
      <c r="V42" s="967">
        <v>11</v>
      </c>
      <c r="W42" s="967" t="s">
        <v>517</v>
      </c>
      <c r="X42" s="967" t="s">
        <v>517</v>
      </c>
      <c r="Y42" s="761" t="s">
        <v>481</v>
      </c>
      <c r="Z42" s="1047" t="s">
        <v>481</v>
      </c>
      <c r="AA42" s="1047" t="s">
        <v>481</v>
      </c>
      <c r="AB42" s="1047" t="s">
        <v>481</v>
      </c>
      <c r="AC42" s="761" t="s">
        <v>481</v>
      </c>
      <c r="AD42" s="761"/>
      <c r="AE42" s="761"/>
      <c r="AF42" s="761"/>
      <c r="AG42" s="775"/>
      <c r="AH42" s="924">
        <v>21</v>
      </c>
      <c r="AI42" s="925">
        <v>37</v>
      </c>
    </row>
    <row r="43" spans="1:38" ht="21.95" customHeight="1">
      <c r="A43" s="545">
        <v>3</v>
      </c>
      <c r="B43" s="1309" t="s">
        <v>575</v>
      </c>
      <c r="C43" s="923"/>
      <c r="D43" s="764">
        <v>1</v>
      </c>
      <c r="E43" s="764">
        <v>1</v>
      </c>
      <c r="F43" s="764">
        <v>1</v>
      </c>
      <c r="G43" s="1000">
        <v>1</v>
      </c>
      <c r="H43" s="1000">
        <v>1</v>
      </c>
      <c r="I43" s="764"/>
      <c r="J43" s="764"/>
      <c r="K43" s="1000" t="s">
        <v>802</v>
      </c>
      <c r="L43" s="764">
        <v>9</v>
      </c>
      <c r="M43" s="764">
        <v>9</v>
      </c>
      <c r="N43" s="764">
        <v>9</v>
      </c>
      <c r="O43" s="764">
        <v>9</v>
      </c>
      <c r="P43" s="764" t="s">
        <v>519</v>
      </c>
      <c r="Q43" s="764" t="s">
        <v>519</v>
      </c>
      <c r="R43" s="767" t="s">
        <v>481</v>
      </c>
      <c r="S43" s="764" t="s">
        <v>481</v>
      </c>
      <c r="T43" s="764" t="s">
        <v>481</v>
      </c>
      <c r="U43" s="764" t="s">
        <v>481</v>
      </c>
      <c r="V43" s="764" t="s">
        <v>481</v>
      </c>
      <c r="W43" s="764"/>
      <c r="X43" s="764"/>
      <c r="Y43" s="764">
        <v>6</v>
      </c>
      <c r="Z43" s="764">
        <v>6</v>
      </c>
      <c r="AA43" s="764">
        <v>6</v>
      </c>
      <c r="AB43" s="764">
        <v>6</v>
      </c>
      <c r="AC43" s="764">
        <v>6</v>
      </c>
      <c r="AD43" s="964" t="s">
        <v>512</v>
      </c>
      <c r="AE43" s="764"/>
      <c r="AF43" s="764"/>
      <c r="AG43" s="777"/>
      <c r="AH43" s="924">
        <v>93</v>
      </c>
      <c r="AI43" s="925">
        <v>37</v>
      </c>
    </row>
    <row r="44" spans="1:38" ht="21.95" customHeight="1">
      <c r="A44" s="541">
        <v>8</v>
      </c>
      <c r="B44" s="319" t="s">
        <v>525</v>
      </c>
      <c r="C44" s="768"/>
      <c r="D44" s="768">
        <v>5</v>
      </c>
      <c r="E44" s="768">
        <v>5</v>
      </c>
      <c r="F44" s="768">
        <v>5</v>
      </c>
      <c r="G44" s="778">
        <v>5</v>
      </c>
      <c r="H44" s="768">
        <v>5</v>
      </c>
      <c r="I44" s="768"/>
      <c r="J44" s="768"/>
      <c r="K44" s="768">
        <v>10</v>
      </c>
      <c r="L44" s="768">
        <v>10</v>
      </c>
      <c r="M44" s="768">
        <v>10</v>
      </c>
      <c r="N44" s="768">
        <v>10</v>
      </c>
      <c r="O44" s="768">
        <v>10</v>
      </c>
      <c r="P44" s="768" t="s">
        <v>514</v>
      </c>
      <c r="Q44" s="769" t="s">
        <v>514</v>
      </c>
      <c r="R44" s="768" t="s">
        <v>481</v>
      </c>
      <c r="S44" s="779" t="s">
        <v>481</v>
      </c>
      <c r="T44" s="768" t="s">
        <v>481</v>
      </c>
      <c r="U44" s="768" t="s">
        <v>481</v>
      </c>
      <c r="V44" s="768" t="s">
        <v>481</v>
      </c>
      <c r="W44" s="768" t="s">
        <v>515</v>
      </c>
      <c r="X44" s="768" t="s">
        <v>515</v>
      </c>
      <c r="Y44" s="768">
        <v>7</v>
      </c>
      <c r="Z44" s="768">
        <v>7</v>
      </c>
      <c r="AA44" s="768">
        <v>7</v>
      </c>
      <c r="AB44" s="768">
        <v>7</v>
      </c>
      <c r="AC44" s="768">
        <v>7</v>
      </c>
      <c r="AD44" s="768"/>
      <c r="AE44" s="768"/>
      <c r="AF44" s="768"/>
      <c r="AG44" s="768"/>
      <c r="AH44" s="924">
        <v>100.5</v>
      </c>
      <c r="AI44" s="925">
        <v>12.5</v>
      </c>
    </row>
    <row r="45" spans="1:38" ht="21.95" customHeight="1" thickBot="1">
      <c r="A45" s="543">
        <v>13</v>
      </c>
      <c r="B45" s="52" t="s">
        <v>526</v>
      </c>
      <c r="C45" s="761"/>
      <c r="D45" s="1037">
        <v>3</v>
      </c>
      <c r="E45" s="761">
        <v>3</v>
      </c>
      <c r="F45" s="761">
        <v>3</v>
      </c>
      <c r="G45" s="1047">
        <v>3</v>
      </c>
      <c r="H45" s="1047">
        <v>3</v>
      </c>
      <c r="I45" s="761"/>
      <c r="J45" s="761"/>
      <c r="K45" s="761">
        <v>11</v>
      </c>
      <c r="L45" s="761">
        <v>11</v>
      </c>
      <c r="M45" s="761">
        <v>11</v>
      </c>
      <c r="N45" s="761">
        <v>11</v>
      </c>
      <c r="O45" s="761">
        <v>11</v>
      </c>
      <c r="P45" s="761" t="s">
        <v>517</v>
      </c>
      <c r="Q45" s="761" t="s">
        <v>517</v>
      </c>
      <c r="R45" s="770" t="s">
        <v>481</v>
      </c>
      <c r="S45" s="761" t="s">
        <v>481</v>
      </c>
      <c r="T45" s="761" t="s">
        <v>481</v>
      </c>
      <c r="U45" s="761" t="s">
        <v>481</v>
      </c>
      <c r="V45" s="761" t="s">
        <v>481</v>
      </c>
      <c r="W45" s="761"/>
      <c r="X45" s="761"/>
      <c r="Y45" s="761">
        <v>8</v>
      </c>
      <c r="Z45" s="761">
        <v>8</v>
      </c>
      <c r="AA45" s="761">
        <v>8</v>
      </c>
      <c r="AB45" s="761">
        <v>8</v>
      </c>
      <c r="AC45" s="761">
        <v>8</v>
      </c>
      <c r="AD45" s="761" t="s">
        <v>513</v>
      </c>
      <c r="AE45" s="761"/>
      <c r="AF45" s="761"/>
      <c r="AG45" s="761"/>
      <c r="AH45" s="924">
        <v>110</v>
      </c>
      <c r="AI45" s="925">
        <v>37</v>
      </c>
    </row>
    <row r="46" spans="1:38" ht="21.95" customHeight="1">
      <c r="A46" s="545">
        <v>4</v>
      </c>
      <c r="B46" s="319" t="s">
        <v>28</v>
      </c>
      <c r="C46" s="768"/>
      <c r="D46" s="768">
        <v>9</v>
      </c>
      <c r="E46" s="768">
        <v>9</v>
      </c>
      <c r="F46" s="768">
        <v>9</v>
      </c>
      <c r="G46" s="768">
        <v>9</v>
      </c>
      <c r="H46" s="768">
        <v>9</v>
      </c>
      <c r="I46" s="768" t="s">
        <v>519</v>
      </c>
      <c r="J46" s="764" t="s">
        <v>514</v>
      </c>
      <c r="K46" s="764" t="s">
        <v>481</v>
      </c>
      <c r="L46" s="764" t="s">
        <v>481</v>
      </c>
      <c r="M46" s="764" t="s">
        <v>481</v>
      </c>
      <c r="N46" s="764" t="s">
        <v>481</v>
      </c>
      <c r="O46" s="764" t="s">
        <v>481</v>
      </c>
      <c r="P46" s="764"/>
      <c r="Q46" s="764"/>
      <c r="R46" s="985">
        <v>6</v>
      </c>
      <c r="S46" s="985">
        <v>6</v>
      </c>
      <c r="T46" s="985">
        <v>6</v>
      </c>
      <c r="U46" s="985">
        <v>6</v>
      </c>
      <c r="V46" s="985">
        <v>6</v>
      </c>
      <c r="W46" s="764" t="s">
        <v>512</v>
      </c>
      <c r="X46" s="764" t="s">
        <v>513</v>
      </c>
      <c r="Y46" s="764" t="s">
        <v>481</v>
      </c>
      <c r="Z46" s="764" t="s">
        <v>481</v>
      </c>
      <c r="AA46" s="764" t="s">
        <v>481</v>
      </c>
      <c r="AB46" s="764" t="s">
        <v>481</v>
      </c>
      <c r="AC46" s="764" t="s">
        <v>481</v>
      </c>
      <c r="AD46" s="764"/>
      <c r="AE46" s="764"/>
      <c r="AF46" s="764"/>
      <c r="AG46" s="771"/>
      <c r="AH46" s="924">
        <v>62</v>
      </c>
      <c r="AI46" s="925">
        <v>37</v>
      </c>
    </row>
    <row r="47" spans="1:38" ht="21.95" customHeight="1">
      <c r="A47" s="541">
        <v>9</v>
      </c>
      <c r="B47" s="319" t="s">
        <v>528</v>
      </c>
      <c r="C47" s="768"/>
      <c r="D47" s="768">
        <v>10</v>
      </c>
      <c r="E47" s="768">
        <v>10</v>
      </c>
      <c r="F47" s="768">
        <v>10</v>
      </c>
      <c r="G47" s="768">
        <v>10</v>
      </c>
      <c r="H47" s="768">
        <v>10</v>
      </c>
      <c r="I47" s="768" t="s">
        <v>514</v>
      </c>
      <c r="J47" s="768" t="s">
        <v>514</v>
      </c>
      <c r="K47" s="768" t="s">
        <v>481</v>
      </c>
      <c r="L47" s="768" t="s">
        <v>481</v>
      </c>
      <c r="M47" s="768" t="s">
        <v>481</v>
      </c>
      <c r="N47" s="768" t="s">
        <v>481</v>
      </c>
      <c r="O47" s="768" t="s">
        <v>481</v>
      </c>
      <c r="P47" s="768" t="s">
        <v>515</v>
      </c>
      <c r="Q47" s="768" t="s">
        <v>515</v>
      </c>
      <c r="R47" s="768">
        <v>7</v>
      </c>
      <c r="S47" s="768">
        <v>7</v>
      </c>
      <c r="T47" s="768">
        <v>7</v>
      </c>
      <c r="U47" s="768">
        <v>7</v>
      </c>
      <c r="V47" s="768">
        <v>7</v>
      </c>
      <c r="W47" s="768"/>
      <c r="X47" s="768"/>
      <c r="Y47" s="977">
        <v>4</v>
      </c>
      <c r="Z47" s="977">
        <v>4</v>
      </c>
      <c r="AA47" s="977">
        <v>4</v>
      </c>
      <c r="AB47" s="977">
        <v>4</v>
      </c>
      <c r="AC47" s="977">
        <v>4</v>
      </c>
      <c r="AD47" s="768"/>
      <c r="AE47" s="768"/>
      <c r="AF47" s="768"/>
      <c r="AG47" s="769"/>
      <c r="AH47" s="924">
        <v>0</v>
      </c>
      <c r="AI47" s="925">
        <v>0</v>
      </c>
    </row>
    <row r="48" spans="1:38" ht="21.95" customHeight="1" thickBot="1">
      <c r="A48" s="543">
        <v>14</v>
      </c>
      <c r="B48" s="544" t="s">
        <v>529</v>
      </c>
      <c r="C48" s="761"/>
      <c r="D48" s="761">
        <v>11</v>
      </c>
      <c r="E48" s="764">
        <v>11</v>
      </c>
      <c r="F48" s="764">
        <v>11</v>
      </c>
      <c r="G48" s="764">
        <v>11</v>
      </c>
      <c r="H48" s="764">
        <v>11</v>
      </c>
      <c r="I48" s="764" t="s">
        <v>517</v>
      </c>
      <c r="J48" s="764" t="s">
        <v>517</v>
      </c>
      <c r="K48" s="764" t="s">
        <v>481</v>
      </c>
      <c r="L48" s="761" t="s">
        <v>481</v>
      </c>
      <c r="M48" s="761" t="s">
        <v>481</v>
      </c>
      <c r="N48" s="761" t="s">
        <v>481</v>
      </c>
      <c r="O48" s="761" t="s">
        <v>481</v>
      </c>
      <c r="P48" s="761"/>
      <c r="Q48" s="761"/>
      <c r="R48" s="967">
        <v>8</v>
      </c>
      <c r="S48" s="967">
        <v>8</v>
      </c>
      <c r="T48" s="967">
        <v>8</v>
      </c>
      <c r="U48" s="967">
        <v>8</v>
      </c>
      <c r="V48" s="967">
        <v>8</v>
      </c>
      <c r="W48" s="967" t="s">
        <v>513</v>
      </c>
      <c r="X48" s="967" t="s">
        <v>513</v>
      </c>
      <c r="Y48" s="761" t="s">
        <v>481</v>
      </c>
      <c r="Z48" s="761" t="s">
        <v>481</v>
      </c>
      <c r="AA48" s="761" t="s">
        <v>481</v>
      </c>
      <c r="AB48" s="761" t="s">
        <v>481</v>
      </c>
      <c r="AC48" s="761" t="s">
        <v>481</v>
      </c>
      <c r="AD48" s="761"/>
      <c r="AE48" s="761"/>
      <c r="AF48" s="761"/>
      <c r="AG48" s="780"/>
      <c r="AH48" s="924">
        <v>49</v>
      </c>
      <c r="AI48" s="925">
        <v>37</v>
      </c>
    </row>
    <row r="49" spans="1:35" ht="21.95" customHeight="1">
      <c r="A49" s="540">
        <v>5</v>
      </c>
      <c r="B49" s="542" t="s">
        <v>530</v>
      </c>
      <c r="C49" s="763" t="s">
        <v>514</v>
      </c>
      <c r="D49" s="763" t="s">
        <v>481</v>
      </c>
      <c r="E49" s="763" t="s">
        <v>481</v>
      </c>
      <c r="F49" s="763" t="s">
        <v>481</v>
      </c>
      <c r="G49" s="763" t="s">
        <v>481</v>
      </c>
      <c r="H49" s="763" t="s">
        <v>481</v>
      </c>
      <c r="I49" s="763"/>
      <c r="J49" s="763"/>
      <c r="K49" s="763">
        <v>6</v>
      </c>
      <c r="L49" s="763">
        <v>6</v>
      </c>
      <c r="M49" s="763">
        <v>6</v>
      </c>
      <c r="N49" s="763">
        <v>6</v>
      </c>
      <c r="O49" s="763">
        <v>6</v>
      </c>
      <c r="P49" s="763" t="s">
        <v>512</v>
      </c>
      <c r="Q49" s="763" t="s">
        <v>513</v>
      </c>
      <c r="R49" s="763" t="s">
        <v>481</v>
      </c>
      <c r="S49" s="768" t="s">
        <v>481</v>
      </c>
      <c r="T49" s="768" t="s">
        <v>481</v>
      </c>
      <c r="U49" s="768" t="s">
        <v>481</v>
      </c>
      <c r="V49" s="768" t="s">
        <v>481</v>
      </c>
      <c r="W49" s="768"/>
      <c r="X49" s="768"/>
      <c r="Y49" s="970">
        <v>5</v>
      </c>
      <c r="Z49" s="970">
        <v>5</v>
      </c>
      <c r="AA49" s="970">
        <v>5</v>
      </c>
      <c r="AB49" s="970">
        <v>5</v>
      </c>
      <c r="AC49" s="970">
        <v>5</v>
      </c>
      <c r="AD49" s="970"/>
      <c r="AE49" s="975"/>
      <c r="AF49" s="763"/>
      <c r="AG49" s="781"/>
      <c r="AH49" s="924">
        <v>0</v>
      </c>
      <c r="AI49" s="925">
        <v>33</v>
      </c>
    </row>
    <row r="50" spans="1:35" ht="21.95" customHeight="1">
      <c r="A50" s="541">
        <v>10</v>
      </c>
      <c r="B50" s="319" t="s">
        <v>531</v>
      </c>
      <c r="C50" s="1038" t="s">
        <v>514</v>
      </c>
      <c r="D50" s="1038" t="s">
        <v>481</v>
      </c>
      <c r="E50" s="1038" t="s">
        <v>481</v>
      </c>
      <c r="F50" s="1038" t="s">
        <v>481</v>
      </c>
      <c r="G50" s="1038" t="s">
        <v>481</v>
      </c>
      <c r="H50" s="1038" t="s">
        <v>481</v>
      </c>
      <c r="I50" s="1038" t="s">
        <v>515</v>
      </c>
      <c r="J50" s="1038" t="s">
        <v>515</v>
      </c>
      <c r="K50" s="1038">
        <v>7</v>
      </c>
      <c r="L50" s="1038">
        <v>7</v>
      </c>
      <c r="M50" s="1038">
        <v>7</v>
      </c>
      <c r="N50" s="1038">
        <v>7</v>
      </c>
      <c r="O50" s="1038">
        <v>7</v>
      </c>
      <c r="P50" s="1038"/>
      <c r="Q50" s="1038"/>
      <c r="R50" s="1038">
        <v>4</v>
      </c>
      <c r="S50" s="1038">
        <v>4</v>
      </c>
      <c r="T50" s="1038">
        <v>4</v>
      </c>
      <c r="U50" s="1038">
        <v>4</v>
      </c>
      <c r="V50" s="1038">
        <v>4</v>
      </c>
      <c r="W50" s="768"/>
      <c r="X50" s="768"/>
      <c r="Y50" s="1038">
        <v>3</v>
      </c>
      <c r="Z50" s="1038">
        <v>3</v>
      </c>
      <c r="AA50" s="1038">
        <v>3</v>
      </c>
      <c r="AB50" s="1038">
        <v>3</v>
      </c>
      <c r="AC50" s="1038">
        <v>3</v>
      </c>
      <c r="AD50" s="768"/>
      <c r="AE50" s="769"/>
      <c r="AF50" s="768"/>
      <c r="AG50" s="769"/>
      <c r="AH50" s="924">
        <v>63</v>
      </c>
      <c r="AI50" s="925">
        <v>37</v>
      </c>
    </row>
    <row r="51" spans="1:35" ht="21.95" customHeight="1" thickBot="1">
      <c r="A51" s="543">
        <v>15</v>
      </c>
      <c r="B51" s="52" t="s">
        <v>532</v>
      </c>
      <c r="C51" s="761" t="s">
        <v>517</v>
      </c>
      <c r="D51" s="761" t="s">
        <v>481</v>
      </c>
      <c r="E51" s="761" t="s">
        <v>481</v>
      </c>
      <c r="F51" s="761" t="s">
        <v>481</v>
      </c>
      <c r="G51" s="761" t="s">
        <v>481</v>
      </c>
      <c r="H51" s="761" t="s">
        <v>481</v>
      </c>
      <c r="I51" s="761"/>
      <c r="J51" s="761"/>
      <c r="K51" s="761">
        <v>8</v>
      </c>
      <c r="L51" s="761">
        <v>8</v>
      </c>
      <c r="M51" s="761">
        <v>8</v>
      </c>
      <c r="N51" s="761">
        <v>8</v>
      </c>
      <c r="O51" s="761">
        <v>8</v>
      </c>
      <c r="P51" s="761" t="s">
        <v>513</v>
      </c>
      <c r="Q51" s="761" t="s">
        <v>513</v>
      </c>
      <c r="R51" s="761" t="s">
        <v>481</v>
      </c>
      <c r="S51" s="761" t="s">
        <v>481</v>
      </c>
      <c r="T51" s="761" t="s">
        <v>481</v>
      </c>
      <c r="U51" s="761" t="s">
        <v>481</v>
      </c>
      <c r="V51" s="761" t="s">
        <v>481</v>
      </c>
      <c r="W51" s="761"/>
      <c r="X51" s="761"/>
      <c r="Y51" s="1037">
        <v>1</v>
      </c>
      <c r="Z51" s="1037">
        <v>1</v>
      </c>
      <c r="AA51" s="1037">
        <v>1</v>
      </c>
      <c r="AB51" s="1037">
        <v>1</v>
      </c>
      <c r="AC51" s="1037">
        <v>1</v>
      </c>
      <c r="AD51" s="761"/>
      <c r="AE51" s="780"/>
      <c r="AF51" s="761"/>
      <c r="AG51" s="780"/>
      <c r="AH51" s="924">
        <v>16</v>
      </c>
      <c r="AI51" s="925">
        <v>37</v>
      </c>
    </row>
    <row r="52" spans="1:35" ht="21.95" customHeight="1">
      <c r="A52" s="516"/>
      <c r="C52" s="538"/>
      <c r="D52" s="538"/>
      <c r="E52" s="538"/>
      <c r="F52" s="538"/>
      <c r="G52" s="538"/>
      <c r="H52" s="538"/>
      <c r="I52" s="538"/>
      <c r="J52" s="538"/>
      <c r="K52" s="538"/>
      <c r="L52" s="538"/>
      <c r="M52" s="538"/>
      <c r="N52" s="538"/>
      <c r="O52" s="538"/>
      <c r="P52" s="538"/>
      <c r="Q52" s="538"/>
      <c r="R52" s="538"/>
      <c r="S52" s="538"/>
      <c r="T52" s="538"/>
      <c r="U52" s="538"/>
      <c r="V52" s="538"/>
      <c r="W52" s="538"/>
      <c r="X52" s="538"/>
      <c r="Y52" s="538"/>
      <c r="Z52" s="538"/>
      <c r="AA52" s="538"/>
      <c r="AB52" s="538"/>
      <c r="AC52" s="538"/>
      <c r="AD52" s="538"/>
      <c r="AE52" s="538"/>
      <c r="AF52" s="538"/>
      <c r="AG52" s="538"/>
      <c r="AH52" s="1"/>
    </row>
    <row r="53" spans="1:35" ht="21.95" customHeight="1">
      <c r="A53" s="516"/>
      <c r="C53" s="538"/>
      <c r="D53" s="538"/>
      <c r="E53" s="538"/>
      <c r="F53" s="538"/>
      <c r="G53" s="538"/>
      <c r="H53" s="538"/>
      <c r="I53" s="538"/>
      <c r="J53" s="538"/>
      <c r="K53" s="538"/>
      <c r="L53" s="538"/>
      <c r="M53" s="538"/>
      <c r="N53" s="538"/>
      <c r="O53" s="538"/>
      <c r="P53" s="538"/>
      <c r="Q53" s="538"/>
      <c r="R53" s="538"/>
      <c r="S53" s="538"/>
      <c r="T53" s="538"/>
      <c r="U53" s="538"/>
      <c r="V53" s="538"/>
      <c r="W53" s="538"/>
      <c r="X53" s="538"/>
      <c r="Y53" s="538"/>
      <c r="Z53" s="538"/>
      <c r="AA53" s="538"/>
      <c r="AB53" s="538"/>
      <c r="AC53" s="538"/>
      <c r="AD53" s="538"/>
      <c r="AE53" s="538"/>
      <c r="AF53" s="538"/>
      <c r="AG53" s="538"/>
      <c r="AH53" s="1"/>
    </row>
    <row r="54" spans="1:35" ht="21.95" customHeight="1">
      <c r="A54" s="516"/>
      <c r="C54" s="538"/>
      <c r="D54" s="538"/>
      <c r="E54" s="538"/>
      <c r="F54" s="538"/>
      <c r="G54" s="538"/>
      <c r="H54" s="538"/>
      <c r="I54" s="538"/>
      <c r="J54" s="538"/>
      <c r="K54" s="538"/>
      <c r="L54" s="538"/>
      <c r="M54" s="538"/>
      <c r="N54" s="538"/>
      <c r="O54" s="538"/>
      <c r="P54" s="538"/>
      <c r="Q54" s="538"/>
      <c r="R54" s="538"/>
      <c r="S54" s="538"/>
      <c r="T54" s="538"/>
      <c r="U54" s="538"/>
      <c r="V54" s="538"/>
      <c r="W54" s="538"/>
      <c r="X54" s="538"/>
      <c r="Y54" s="538"/>
      <c r="Z54" s="538"/>
      <c r="AA54" s="538"/>
      <c r="AB54" s="538"/>
      <c r="AC54" s="538"/>
      <c r="AD54" s="538"/>
      <c r="AE54" s="538"/>
      <c r="AF54" s="538"/>
      <c r="AG54" s="538"/>
      <c r="AH54" s="1"/>
    </row>
    <row r="55" spans="1:35" ht="21.95" customHeight="1" thickBot="1">
      <c r="A55" s="554"/>
      <c r="C55" s="555"/>
      <c r="D55" s="555"/>
      <c r="E55" s="555"/>
      <c r="F55" s="555"/>
      <c r="G55" s="555"/>
      <c r="H55" s="555"/>
      <c r="I55" s="555"/>
      <c r="J55" s="555"/>
      <c r="K55" s="555"/>
      <c r="L55" s="555"/>
      <c r="M55" s="555"/>
      <c r="N55" s="555"/>
      <c r="O55" s="555"/>
      <c r="P55" s="555"/>
      <c r="Q55" s="555"/>
      <c r="R55" s="555"/>
      <c r="S55" s="555"/>
      <c r="T55" s="555"/>
      <c r="U55" s="555"/>
      <c r="V55" s="555"/>
      <c r="W55" s="555"/>
      <c r="X55" s="555"/>
      <c r="Y55" s="555"/>
      <c r="Z55" s="555"/>
      <c r="AA55" s="555"/>
      <c r="AB55" s="555"/>
      <c r="AC55" s="555"/>
      <c r="AD55" s="555"/>
      <c r="AE55" s="555"/>
      <c r="AF55" s="555"/>
      <c r="AG55" s="555"/>
      <c r="AH55" s="556"/>
      <c r="AI55" s="556"/>
    </row>
    <row r="56" spans="1:35" ht="21.95" customHeight="1">
      <c r="A56" s="361"/>
      <c r="B56" s="23" t="s">
        <v>533</v>
      </c>
      <c r="C56" s="7"/>
      <c r="D56" s="414" t="s">
        <v>2</v>
      </c>
      <c r="E56" s="547"/>
      <c r="F56" s="7"/>
      <c r="G56" s="6" t="s">
        <v>3</v>
      </c>
      <c r="H56" s="548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49"/>
      <c r="R56" s="118"/>
      <c r="S56" s="6" t="s">
        <v>7</v>
      </c>
      <c r="T56" s="550"/>
      <c r="U56" s="118"/>
      <c r="V56" s="6" t="s">
        <v>8</v>
      </c>
      <c r="W56" s="549"/>
      <c r="X56" s="349" t="s">
        <v>9</v>
      </c>
      <c r="Y56" s="557"/>
      <c r="Z56" s="557"/>
      <c r="AA56" s="558"/>
      <c r="AB56" s="27" t="s">
        <v>10</v>
      </c>
      <c r="AC56" s="551"/>
      <c r="AD56" s="551"/>
      <c r="AE56" s="559"/>
      <c r="AF56" s="559"/>
      <c r="AG56" s="560"/>
    </row>
    <row r="57" spans="1:35" ht="21.95" customHeight="1">
      <c r="A57" s="361"/>
      <c r="B57" s="306" t="s">
        <v>534</v>
      </c>
      <c r="C57" s="561" t="s">
        <v>535</v>
      </c>
      <c r="D57" s="483"/>
      <c r="E57" s="484"/>
      <c r="F57" s="561" t="s">
        <v>535</v>
      </c>
      <c r="G57" s="483"/>
      <c r="H57" s="484"/>
      <c r="I57" s="561" t="s">
        <v>535</v>
      </c>
      <c r="J57" s="483"/>
      <c r="K57" s="484"/>
      <c r="L57" s="561" t="s">
        <v>535</v>
      </c>
      <c r="M57" s="483"/>
      <c r="N57" s="484"/>
      <c r="O57" s="561" t="s">
        <v>116</v>
      </c>
      <c r="P57" s="483"/>
      <c r="Q57" s="484"/>
      <c r="R57" s="561"/>
      <c r="S57" s="483"/>
      <c r="T57" s="484"/>
      <c r="U57" s="561"/>
      <c r="V57" s="483"/>
      <c r="W57" s="484"/>
      <c r="X57" s="561"/>
      <c r="Y57" s="483"/>
      <c r="Z57" s="483"/>
      <c r="AA57" s="483"/>
      <c r="AB57" s="476"/>
      <c r="AC57" s="483"/>
      <c r="AD57" s="483"/>
      <c r="AE57" s="483"/>
      <c r="AF57" s="483"/>
      <c r="AG57" s="562"/>
    </row>
    <row r="58" spans="1:35" ht="21.95" customHeight="1">
      <c r="A58" s="361"/>
      <c r="B58" s="306" t="s">
        <v>536</v>
      </c>
      <c r="C58" s="561" t="s">
        <v>147</v>
      </c>
      <c r="D58" s="483"/>
      <c r="E58" s="484"/>
      <c r="F58" s="561" t="s">
        <v>147</v>
      </c>
      <c r="G58" s="483"/>
      <c r="H58" s="484"/>
      <c r="I58" s="561" t="s">
        <v>147</v>
      </c>
      <c r="J58" s="483"/>
      <c r="K58" s="484"/>
      <c r="L58" s="561" t="s">
        <v>147</v>
      </c>
      <c r="M58" s="483"/>
      <c r="N58" s="484"/>
      <c r="O58" s="561" t="s">
        <v>537</v>
      </c>
      <c r="P58" s="483"/>
      <c r="Q58" s="484"/>
      <c r="R58" s="561"/>
      <c r="S58" s="483"/>
      <c r="T58" s="484"/>
      <c r="U58" s="561"/>
      <c r="V58" s="483"/>
      <c r="W58" s="484"/>
      <c r="X58" s="561"/>
      <c r="Y58" s="483"/>
      <c r="Z58" s="483"/>
      <c r="AA58" s="483"/>
      <c r="AB58" s="476"/>
      <c r="AC58" s="483"/>
      <c r="AD58" s="483"/>
      <c r="AE58" s="483"/>
      <c r="AF58" s="483"/>
      <c r="AG58" s="562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 thickBot="1">
      <c r="A60" s="861" t="s">
        <v>475</v>
      </c>
      <c r="B60" s="862" t="s">
        <v>476</v>
      </c>
      <c r="C60" s="880">
        <v>1</v>
      </c>
      <c r="D60" s="863">
        <v>2</v>
      </c>
      <c r="E60" s="863">
        <v>3</v>
      </c>
      <c r="F60" s="863">
        <v>4</v>
      </c>
      <c r="G60" s="863">
        <v>5</v>
      </c>
      <c r="H60" s="863">
        <v>6</v>
      </c>
      <c r="I60" s="880">
        <v>7</v>
      </c>
      <c r="J60" s="880">
        <v>8</v>
      </c>
      <c r="K60" s="863">
        <v>9</v>
      </c>
      <c r="L60" s="863">
        <v>10</v>
      </c>
      <c r="M60" s="863">
        <v>11</v>
      </c>
      <c r="N60" s="863">
        <v>12</v>
      </c>
      <c r="O60" s="863">
        <v>13</v>
      </c>
      <c r="P60" s="880">
        <v>14</v>
      </c>
      <c r="Q60" s="880">
        <v>15</v>
      </c>
      <c r="R60" s="863">
        <v>16</v>
      </c>
      <c r="S60" s="863">
        <v>17</v>
      </c>
      <c r="T60" s="863">
        <v>18</v>
      </c>
      <c r="U60" s="863">
        <v>19</v>
      </c>
      <c r="V60" s="863">
        <v>20</v>
      </c>
      <c r="W60" s="880">
        <v>21</v>
      </c>
      <c r="X60" s="880">
        <v>22</v>
      </c>
      <c r="Y60" s="863">
        <v>23</v>
      </c>
      <c r="Z60" s="863">
        <v>24</v>
      </c>
      <c r="AA60" s="863">
        <v>25</v>
      </c>
      <c r="AB60" s="863">
        <v>26</v>
      </c>
      <c r="AC60" s="863">
        <v>27</v>
      </c>
      <c r="AD60" s="880">
        <v>28</v>
      </c>
      <c r="AE60" s="863"/>
      <c r="AF60" s="863"/>
      <c r="AG60" s="863"/>
      <c r="AH60" s="864" t="s">
        <v>477</v>
      </c>
      <c r="AI60" s="865" t="s">
        <v>478</v>
      </c>
    </row>
    <row r="61" spans="1:35" ht="21.95" customHeight="1">
      <c r="A61" s="860">
        <v>8520</v>
      </c>
      <c r="B61" s="860" t="s">
        <v>538</v>
      </c>
      <c r="C61" s="764" t="s">
        <v>539</v>
      </c>
      <c r="D61" s="764" t="s">
        <v>539</v>
      </c>
      <c r="E61" s="764" t="s">
        <v>539</v>
      </c>
      <c r="F61" s="764" t="s">
        <v>539</v>
      </c>
      <c r="G61" s="764" t="s">
        <v>539</v>
      </c>
      <c r="H61" s="985" t="s">
        <v>539</v>
      </c>
      <c r="I61" s="764"/>
      <c r="J61" s="764"/>
      <c r="K61" s="764" t="s">
        <v>539</v>
      </c>
      <c r="L61" s="764" t="s">
        <v>539</v>
      </c>
      <c r="M61" s="764" t="s">
        <v>539</v>
      </c>
      <c r="N61" s="764" t="s">
        <v>539</v>
      </c>
      <c r="O61" s="764" t="s">
        <v>539</v>
      </c>
      <c r="P61" s="764"/>
      <c r="Q61" s="764"/>
      <c r="R61" s="764" t="s">
        <v>539</v>
      </c>
      <c r="S61" s="764" t="s">
        <v>539</v>
      </c>
      <c r="T61" s="764" t="s">
        <v>539</v>
      </c>
      <c r="U61" s="764" t="s">
        <v>539</v>
      </c>
      <c r="V61" s="764" t="s">
        <v>539</v>
      </c>
      <c r="W61" s="764"/>
      <c r="X61" s="764"/>
      <c r="Y61" s="764" t="s">
        <v>539</v>
      </c>
      <c r="Z61" s="764" t="s">
        <v>539</v>
      </c>
      <c r="AA61" s="764" t="s">
        <v>539</v>
      </c>
      <c r="AB61" s="764" t="s">
        <v>539</v>
      </c>
      <c r="AC61" s="764" t="s">
        <v>539</v>
      </c>
      <c r="AD61" s="764"/>
      <c r="AE61" s="764"/>
      <c r="AF61" s="764"/>
      <c r="AG61" s="764"/>
      <c r="AH61" s="510">
        <v>75</v>
      </c>
      <c r="AI61" s="511">
        <v>37</v>
      </c>
    </row>
    <row r="62" spans="1:35" ht="21.95" customHeight="1" thickBot="1">
      <c r="A62" s="866">
        <v>8521</v>
      </c>
      <c r="B62" s="866"/>
      <c r="C62" s="867" t="s">
        <v>540</v>
      </c>
      <c r="D62" s="867" t="s">
        <v>540</v>
      </c>
      <c r="E62" s="867" t="s">
        <v>540</v>
      </c>
      <c r="F62" s="867" t="s">
        <v>540</v>
      </c>
      <c r="G62" s="867" t="s">
        <v>540</v>
      </c>
      <c r="H62" s="867" t="s">
        <v>540</v>
      </c>
      <c r="I62" s="867"/>
      <c r="J62" s="867"/>
      <c r="K62" s="867" t="s">
        <v>540</v>
      </c>
      <c r="L62" s="867" t="s">
        <v>540</v>
      </c>
      <c r="M62" s="867" t="s">
        <v>540</v>
      </c>
      <c r="N62" s="867" t="s">
        <v>540</v>
      </c>
      <c r="O62" s="867" t="s">
        <v>540</v>
      </c>
      <c r="P62" s="867"/>
      <c r="Q62" s="867"/>
      <c r="R62" s="867" t="s">
        <v>540</v>
      </c>
      <c r="S62" s="867" t="s">
        <v>540</v>
      </c>
      <c r="T62" s="867" t="s">
        <v>540</v>
      </c>
      <c r="U62" s="867" t="s">
        <v>540</v>
      </c>
      <c r="V62" s="867" t="s">
        <v>540</v>
      </c>
      <c r="W62" s="867"/>
      <c r="X62" s="867"/>
      <c r="Y62" s="867" t="s">
        <v>540</v>
      </c>
      <c r="Z62" s="867" t="s">
        <v>540</v>
      </c>
      <c r="AA62" s="867" t="s">
        <v>540</v>
      </c>
      <c r="AB62" s="867" t="s">
        <v>540</v>
      </c>
      <c r="AC62" s="867" t="s">
        <v>540</v>
      </c>
      <c r="AD62" s="867"/>
      <c r="AE62" s="867"/>
      <c r="AF62" s="867"/>
      <c r="AG62" s="867"/>
      <c r="AH62" s="868">
        <v>185</v>
      </c>
      <c r="AI62" s="869">
        <v>37</v>
      </c>
    </row>
    <row r="63" spans="1:35" ht="21.95" customHeight="1">
      <c r="A63" s="361"/>
      <c r="B63" s="361"/>
      <c r="C63" s="538"/>
      <c r="D63" s="517"/>
      <c r="E63" s="517"/>
      <c r="F63" s="517"/>
      <c r="G63" s="517"/>
      <c r="H63" s="517"/>
      <c r="I63" s="517"/>
      <c r="J63" s="517"/>
      <c r="K63" s="517"/>
      <c r="L63" s="517"/>
      <c r="M63" s="517"/>
      <c r="N63" s="517"/>
      <c r="O63" s="517"/>
      <c r="P63" s="517"/>
      <c r="Q63" s="517"/>
      <c r="R63" s="517"/>
      <c r="S63" s="517"/>
      <c r="T63" s="517"/>
      <c r="U63" s="517"/>
      <c r="V63" s="517"/>
      <c r="W63" s="517"/>
      <c r="X63" s="517"/>
      <c r="Y63" s="517"/>
      <c r="Z63" s="517"/>
      <c r="AA63" s="517"/>
      <c r="AB63" s="517"/>
      <c r="AC63" s="517"/>
      <c r="AD63" s="517"/>
      <c r="AE63" s="517"/>
      <c r="AF63" s="517"/>
      <c r="AG63" s="517"/>
      <c r="AH63" s="556"/>
      <c r="AI63" s="556"/>
    </row>
    <row r="64" spans="1:35" ht="21.95" customHeight="1">
      <c r="A64" s="361"/>
      <c r="B64" s="361"/>
      <c r="C64" s="538"/>
      <c r="D64" s="517"/>
      <c r="E64" s="517"/>
      <c r="F64" s="517"/>
      <c r="G64" s="517"/>
      <c r="H64" s="517"/>
      <c r="I64" s="517"/>
      <c r="J64" s="517"/>
      <c r="K64" s="517"/>
      <c r="L64" s="517"/>
      <c r="M64" s="517"/>
      <c r="N64" s="517"/>
      <c r="O64" s="517"/>
      <c r="P64" s="517"/>
      <c r="Q64" s="517"/>
      <c r="R64" s="517"/>
      <c r="S64" s="517"/>
      <c r="T64" s="517"/>
      <c r="U64" s="517"/>
      <c r="V64" s="517"/>
      <c r="W64" s="517"/>
      <c r="X64" s="517"/>
      <c r="Y64" s="517"/>
      <c r="Z64" s="517"/>
      <c r="AA64" s="517"/>
      <c r="AB64" s="517"/>
      <c r="AC64" s="517"/>
      <c r="AD64" s="517"/>
      <c r="AE64" s="517"/>
      <c r="AF64" s="517"/>
      <c r="AG64" s="517"/>
      <c r="AH64" s="556"/>
      <c r="AI64" s="556"/>
    </row>
    <row r="65" spans="1:35" ht="21.95" customHeight="1">
      <c r="A65" s="361"/>
      <c r="B65" s="361"/>
      <c r="C65" s="538"/>
      <c r="D65" s="517"/>
      <c r="E65" s="517"/>
      <c r="F65" s="517"/>
      <c r="G65" s="517"/>
      <c r="H65" s="517"/>
      <c r="I65" s="517"/>
      <c r="J65" s="517"/>
      <c r="K65" s="517"/>
      <c r="L65" s="517"/>
      <c r="M65" s="517"/>
      <c r="N65" s="517"/>
      <c r="O65" s="517"/>
      <c r="P65" s="517"/>
      <c r="Q65" s="517"/>
      <c r="R65" s="517"/>
      <c r="S65" s="517"/>
      <c r="T65" s="517"/>
      <c r="U65" s="517"/>
      <c r="V65" s="517"/>
      <c r="W65" s="517"/>
      <c r="X65" s="517"/>
      <c r="Y65" s="517"/>
      <c r="Z65" s="517"/>
      <c r="AA65" s="517"/>
      <c r="AB65" s="517"/>
      <c r="AC65" s="517"/>
      <c r="AD65" s="517"/>
      <c r="AE65" s="517"/>
      <c r="AF65" s="517"/>
      <c r="AG65" s="517"/>
      <c r="AH65" s="556"/>
      <c r="AI65" s="556"/>
    </row>
    <row r="66" spans="1:35" ht="21.95" customHeight="1" thickBot="1">
      <c r="A66" s="1" t="s">
        <v>541</v>
      </c>
      <c r="D66" s="361"/>
      <c r="E66" s="361"/>
      <c r="F66" s="361"/>
      <c r="G66" s="546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35" ht="21.95" customHeight="1">
      <c r="A67" s="1"/>
      <c r="B67" s="23" t="s">
        <v>542</v>
      </c>
      <c r="C67" s="7"/>
      <c r="D67" s="522" t="s">
        <v>2</v>
      </c>
      <c r="E67" s="51"/>
      <c r="F67" s="548"/>
      <c r="G67" s="7"/>
      <c r="H67" s="522" t="s">
        <v>3</v>
      </c>
      <c r="I67" s="51"/>
      <c r="J67" s="548"/>
      <c r="K67" s="7"/>
      <c r="L67" s="522" t="s">
        <v>4</v>
      </c>
      <c r="M67" s="51"/>
      <c r="N67" s="548"/>
      <c r="O67" s="7"/>
      <c r="P67" s="522" t="s">
        <v>5</v>
      </c>
      <c r="Q67" s="51"/>
      <c r="R67" s="548"/>
      <c r="S67" s="7"/>
      <c r="T67" s="522" t="s">
        <v>6</v>
      </c>
      <c r="U67" s="51"/>
      <c r="V67" s="548"/>
      <c r="W67" s="27"/>
      <c r="X67" s="713" t="s">
        <v>7</v>
      </c>
      <c r="Y67" s="519"/>
      <c r="Z67" s="238"/>
      <c r="AA67" s="7"/>
      <c r="AB67" s="522" t="s">
        <v>8</v>
      </c>
      <c r="AC67" s="51"/>
      <c r="AD67" s="51"/>
      <c r="AE67" s="349" t="s">
        <v>9</v>
      </c>
      <c r="AF67" s="51"/>
      <c r="AG67" s="51"/>
      <c r="AH67" s="51"/>
      <c r="AI67" s="523"/>
    </row>
    <row r="68" spans="1:35" ht="21.95" customHeight="1">
      <c r="A68" s="1"/>
      <c r="B68" s="129" t="s">
        <v>324</v>
      </c>
      <c r="C68" s="563" t="s">
        <v>795</v>
      </c>
      <c r="E68" s="157"/>
      <c r="F68" s="564"/>
      <c r="G68" s="563" t="s">
        <v>795</v>
      </c>
      <c r="H68" s="157"/>
      <c r="I68" s="157"/>
      <c r="J68" s="564"/>
      <c r="K68" s="563" t="s">
        <v>795</v>
      </c>
      <c r="L68" s="157"/>
      <c r="M68" s="157"/>
      <c r="N68" s="564"/>
      <c r="O68" s="563" t="s">
        <v>796</v>
      </c>
      <c r="P68" s="157"/>
      <c r="Q68" s="157"/>
      <c r="R68" s="564"/>
      <c r="S68" s="563" t="s">
        <v>797</v>
      </c>
      <c r="T68" s="157"/>
      <c r="U68" s="157"/>
      <c r="V68" s="565"/>
      <c r="W68" s="714"/>
      <c r="X68" s="715"/>
      <c r="Y68" s="715"/>
      <c r="Z68" s="716"/>
      <c r="AA68" s="565"/>
      <c r="AB68" s="157"/>
      <c r="AC68" s="157"/>
      <c r="AD68" s="565"/>
      <c r="AE68" s="121">
        <v>37</v>
      </c>
      <c r="AG68" s="157"/>
      <c r="AH68" s="565"/>
      <c r="AI68" s="490"/>
    </row>
    <row r="69" spans="1:35" ht="21.95" customHeight="1">
      <c r="A69" s="1"/>
      <c r="B69" s="129" t="s">
        <v>325</v>
      </c>
      <c r="C69" s="563" t="s">
        <v>546</v>
      </c>
      <c r="D69" s="157"/>
      <c r="E69" s="157"/>
      <c r="F69" s="564"/>
      <c r="G69" s="563" t="s">
        <v>546</v>
      </c>
      <c r="H69" s="157"/>
      <c r="I69" s="157"/>
      <c r="J69" s="564"/>
      <c r="K69" s="563" t="s">
        <v>546</v>
      </c>
      <c r="L69" s="157"/>
      <c r="M69" s="157"/>
      <c r="N69" s="564"/>
      <c r="O69" s="563" t="s">
        <v>547</v>
      </c>
      <c r="P69" s="157"/>
      <c r="Q69" s="157"/>
      <c r="R69" s="564"/>
      <c r="S69" s="563" t="s">
        <v>548</v>
      </c>
      <c r="T69" s="157"/>
      <c r="U69" s="157"/>
      <c r="V69" s="564"/>
      <c r="W69" s="604" t="s">
        <v>798</v>
      </c>
      <c r="X69" s="55"/>
      <c r="Y69" s="55"/>
      <c r="Z69" s="55"/>
      <c r="AA69" s="563" t="s">
        <v>550</v>
      </c>
      <c r="AB69" s="563"/>
      <c r="AC69" s="563"/>
      <c r="AD69" s="563"/>
      <c r="AE69" s="155">
        <v>68.25</v>
      </c>
      <c r="AF69" s="157"/>
      <c r="AG69" s="567"/>
      <c r="AH69" s="568"/>
      <c r="AI69" s="569"/>
    </row>
    <row r="70" spans="1:35" ht="21.95" customHeight="1">
      <c r="A70" s="1"/>
      <c r="B70" s="129" t="s">
        <v>326</v>
      </c>
      <c r="C70" s="712" t="s">
        <v>167</v>
      </c>
      <c r="D70" s="157"/>
      <c r="E70" s="157"/>
      <c r="F70" s="564"/>
      <c r="G70" s="157" t="s">
        <v>167</v>
      </c>
      <c r="H70" s="157"/>
      <c r="I70" s="157"/>
      <c r="J70" s="564"/>
      <c r="K70" s="157" t="s">
        <v>167</v>
      </c>
      <c r="L70" s="157"/>
      <c r="M70" s="157"/>
      <c r="N70" s="564"/>
      <c r="O70" s="157" t="s">
        <v>167</v>
      </c>
      <c r="P70" s="157"/>
      <c r="Q70" s="157"/>
      <c r="R70" s="564"/>
      <c r="S70" s="157" t="s">
        <v>167</v>
      </c>
      <c r="T70" s="157"/>
      <c r="U70" s="157"/>
      <c r="V70" s="564"/>
      <c r="W70" s="563"/>
      <c r="X70" s="157"/>
      <c r="Y70" s="157"/>
      <c r="Z70" s="564"/>
      <c r="AA70" s="563"/>
      <c r="AB70" s="157"/>
      <c r="AC70" s="157"/>
      <c r="AD70" s="565"/>
      <c r="AE70" s="566">
        <v>0</v>
      </c>
      <c r="AF70" s="567"/>
      <c r="AG70" s="157"/>
      <c r="AH70" s="565"/>
      <c r="AI70" s="490"/>
    </row>
    <row r="71" spans="1:35" ht="21.95" customHeight="1" thickBot="1">
      <c r="A71" s="1"/>
      <c r="B71" s="47"/>
      <c r="C71" s="570"/>
      <c r="D71" s="53"/>
      <c r="E71" s="53"/>
      <c r="F71" s="571"/>
      <c r="G71" s="570"/>
      <c r="H71" s="53"/>
      <c r="I71" s="53"/>
      <c r="J71" s="571"/>
      <c r="K71" s="570"/>
      <c r="L71" s="53"/>
      <c r="M71" s="53"/>
      <c r="N71" s="571"/>
      <c r="O71" s="570"/>
      <c r="P71" s="53"/>
      <c r="Q71" s="53"/>
      <c r="R71" s="571"/>
      <c r="S71" s="570"/>
      <c r="T71" s="53"/>
      <c r="U71" s="53"/>
      <c r="V71" s="571"/>
      <c r="W71" s="53"/>
      <c r="X71" s="53"/>
      <c r="Y71" s="53"/>
      <c r="Z71" s="53"/>
      <c r="AA71" s="53"/>
      <c r="AB71" s="53"/>
      <c r="AC71" s="53"/>
      <c r="AD71" s="53"/>
      <c r="AE71" s="572"/>
      <c r="AF71" s="53"/>
      <c r="AG71" s="53"/>
      <c r="AH71" s="573"/>
      <c r="AI71" s="536"/>
    </row>
    <row r="72" spans="1:35" ht="21.95" customHeight="1" thickBot="1">
      <c r="A72" s="574"/>
      <c r="B72" s="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</row>
    <row r="73" spans="1:35" ht="21.95" customHeight="1" thickBot="1">
      <c r="A73" s="861"/>
      <c r="B73" s="862" t="s">
        <v>476</v>
      </c>
      <c r="C73" s="880">
        <v>1</v>
      </c>
      <c r="D73" s="863">
        <v>2</v>
      </c>
      <c r="E73" s="863">
        <v>3</v>
      </c>
      <c r="F73" s="863">
        <v>4</v>
      </c>
      <c r="G73" s="863">
        <v>5</v>
      </c>
      <c r="H73" s="863">
        <v>6</v>
      </c>
      <c r="I73" s="880">
        <v>7</v>
      </c>
      <c r="J73" s="880">
        <v>8</v>
      </c>
      <c r="K73" s="863">
        <v>9</v>
      </c>
      <c r="L73" s="863">
        <v>10</v>
      </c>
      <c r="M73" s="863">
        <v>11</v>
      </c>
      <c r="N73" s="863">
        <v>12</v>
      </c>
      <c r="O73" s="863">
        <v>13</v>
      </c>
      <c r="P73" s="880">
        <v>14</v>
      </c>
      <c r="Q73" s="880">
        <v>15</v>
      </c>
      <c r="R73" s="863">
        <v>16</v>
      </c>
      <c r="S73" s="863">
        <v>17</v>
      </c>
      <c r="T73" s="863">
        <v>18</v>
      </c>
      <c r="U73" s="863">
        <v>19</v>
      </c>
      <c r="V73" s="863">
        <v>20</v>
      </c>
      <c r="W73" s="880">
        <v>21</v>
      </c>
      <c r="X73" s="880">
        <v>22</v>
      </c>
      <c r="Y73" s="863">
        <v>23</v>
      </c>
      <c r="Z73" s="863">
        <v>24</v>
      </c>
      <c r="AA73" s="863">
        <v>25</v>
      </c>
      <c r="AB73" s="863">
        <v>26</v>
      </c>
      <c r="AC73" s="863">
        <v>27</v>
      </c>
      <c r="AD73" s="880">
        <v>28</v>
      </c>
      <c r="AE73" s="863"/>
      <c r="AF73" s="863"/>
      <c r="AG73" s="863"/>
      <c r="AH73" s="864" t="s">
        <v>477</v>
      </c>
      <c r="AI73" s="865" t="s">
        <v>478</v>
      </c>
    </row>
    <row r="74" spans="1:35" ht="21.95" customHeight="1">
      <c r="A74" s="870">
        <v>1</v>
      </c>
      <c r="B74" s="836" t="s">
        <v>551</v>
      </c>
      <c r="C74" s="976"/>
      <c r="D74" s="871" t="s">
        <v>552</v>
      </c>
      <c r="E74" s="871" t="s">
        <v>552</v>
      </c>
      <c r="F74" s="871" t="s">
        <v>552</v>
      </c>
      <c r="G74" s="871" t="s">
        <v>552</v>
      </c>
      <c r="H74" s="871" t="s">
        <v>552</v>
      </c>
      <c r="I74" s="871"/>
      <c r="J74" s="871"/>
      <c r="K74" s="871" t="s">
        <v>553</v>
      </c>
      <c r="L74" s="871" t="s">
        <v>553</v>
      </c>
      <c r="M74" s="871" t="s">
        <v>553</v>
      </c>
      <c r="N74" s="871" t="s">
        <v>554</v>
      </c>
      <c r="O74" s="871" t="s">
        <v>554</v>
      </c>
      <c r="P74" s="871" t="s">
        <v>555</v>
      </c>
      <c r="Q74" s="871" t="s">
        <v>555</v>
      </c>
      <c r="R74" s="871" t="s">
        <v>481</v>
      </c>
      <c r="S74" s="871" t="s">
        <v>481</v>
      </c>
      <c r="T74" s="871" t="s">
        <v>481</v>
      </c>
      <c r="U74" s="871" t="s">
        <v>481</v>
      </c>
      <c r="V74" s="871" t="s">
        <v>481</v>
      </c>
      <c r="W74" s="871"/>
      <c r="X74" s="871"/>
      <c r="Y74" s="871" t="s">
        <v>552</v>
      </c>
      <c r="Z74" s="871" t="s">
        <v>552</v>
      </c>
      <c r="AA74" s="871" t="s">
        <v>552</v>
      </c>
      <c r="AB74" s="871" t="s">
        <v>552</v>
      </c>
      <c r="AC74" s="871" t="s">
        <v>552</v>
      </c>
      <c r="AD74" s="871"/>
      <c r="AE74" s="871"/>
      <c r="AF74" s="871"/>
      <c r="AG74" s="872"/>
      <c r="AH74" s="510">
        <v>9.5</v>
      </c>
      <c r="AI74" s="511">
        <v>37</v>
      </c>
    </row>
    <row r="75" spans="1:35" ht="21.95" customHeight="1">
      <c r="A75" s="575">
        <v>2</v>
      </c>
      <c r="B75" s="542" t="s">
        <v>556</v>
      </c>
      <c r="C75" s="762"/>
      <c r="D75" s="762" t="s">
        <v>553</v>
      </c>
      <c r="E75" s="762" t="s">
        <v>553</v>
      </c>
      <c r="F75" s="762" t="s">
        <v>553</v>
      </c>
      <c r="G75" s="762" t="s">
        <v>554</v>
      </c>
      <c r="H75" s="762" t="s">
        <v>554</v>
      </c>
      <c r="I75" s="762" t="s">
        <v>555</v>
      </c>
      <c r="J75" s="762" t="s">
        <v>555</v>
      </c>
      <c r="K75" s="1025" t="s">
        <v>609</v>
      </c>
      <c r="L75" s="762" t="s">
        <v>609</v>
      </c>
      <c r="M75" s="762" t="s">
        <v>609</v>
      </c>
      <c r="N75" s="762" t="s">
        <v>609</v>
      </c>
      <c r="O75" s="762" t="s">
        <v>609</v>
      </c>
      <c r="P75" s="762"/>
      <c r="Q75" s="762"/>
      <c r="R75" s="871" t="s">
        <v>552</v>
      </c>
      <c r="S75" s="762" t="s">
        <v>552</v>
      </c>
      <c r="T75" s="762" t="s">
        <v>552</v>
      </c>
      <c r="U75" s="762" t="s">
        <v>552</v>
      </c>
      <c r="V75" s="762" t="s">
        <v>552</v>
      </c>
      <c r="W75" s="762"/>
      <c r="X75" s="762"/>
      <c r="Y75" s="871" t="s">
        <v>553</v>
      </c>
      <c r="Z75" s="762" t="s">
        <v>553</v>
      </c>
      <c r="AA75" s="762" t="s">
        <v>553</v>
      </c>
      <c r="AB75" s="762" t="s">
        <v>553</v>
      </c>
      <c r="AC75" s="762" t="s">
        <v>553</v>
      </c>
      <c r="AD75" s="762" t="s">
        <v>555</v>
      </c>
      <c r="AE75" s="762"/>
      <c r="AF75" s="762"/>
      <c r="AG75" s="553"/>
      <c r="AH75" s="924">
        <v>34</v>
      </c>
      <c r="AI75" s="925">
        <v>37</v>
      </c>
    </row>
    <row r="76" spans="1:35" ht="21.95" customHeight="1" thickBot="1">
      <c r="A76" s="873">
        <v>3</v>
      </c>
      <c r="B76" s="874" t="s">
        <v>558</v>
      </c>
      <c r="C76" s="875" t="s">
        <v>555</v>
      </c>
      <c r="D76" s="875" t="s">
        <v>481</v>
      </c>
      <c r="E76" s="875" t="s">
        <v>481</v>
      </c>
      <c r="F76" s="875" t="s">
        <v>481</v>
      </c>
      <c r="G76" s="875" t="s">
        <v>481</v>
      </c>
      <c r="H76" s="875" t="s">
        <v>481</v>
      </c>
      <c r="I76" s="875"/>
      <c r="J76" s="875"/>
      <c r="K76" s="875" t="s">
        <v>552</v>
      </c>
      <c r="L76" s="875" t="s">
        <v>552</v>
      </c>
      <c r="M76" s="875" t="s">
        <v>552</v>
      </c>
      <c r="N76" s="875" t="s">
        <v>552</v>
      </c>
      <c r="O76" s="875" t="s">
        <v>552</v>
      </c>
      <c r="P76" s="875"/>
      <c r="Q76" s="875"/>
      <c r="R76" s="1045" t="s">
        <v>553</v>
      </c>
      <c r="S76" s="1045" t="s">
        <v>553</v>
      </c>
      <c r="T76" s="875" t="s">
        <v>553</v>
      </c>
      <c r="U76" s="875" t="s">
        <v>554</v>
      </c>
      <c r="V76" s="875" t="s">
        <v>554</v>
      </c>
      <c r="W76" s="875" t="s">
        <v>555</v>
      </c>
      <c r="X76" s="875" t="s">
        <v>555</v>
      </c>
      <c r="Y76" s="875" t="s">
        <v>481</v>
      </c>
      <c r="Z76" s="875" t="s">
        <v>481</v>
      </c>
      <c r="AA76" s="875" t="s">
        <v>481</v>
      </c>
      <c r="AB76" s="875" t="s">
        <v>481</v>
      </c>
      <c r="AC76" s="875" t="s">
        <v>481</v>
      </c>
      <c r="AD76" s="875"/>
      <c r="AE76" s="875"/>
      <c r="AF76" s="875"/>
      <c r="AG76" s="876"/>
      <c r="AH76" s="868">
        <v>97</v>
      </c>
      <c r="AI76" s="869">
        <v>37</v>
      </c>
    </row>
    <row r="77" spans="1:35" ht="21.95" customHeight="1"/>
    <row r="78" spans="1:35" ht="21.95" customHeight="1" thickBot="1">
      <c r="A78" s="312" t="s">
        <v>559</v>
      </c>
      <c r="C78" s="555"/>
      <c r="D78" s="555"/>
      <c r="E78" s="555"/>
      <c r="F78" s="555"/>
      <c r="G78" s="555"/>
      <c r="H78" s="555"/>
      <c r="I78" s="555"/>
      <c r="J78" s="555"/>
      <c r="K78" s="555"/>
      <c r="L78" s="555"/>
      <c r="M78" s="555"/>
      <c r="N78" s="555"/>
      <c r="O78" s="555"/>
      <c r="P78" s="555"/>
      <c r="Q78" s="555"/>
      <c r="R78" s="555"/>
      <c r="S78" s="555"/>
      <c r="T78" s="555"/>
      <c r="U78" s="555"/>
      <c r="V78" s="555"/>
      <c r="W78" s="555"/>
      <c r="X78" s="555"/>
      <c r="Y78" s="555"/>
      <c r="Z78" s="555"/>
      <c r="AA78" s="555"/>
      <c r="AB78" s="555"/>
      <c r="AC78" s="555"/>
      <c r="AD78" s="555"/>
      <c r="AE78" s="555"/>
      <c r="AF78" s="555"/>
      <c r="AH78" s="556"/>
      <c r="AI78" s="556"/>
    </row>
    <row r="79" spans="1:35" ht="21.95" customHeight="1">
      <c r="A79" s="576"/>
      <c r="B79" s="23" t="s">
        <v>542</v>
      </c>
      <c r="C79" s="7"/>
      <c r="D79" s="522" t="s">
        <v>2</v>
      </c>
      <c r="E79" s="51"/>
      <c r="F79" s="548"/>
      <c r="G79" s="7"/>
      <c r="H79" s="522" t="s">
        <v>3</v>
      </c>
      <c r="I79" s="51"/>
      <c r="J79" s="548"/>
      <c r="K79" s="7"/>
      <c r="L79" s="522" t="s">
        <v>4</v>
      </c>
      <c r="M79" s="51"/>
      <c r="N79" s="548"/>
      <c r="O79" s="7"/>
      <c r="P79" s="522" t="s">
        <v>5</v>
      </c>
      <c r="Q79" s="51"/>
      <c r="R79" s="548"/>
      <c r="S79" s="7"/>
      <c r="T79" s="522" t="s">
        <v>6</v>
      </c>
      <c r="U79" s="51"/>
      <c r="V79" s="548"/>
      <c r="W79" s="27"/>
      <c r="X79" s="713" t="s">
        <v>7</v>
      </c>
      <c r="Y79" s="519"/>
      <c r="Z79" s="238"/>
      <c r="AA79" s="7"/>
      <c r="AB79" s="522" t="s">
        <v>8</v>
      </c>
      <c r="AC79" s="51"/>
      <c r="AD79" s="51"/>
      <c r="AE79" s="349" t="s">
        <v>9</v>
      </c>
      <c r="AF79" s="51"/>
      <c r="AG79" s="51"/>
      <c r="AH79" s="51"/>
      <c r="AI79" s="523"/>
    </row>
    <row r="80" spans="1:35" ht="21.95" customHeight="1">
      <c r="B80" s="129" t="s">
        <v>324</v>
      </c>
      <c r="C80" s="589" t="s">
        <v>560</v>
      </c>
      <c r="E80" s="157"/>
      <c r="F80" s="564"/>
      <c r="G80" s="563" t="s">
        <v>561</v>
      </c>
      <c r="H80" s="483" t="s">
        <v>562</v>
      </c>
      <c r="I80" s="157"/>
      <c r="J80" s="564"/>
      <c r="K80" s="589" t="s">
        <v>560</v>
      </c>
      <c r="L80" s="483"/>
      <c r="M80" s="483"/>
      <c r="N80" s="588"/>
      <c r="O80" s="589" t="s">
        <v>563</v>
      </c>
      <c r="P80" s="483"/>
      <c r="Q80" s="483"/>
      <c r="R80" s="588"/>
      <c r="S80" s="589" t="s">
        <v>738</v>
      </c>
      <c r="T80" s="483"/>
      <c r="U80" s="483"/>
      <c r="V80" s="477"/>
      <c r="W80" s="714"/>
      <c r="X80" s="715"/>
      <c r="Y80" s="715"/>
      <c r="Z80" s="716"/>
      <c r="AA80" s="565"/>
      <c r="AB80" s="157"/>
      <c r="AC80" s="157"/>
      <c r="AD80" s="565"/>
      <c r="AE80" s="121">
        <v>37</v>
      </c>
      <c r="AG80" s="157"/>
      <c r="AH80" s="565"/>
      <c r="AI80" s="490"/>
    </row>
    <row r="81" spans="1:35" ht="21.95" customHeight="1">
      <c r="B81" s="129" t="s">
        <v>325</v>
      </c>
      <c r="C81" s="589" t="s">
        <v>565</v>
      </c>
      <c r="E81" s="157"/>
      <c r="F81" s="564"/>
      <c r="G81" s="589" t="s">
        <v>565</v>
      </c>
      <c r="I81" s="157"/>
      <c r="J81" s="564"/>
      <c r="K81" s="589" t="s">
        <v>565</v>
      </c>
      <c r="L81" s="157"/>
      <c r="M81" s="157"/>
      <c r="N81" s="564"/>
      <c r="O81" s="589" t="s">
        <v>566</v>
      </c>
      <c r="P81" s="157"/>
      <c r="Q81" s="157"/>
      <c r="R81" s="564"/>
      <c r="S81" s="563" t="s">
        <v>567</v>
      </c>
      <c r="T81" s="157"/>
      <c r="U81" s="157"/>
      <c r="V81" s="564"/>
      <c r="W81" s="604" t="s">
        <v>291</v>
      </c>
      <c r="X81" s="55"/>
      <c r="Y81" s="55"/>
      <c r="Z81" s="55"/>
      <c r="AA81" s="563" t="s">
        <v>28</v>
      </c>
      <c r="AB81" s="563"/>
      <c r="AC81" s="563"/>
      <c r="AD81" s="563"/>
      <c r="AE81" s="155">
        <v>37</v>
      </c>
      <c r="AF81" s="157"/>
      <c r="AG81" s="567"/>
      <c r="AH81" s="568"/>
      <c r="AI81" s="569"/>
    </row>
    <row r="82" spans="1:35" ht="21.95" customHeight="1">
      <c r="B82" s="129" t="s">
        <v>326</v>
      </c>
      <c r="C82" s="834" t="s">
        <v>568</v>
      </c>
      <c r="D82" s="157"/>
      <c r="E82" s="157"/>
      <c r="F82" s="564"/>
      <c r="G82" s="157" t="s">
        <v>569</v>
      </c>
      <c r="H82" s="157"/>
      <c r="I82" s="157"/>
      <c r="J82" s="564"/>
      <c r="K82" s="835" t="s">
        <v>570</v>
      </c>
      <c r="L82" s="157"/>
      <c r="M82" s="157"/>
      <c r="N82" s="564"/>
      <c r="O82" s="835" t="s">
        <v>571</v>
      </c>
      <c r="P82" s="157"/>
      <c r="Q82" s="157"/>
      <c r="R82" s="564"/>
      <c r="S82" s="835" t="s">
        <v>571</v>
      </c>
      <c r="T82" s="157"/>
      <c r="U82" s="157"/>
      <c r="V82" s="564"/>
      <c r="W82" s="563"/>
      <c r="X82" s="157"/>
      <c r="Y82" s="157"/>
      <c r="Z82" s="564"/>
      <c r="AA82" s="563"/>
      <c r="AB82" s="157"/>
      <c r="AC82" s="157"/>
      <c r="AD82" s="565"/>
      <c r="AE82" s="566">
        <v>36</v>
      </c>
      <c r="AF82" s="567"/>
      <c r="AG82" s="157"/>
      <c r="AH82" s="565"/>
      <c r="AI82" s="490"/>
    </row>
    <row r="83" spans="1:35" ht="21.95" customHeight="1" thickBot="1">
      <c r="B83" s="47"/>
      <c r="C83" s="570"/>
      <c r="D83" s="53"/>
      <c r="E83" s="53"/>
      <c r="F83" s="571"/>
      <c r="G83" s="570"/>
      <c r="H83" s="53"/>
      <c r="I83" s="53"/>
      <c r="J83" s="571"/>
      <c r="K83" s="570"/>
      <c r="L83" s="53"/>
      <c r="M83" s="53"/>
      <c r="N83" s="571"/>
      <c r="O83" s="570"/>
      <c r="P83" s="53"/>
      <c r="Q83" s="53"/>
      <c r="R83" s="571"/>
      <c r="S83" s="570"/>
      <c r="T83" s="53"/>
      <c r="U83" s="53"/>
      <c r="V83" s="571"/>
      <c r="W83" s="53"/>
      <c r="X83" s="53"/>
      <c r="Y83" s="53"/>
      <c r="Z83" s="53"/>
      <c r="AA83" s="53"/>
      <c r="AB83" s="53"/>
      <c r="AC83" s="53"/>
      <c r="AD83" s="53"/>
      <c r="AE83" s="572"/>
      <c r="AF83" s="53"/>
      <c r="AG83" s="53"/>
      <c r="AH83" s="573"/>
      <c r="AI83" s="536"/>
    </row>
    <row r="84" spans="1:35" ht="21.95" customHeight="1" thickBot="1"/>
    <row r="85" spans="1:35" ht="21.95" customHeight="1" thickBot="1">
      <c r="A85" s="861"/>
      <c r="B85" s="862" t="s">
        <v>476</v>
      </c>
      <c r="C85" s="880">
        <v>1</v>
      </c>
      <c r="D85" s="863">
        <v>2</v>
      </c>
      <c r="E85" s="863">
        <v>3</v>
      </c>
      <c r="F85" s="863">
        <v>4</v>
      </c>
      <c r="G85" s="863">
        <v>5</v>
      </c>
      <c r="H85" s="863">
        <v>6</v>
      </c>
      <c r="I85" s="880">
        <v>7</v>
      </c>
      <c r="J85" s="880">
        <v>8</v>
      </c>
      <c r="K85" s="863">
        <v>9</v>
      </c>
      <c r="L85" s="863">
        <v>10</v>
      </c>
      <c r="M85" s="863">
        <v>11</v>
      </c>
      <c r="N85" s="863">
        <v>12</v>
      </c>
      <c r="O85" s="863">
        <v>13</v>
      </c>
      <c r="P85" s="880">
        <v>14</v>
      </c>
      <c r="Q85" s="880">
        <v>15</v>
      </c>
      <c r="R85" s="863">
        <v>16</v>
      </c>
      <c r="S85" s="863">
        <v>17</v>
      </c>
      <c r="T85" s="863">
        <v>18</v>
      </c>
      <c r="U85" s="863">
        <v>19</v>
      </c>
      <c r="V85" s="863">
        <v>20</v>
      </c>
      <c r="W85" s="880">
        <v>21</v>
      </c>
      <c r="X85" s="880">
        <v>22</v>
      </c>
      <c r="Y85" s="863">
        <v>23</v>
      </c>
      <c r="Z85" s="863">
        <v>24</v>
      </c>
      <c r="AA85" s="863">
        <v>25</v>
      </c>
      <c r="AB85" s="863">
        <v>26</v>
      </c>
      <c r="AC85" s="863">
        <v>27</v>
      </c>
      <c r="AD85" s="880">
        <v>28</v>
      </c>
      <c r="AE85" s="863"/>
      <c r="AF85" s="863"/>
      <c r="AG85" s="863"/>
      <c r="AH85" s="864" t="s">
        <v>477</v>
      </c>
      <c r="AI85" s="865" t="s">
        <v>478</v>
      </c>
    </row>
    <row r="86" spans="1:35" ht="21.95" customHeight="1">
      <c r="A86" s="870">
        <v>1</v>
      </c>
      <c r="B86" s="54" t="s">
        <v>572</v>
      </c>
      <c r="C86" s="871"/>
      <c r="D86" s="764">
        <v>7</v>
      </c>
      <c r="E86" s="764">
        <v>7</v>
      </c>
      <c r="F86" s="1014" t="s">
        <v>561</v>
      </c>
      <c r="G86" s="1014" t="s">
        <v>561</v>
      </c>
      <c r="H86" s="764">
        <v>4</v>
      </c>
      <c r="I86" s="871"/>
      <c r="J86" s="871"/>
      <c r="K86" s="871" t="s">
        <v>573</v>
      </c>
      <c r="L86" s="1223" t="s">
        <v>573</v>
      </c>
      <c r="M86" s="871" t="s">
        <v>777</v>
      </c>
      <c r="N86" s="871" t="s">
        <v>803</v>
      </c>
      <c r="O86" s="871" t="s">
        <v>803</v>
      </c>
      <c r="P86" s="871"/>
      <c r="Q86" s="871"/>
      <c r="R86" s="871" t="s">
        <v>554</v>
      </c>
      <c r="S86" s="871" t="s">
        <v>554</v>
      </c>
      <c r="T86" s="871" t="s">
        <v>554</v>
      </c>
      <c r="U86" s="871" t="s">
        <v>553</v>
      </c>
      <c r="V86" s="871" t="s">
        <v>553</v>
      </c>
      <c r="W86" s="871"/>
      <c r="X86" s="871"/>
      <c r="Y86" s="871" t="s">
        <v>561</v>
      </c>
      <c r="Z86" s="871" t="s">
        <v>561</v>
      </c>
      <c r="AA86" s="871" t="s">
        <v>561</v>
      </c>
      <c r="AB86" s="871" t="s">
        <v>561</v>
      </c>
      <c r="AC86" s="871" t="s">
        <v>561</v>
      </c>
      <c r="AD86" s="871"/>
      <c r="AE86" s="871"/>
      <c r="AF86" s="871"/>
      <c r="AG86" s="871"/>
      <c r="AH86" s="510">
        <v>30</v>
      </c>
      <c r="AI86" s="511">
        <v>37</v>
      </c>
    </row>
    <row r="87" spans="1:35" ht="21.95" customHeight="1" thickBot="1">
      <c r="A87" s="575">
        <v>2</v>
      </c>
      <c r="B87" s="853" t="s">
        <v>574</v>
      </c>
      <c r="C87" s="762"/>
      <c r="D87" s="875" t="s">
        <v>554</v>
      </c>
      <c r="E87" s="875" t="s">
        <v>554</v>
      </c>
      <c r="F87" s="875" t="s">
        <v>611</v>
      </c>
      <c r="G87" s="876" t="s">
        <v>573</v>
      </c>
      <c r="H87" s="875" t="s">
        <v>573</v>
      </c>
      <c r="I87" s="875"/>
      <c r="J87" s="875"/>
      <c r="K87" s="1307" t="s">
        <v>554</v>
      </c>
      <c r="L87" s="875" t="s">
        <v>554</v>
      </c>
      <c r="M87" s="1308" t="s">
        <v>554</v>
      </c>
      <c r="N87" s="875" t="s">
        <v>553</v>
      </c>
      <c r="O87" s="875" t="s">
        <v>553</v>
      </c>
      <c r="P87" s="875"/>
      <c r="Q87" s="875"/>
      <c r="R87" s="875" t="s">
        <v>561</v>
      </c>
      <c r="S87" s="990" t="s">
        <v>561</v>
      </c>
      <c r="T87" s="990" t="s">
        <v>561</v>
      </c>
      <c r="U87" s="875" t="s">
        <v>561</v>
      </c>
      <c r="V87" s="990" t="s">
        <v>561</v>
      </c>
      <c r="W87" s="875"/>
      <c r="X87" s="875"/>
      <c r="Y87" s="875" t="s">
        <v>573</v>
      </c>
      <c r="Z87" s="875" t="s">
        <v>573</v>
      </c>
      <c r="AA87" s="875" t="s">
        <v>573</v>
      </c>
      <c r="AB87" s="875" t="s">
        <v>573</v>
      </c>
      <c r="AC87" s="1178" t="s">
        <v>573</v>
      </c>
      <c r="AD87" s="762"/>
      <c r="AE87" s="762"/>
      <c r="AF87" s="762"/>
      <c r="AG87" s="762"/>
      <c r="AH87" s="924">
        <v>50</v>
      </c>
      <c r="AI87" s="925">
        <v>37</v>
      </c>
    </row>
    <row r="88" spans="1:35" ht="21.95" customHeight="1" thickBot="1">
      <c r="A88" s="877">
        <v>3</v>
      </c>
      <c r="B88" s="793" t="s">
        <v>657</v>
      </c>
      <c r="C88" s="875"/>
      <c r="D88" s="1087" t="s">
        <v>554</v>
      </c>
      <c r="E88" s="1087" t="s">
        <v>791</v>
      </c>
      <c r="F88" s="876" t="s">
        <v>554</v>
      </c>
      <c r="G88" s="876" t="s">
        <v>553</v>
      </c>
      <c r="H88" s="876" t="s">
        <v>553</v>
      </c>
      <c r="I88" s="875"/>
      <c r="J88" s="875"/>
      <c r="K88" s="875" t="s">
        <v>561</v>
      </c>
      <c r="L88" s="875" t="s">
        <v>561</v>
      </c>
      <c r="M88" s="867">
        <v>7</v>
      </c>
      <c r="N88" s="875" t="s">
        <v>561</v>
      </c>
      <c r="O88" s="875" t="s">
        <v>561</v>
      </c>
      <c r="P88" s="875"/>
      <c r="Q88" s="875"/>
      <c r="R88" s="875" t="s">
        <v>573</v>
      </c>
      <c r="S88" s="875" t="s">
        <v>553</v>
      </c>
      <c r="T88" s="875" t="s">
        <v>573</v>
      </c>
      <c r="U88" s="875" t="s">
        <v>573</v>
      </c>
      <c r="V88" s="1045" t="s">
        <v>573</v>
      </c>
      <c r="W88" s="875"/>
      <c r="X88" s="875"/>
      <c r="Y88" s="875" t="s">
        <v>554</v>
      </c>
      <c r="Z88" s="875" t="s">
        <v>554</v>
      </c>
      <c r="AA88" s="875" t="s">
        <v>554</v>
      </c>
      <c r="AB88" s="875" t="s">
        <v>553</v>
      </c>
      <c r="AC88" s="875" t="s">
        <v>553</v>
      </c>
      <c r="AD88" s="875"/>
      <c r="AE88" s="875"/>
      <c r="AF88" s="875"/>
      <c r="AG88" s="875"/>
      <c r="AH88" s="868">
        <v>185</v>
      </c>
      <c r="AI88" s="869">
        <v>37</v>
      </c>
    </row>
    <row r="89" spans="1:35" ht="21.95" customHeight="1">
      <c r="A89" s="576"/>
      <c r="B89" s="583"/>
      <c r="C89" s="583"/>
      <c r="D89" s="583"/>
      <c r="E89" s="583"/>
      <c r="F89" s="583"/>
      <c r="G89" s="583"/>
      <c r="H89" s="583"/>
      <c r="I89" s="555"/>
      <c r="J89" s="555"/>
      <c r="K89" s="555"/>
      <c r="L89" s="555"/>
      <c r="M89" s="555"/>
      <c r="N89" s="555"/>
      <c r="O89" s="555"/>
      <c r="P89" s="555"/>
      <c r="Q89" s="555"/>
      <c r="R89" s="555"/>
      <c r="S89" s="555"/>
      <c r="T89" s="555"/>
      <c r="U89" s="555"/>
      <c r="V89" s="555"/>
      <c r="W89" s="555"/>
      <c r="X89" s="555"/>
      <c r="Y89" s="555"/>
      <c r="Z89" s="555"/>
      <c r="AA89" s="555"/>
      <c r="AB89" s="555"/>
      <c r="AC89" s="555"/>
      <c r="AD89" s="555"/>
      <c r="AE89" s="555"/>
      <c r="AF89" s="555"/>
      <c r="AH89" s="556"/>
      <c r="AI89" s="556"/>
    </row>
    <row r="90" spans="1:35" ht="21.95" customHeight="1">
      <c r="A90" s="576"/>
      <c r="B90" s="583"/>
      <c r="C90" s="555"/>
      <c r="D90" s="555"/>
      <c r="E90" s="555"/>
      <c r="F90" s="555"/>
      <c r="G90" s="555"/>
      <c r="H90" s="555"/>
      <c r="I90" s="555"/>
      <c r="J90" s="555"/>
      <c r="K90" s="555"/>
      <c r="L90" s="555"/>
      <c r="M90" s="555"/>
      <c r="N90" s="555"/>
      <c r="O90" s="555"/>
      <c r="P90" s="555"/>
      <c r="Q90" s="555"/>
      <c r="R90" s="555"/>
      <c r="S90" s="555"/>
      <c r="T90" s="555"/>
      <c r="U90" s="555"/>
      <c r="V90" s="555"/>
      <c r="W90" s="555"/>
      <c r="X90" s="555"/>
      <c r="Y90" s="555"/>
      <c r="Z90" s="555"/>
      <c r="AA90" s="555"/>
      <c r="AB90" s="555"/>
      <c r="AC90" s="555"/>
      <c r="AD90" s="555"/>
      <c r="AE90" s="555"/>
      <c r="AF90" s="555"/>
      <c r="AG90" s="555"/>
      <c r="AH90" s="556"/>
      <c r="AI90" s="556"/>
    </row>
    <row r="91" spans="1:35" ht="21.95" customHeight="1" thickBot="1">
      <c r="A91" s="1" t="s">
        <v>576</v>
      </c>
      <c r="D91" s="361"/>
      <c r="E91" s="361"/>
      <c r="F91" s="361"/>
      <c r="G91" s="546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5" ht="21.95" customHeight="1">
      <c r="A92" s="1"/>
      <c r="B92" s="23" t="s">
        <v>577</v>
      </c>
      <c r="C92" s="7"/>
      <c r="D92" s="522" t="s">
        <v>2</v>
      </c>
      <c r="E92" s="51"/>
      <c r="F92" s="548"/>
      <c r="G92" s="7"/>
      <c r="H92" s="522" t="s">
        <v>3</v>
      </c>
      <c r="I92" s="51"/>
      <c r="J92" s="548"/>
      <c r="K92" s="7"/>
      <c r="L92" s="522" t="s">
        <v>4</v>
      </c>
      <c r="M92" s="51"/>
      <c r="N92" s="548"/>
      <c r="O92" s="7"/>
      <c r="P92" s="522" t="s">
        <v>5</v>
      </c>
      <c r="Q92" s="51"/>
      <c r="R92" s="548"/>
      <c r="S92" s="7"/>
      <c r="T92" s="522" t="s">
        <v>6</v>
      </c>
      <c r="U92" s="51"/>
      <c r="V92" s="548"/>
      <c r="W92" s="7"/>
      <c r="X92" s="522" t="s">
        <v>7</v>
      </c>
      <c r="Y92" s="51"/>
      <c r="Z92" s="548"/>
      <c r="AA92" s="7"/>
      <c r="AB92" s="522" t="s">
        <v>8</v>
      </c>
      <c r="AC92" s="51"/>
      <c r="AD92" s="51"/>
      <c r="AE92" s="425" t="s">
        <v>10</v>
      </c>
      <c r="AF92" s="51"/>
      <c r="AG92" s="51"/>
      <c r="AH92" s="51"/>
      <c r="AI92" s="523"/>
    </row>
    <row r="93" spans="1:35" ht="21.95" customHeight="1">
      <c r="A93" s="1"/>
      <c r="B93" s="129" t="s">
        <v>324</v>
      </c>
      <c r="C93" s="121" t="s">
        <v>578</v>
      </c>
      <c r="D93" s="157"/>
      <c r="E93" s="157"/>
      <c r="F93" s="564"/>
      <c r="G93" s="121" t="s">
        <v>578</v>
      </c>
      <c r="H93" s="157"/>
      <c r="I93" s="157"/>
      <c r="J93" s="564"/>
      <c r="K93" s="121" t="s">
        <v>578</v>
      </c>
      <c r="L93" s="157"/>
      <c r="M93" s="157"/>
      <c r="N93" s="564"/>
      <c r="O93" s="121" t="s">
        <v>579</v>
      </c>
      <c r="P93" s="157"/>
      <c r="Q93" s="157"/>
      <c r="R93" s="564"/>
      <c r="S93" s="121" t="s">
        <v>167</v>
      </c>
      <c r="T93" s="157"/>
      <c r="U93" s="157"/>
      <c r="V93" s="564"/>
      <c r="W93" s="795"/>
      <c r="X93" s="577"/>
      <c r="Y93" s="577"/>
      <c r="Z93" s="578"/>
      <c r="AA93" s="563"/>
      <c r="AB93" s="157"/>
      <c r="AC93" s="157"/>
      <c r="AD93" s="565"/>
      <c r="AE93" s="128">
        <v>27</v>
      </c>
      <c r="AF93" s="157"/>
      <c r="AG93" s="157" t="s">
        <v>28</v>
      </c>
      <c r="AH93" s="565"/>
      <c r="AI93" s="490"/>
    </row>
    <row r="94" spans="1:35" ht="21.95" customHeight="1">
      <c r="A94" s="1"/>
      <c r="B94" s="129" t="s">
        <v>325</v>
      </c>
      <c r="C94" s="121" t="s">
        <v>580</v>
      </c>
      <c r="D94" s="157"/>
      <c r="E94" s="157"/>
      <c r="F94" s="564"/>
      <c r="G94" s="121" t="s">
        <v>580</v>
      </c>
      <c r="H94" s="157"/>
      <c r="I94" s="157"/>
      <c r="J94" s="564"/>
      <c r="K94" s="121" t="s">
        <v>580</v>
      </c>
      <c r="L94" s="157"/>
      <c r="M94" s="157"/>
      <c r="N94" s="564"/>
      <c r="O94" s="121" t="s">
        <v>580</v>
      </c>
      <c r="P94" s="157"/>
      <c r="Q94" s="157"/>
      <c r="R94" s="564"/>
      <c r="S94" s="121" t="s">
        <v>578</v>
      </c>
      <c r="T94" s="157"/>
      <c r="U94" s="157"/>
      <c r="V94" s="564"/>
      <c r="W94" s="121"/>
      <c r="X94" s="157"/>
      <c r="Y94" s="157"/>
      <c r="Z94" s="564"/>
      <c r="AA94" s="157"/>
      <c r="AB94" s="157"/>
      <c r="AC94" s="157"/>
      <c r="AD94" s="565"/>
      <c r="AE94" s="128">
        <v>39</v>
      </c>
      <c r="AF94" s="157"/>
      <c r="AG94" s="157"/>
      <c r="AH94" s="565"/>
      <c r="AI94" s="490"/>
    </row>
    <row r="95" spans="1:35" ht="21.95" customHeight="1">
      <c r="A95" s="1"/>
      <c r="B95" s="129" t="s">
        <v>326</v>
      </c>
      <c r="C95" s="121" t="s">
        <v>580</v>
      </c>
      <c r="D95" s="157"/>
      <c r="E95" s="157"/>
      <c r="F95" s="564"/>
      <c r="G95" s="121" t="s">
        <v>580</v>
      </c>
      <c r="H95" s="157"/>
      <c r="I95" s="157"/>
      <c r="J95" s="564"/>
      <c r="K95" s="121" t="s">
        <v>580</v>
      </c>
      <c r="L95" s="157"/>
      <c r="M95" s="157"/>
      <c r="N95" s="564"/>
      <c r="O95" s="121" t="s">
        <v>580</v>
      </c>
      <c r="P95" s="157"/>
      <c r="Q95" s="157"/>
      <c r="R95" s="564"/>
      <c r="S95" s="121" t="s">
        <v>580</v>
      </c>
      <c r="T95" s="157"/>
      <c r="U95" s="157"/>
      <c r="V95" s="564"/>
      <c r="W95" s="584" t="s">
        <v>581</v>
      </c>
      <c r="X95" s="135"/>
      <c r="Y95" s="135"/>
      <c r="Z95" s="580"/>
      <c r="AA95" s="579"/>
      <c r="AB95" s="135"/>
      <c r="AC95" s="135"/>
      <c r="AD95" s="581"/>
      <c r="AE95" s="128">
        <v>45</v>
      </c>
      <c r="AF95" s="157"/>
      <c r="AG95" s="157"/>
      <c r="AH95" s="565"/>
      <c r="AI95" s="490"/>
    </row>
    <row r="96" spans="1:35" ht="21.95" customHeight="1" thickBot="1">
      <c r="A96" s="1"/>
      <c r="B96" s="16" t="s">
        <v>236</v>
      </c>
      <c r="C96" s="57"/>
      <c r="D96" s="53"/>
      <c r="E96" s="53"/>
      <c r="F96" s="571"/>
      <c r="G96" s="57"/>
      <c r="H96" s="53"/>
      <c r="I96" s="53"/>
      <c r="J96" s="571"/>
      <c r="K96" s="57"/>
      <c r="L96" s="53"/>
      <c r="M96" s="53"/>
      <c r="N96" s="571"/>
      <c r="O96" s="57"/>
      <c r="P96" s="53"/>
      <c r="Q96" s="53"/>
      <c r="R96" s="571"/>
      <c r="S96" s="57"/>
      <c r="T96" s="53"/>
      <c r="U96" s="53"/>
      <c r="V96" s="573"/>
      <c r="W96" s="57"/>
      <c r="X96" s="573"/>
      <c r="Y96" s="53"/>
      <c r="Z96" s="571"/>
      <c r="AA96" s="57"/>
      <c r="AB96" s="573"/>
      <c r="AC96" s="53"/>
      <c r="AD96" s="571"/>
      <c r="AE96" s="582"/>
      <c r="AF96" s="53"/>
      <c r="AG96" s="53"/>
      <c r="AH96" s="573"/>
      <c r="AI96" s="536"/>
    </row>
    <row r="97" spans="1:35" ht="21.95" customHeight="1" thickBot="1">
      <c r="A97" s="574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 thickBot="1">
      <c r="A98" s="861"/>
      <c r="B98" s="862" t="s">
        <v>476</v>
      </c>
      <c r="C98" s="880">
        <v>1</v>
      </c>
      <c r="D98" s="863">
        <v>2</v>
      </c>
      <c r="E98" s="863">
        <v>3</v>
      </c>
      <c r="F98" s="863">
        <v>4</v>
      </c>
      <c r="G98" s="863">
        <v>5</v>
      </c>
      <c r="H98" s="863">
        <v>6</v>
      </c>
      <c r="I98" s="880">
        <v>7</v>
      </c>
      <c r="J98" s="880">
        <v>8</v>
      </c>
      <c r="K98" s="863">
        <v>9</v>
      </c>
      <c r="L98" s="863">
        <v>10</v>
      </c>
      <c r="M98" s="863">
        <v>11</v>
      </c>
      <c r="N98" s="863">
        <v>12</v>
      </c>
      <c r="O98" s="863">
        <v>13</v>
      </c>
      <c r="P98" s="880">
        <v>14</v>
      </c>
      <c r="Q98" s="880">
        <v>15</v>
      </c>
      <c r="R98" s="863">
        <v>16</v>
      </c>
      <c r="S98" s="863">
        <v>17</v>
      </c>
      <c r="T98" s="863">
        <v>18</v>
      </c>
      <c r="U98" s="863">
        <v>19</v>
      </c>
      <c r="V98" s="863">
        <v>20</v>
      </c>
      <c r="W98" s="880">
        <v>21</v>
      </c>
      <c r="X98" s="880">
        <v>22</v>
      </c>
      <c r="Y98" s="863">
        <v>23</v>
      </c>
      <c r="Z98" s="863">
        <v>24</v>
      </c>
      <c r="AA98" s="863">
        <v>25</v>
      </c>
      <c r="AB98" s="863">
        <v>26</v>
      </c>
      <c r="AC98" s="863">
        <v>27</v>
      </c>
      <c r="AD98" s="880">
        <v>28</v>
      </c>
      <c r="AE98" s="863"/>
      <c r="AF98" s="863"/>
      <c r="AG98" s="943"/>
      <c r="AH98" s="864" t="s">
        <v>477</v>
      </c>
      <c r="AI98" s="865" t="s">
        <v>478</v>
      </c>
    </row>
    <row r="99" spans="1:35" ht="21.95" customHeight="1">
      <c r="A99" s="870">
        <v>1</v>
      </c>
      <c r="B99" s="879" t="s">
        <v>582</v>
      </c>
      <c r="C99" s="1000"/>
      <c r="D99" s="1000" t="s">
        <v>584</v>
      </c>
      <c r="E99" s="1000" t="s">
        <v>584</v>
      </c>
      <c r="F99" s="1000" t="s">
        <v>584</v>
      </c>
      <c r="G99" s="1000" t="s">
        <v>584</v>
      </c>
      <c r="H99" s="1000" t="s">
        <v>481</v>
      </c>
      <c r="I99" s="1000"/>
      <c r="J99" s="1000"/>
      <c r="K99" s="1000" t="s">
        <v>585</v>
      </c>
      <c r="L99" s="1000" t="s">
        <v>585</v>
      </c>
      <c r="M99" s="1000" t="s">
        <v>585</v>
      </c>
      <c r="N99" s="1000" t="s">
        <v>585</v>
      </c>
      <c r="O99" s="1000" t="s">
        <v>585</v>
      </c>
      <c r="P99" s="1000"/>
      <c r="Q99" s="1000"/>
      <c r="R99" s="1000" t="s">
        <v>583</v>
      </c>
      <c r="S99" s="1000" t="s">
        <v>583</v>
      </c>
      <c r="T99" s="1000" t="s">
        <v>583</v>
      </c>
      <c r="U99" s="1000" t="s">
        <v>583</v>
      </c>
      <c r="V99" s="1000" t="s">
        <v>583</v>
      </c>
      <c r="W99" s="1000" t="s">
        <v>583</v>
      </c>
      <c r="X99" s="1000"/>
      <c r="Y99" s="1000" t="s">
        <v>584</v>
      </c>
      <c r="Z99" s="1000" t="s">
        <v>584</v>
      </c>
      <c r="AA99" s="1000" t="s">
        <v>584</v>
      </c>
      <c r="AB99" s="1000" t="s">
        <v>584</v>
      </c>
      <c r="AC99" s="1000" t="s">
        <v>481</v>
      </c>
      <c r="AD99" s="1000"/>
      <c r="AE99" s="764"/>
      <c r="AF99" s="764"/>
      <c r="AG99" s="764"/>
      <c r="AH99" s="510">
        <v>95</v>
      </c>
      <c r="AI99" s="511">
        <v>37</v>
      </c>
    </row>
    <row r="100" spans="1:35" ht="21.95" customHeight="1">
      <c r="A100" s="575">
        <v>2</v>
      </c>
      <c r="B100" s="857" t="s">
        <v>587</v>
      </c>
      <c r="C100" s="768"/>
      <c r="D100" s="768" t="s">
        <v>585</v>
      </c>
      <c r="E100" s="768" t="s">
        <v>585</v>
      </c>
      <c r="F100" s="768" t="s">
        <v>585</v>
      </c>
      <c r="G100" s="768" t="s">
        <v>585</v>
      </c>
      <c r="H100" s="768" t="s">
        <v>585</v>
      </c>
      <c r="I100" s="768"/>
      <c r="J100" s="768"/>
      <c r="K100" s="768" t="s">
        <v>583</v>
      </c>
      <c r="L100" s="768" t="s">
        <v>583</v>
      </c>
      <c r="M100" s="768" t="s">
        <v>583</v>
      </c>
      <c r="N100" s="768" t="s">
        <v>583</v>
      </c>
      <c r="O100" s="768" t="s">
        <v>583</v>
      </c>
      <c r="P100" s="768" t="s">
        <v>583</v>
      </c>
      <c r="Q100" s="768"/>
      <c r="R100" s="1044" t="s">
        <v>584</v>
      </c>
      <c r="S100" s="768" t="s">
        <v>584</v>
      </c>
      <c r="T100" s="768" t="s">
        <v>584</v>
      </c>
      <c r="U100" s="768" t="s">
        <v>584</v>
      </c>
      <c r="V100" s="768" t="s">
        <v>481</v>
      </c>
      <c r="W100" s="768"/>
      <c r="X100" s="768"/>
      <c r="Y100" s="1038" t="s">
        <v>585</v>
      </c>
      <c r="Z100" s="1038" t="s">
        <v>585</v>
      </c>
      <c r="AA100" s="1038" t="s">
        <v>585</v>
      </c>
      <c r="AB100" s="1038" t="s">
        <v>585</v>
      </c>
      <c r="AC100" s="1038" t="s">
        <v>585</v>
      </c>
      <c r="AD100" s="768"/>
      <c r="AE100" s="768"/>
      <c r="AF100" s="768"/>
      <c r="AG100" s="768"/>
      <c r="AH100" s="924">
        <v>64</v>
      </c>
      <c r="AI100" s="925">
        <v>37</v>
      </c>
    </row>
    <row r="101" spans="1:35" ht="21.95" customHeight="1">
      <c r="A101" s="575">
        <v>3</v>
      </c>
      <c r="B101" s="857" t="s">
        <v>289</v>
      </c>
      <c r="C101" s="768"/>
      <c r="D101" s="1038" t="s">
        <v>583</v>
      </c>
      <c r="E101" s="1038" t="s">
        <v>753</v>
      </c>
      <c r="F101" s="768" t="s">
        <v>583</v>
      </c>
      <c r="G101" s="768" t="s">
        <v>583</v>
      </c>
      <c r="H101" s="768" t="s">
        <v>583</v>
      </c>
      <c r="I101" s="768" t="s">
        <v>583</v>
      </c>
      <c r="J101" s="768"/>
      <c r="K101" s="768" t="s">
        <v>584</v>
      </c>
      <c r="L101" s="768" t="s">
        <v>584</v>
      </c>
      <c r="M101" s="768" t="s">
        <v>584</v>
      </c>
      <c r="N101" s="768" t="s">
        <v>584</v>
      </c>
      <c r="O101" s="768" t="s">
        <v>481</v>
      </c>
      <c r="P101" s="768"/>
      <c r="Q101" s="768"/>
      <c r="R101" s="768" t="s">
        <v>585</v>
      </c>
      <c r="S101" s="768" t="s">
        <v>585</v>
      </c>
      <c r="T101" s="768" t="s">
        <v>585</v>
      </c>
      <c r="U101" s="768" t="s">
        <v>585</v>
      </c>
      <c r="V101" s="768" t="s">
        <v>585</v>
      </c>
      <c r="W101" s="768"/>
      <c r="X101" s="768"/>
      <c r="Y101" s="768" t="s">
        <v>583</v>
      </c>
      <c r="Z101" s="768" t="s">
        <v>583</v>
      </c>
      <c r="AA101" s="768" t="s">
        <v>583</v>
      </c>
      <c r="AB101" s="768" t="s">
        <v>583</v>
      </c>
      <c r="AC101" s="768" t="s">
        <v>583</v>
      </c>
      <c r="AD101" s="970" t="s">
        <v>583</v>
      </c>
      <c r="AE101" s="768"/>
      <c r="AF101" s="768"/>
      <c r="AG101" s="768"/>
      <c r="AH101" s="924">
        <v>46</v>
      </c>
      <c r="AI101" s="925">
        <v>37</v>
      </c>
    </row>
    <row r="102" spans="1:35" ht="21.95" customHeight="1">
      <c r="A102" s="575">
        <v>4</v>
      </c>
      <c r="B102" s="857"/>
      <c r="C102" s="768"/>
      <c r="D102" s="762"/>
      <c r="E102" s="768"/>
      <c r="F102" s="768"/>
      <c r="G102" s="768"/>
      <c r="H102" s="768"/>
      <c r="I102" s="768"/>
      <c r="J102" s="762"/>
      <c r="K102" s="762"/>
      <c r="L102" s="768"/>
      <c r="M102" s="768"/>
      <c r="N102" s="768"/>
      <c r="O102" s="768"/>
      <c r="P102" s="768"/>
      <c r="Q102" s="762"/>
      <c r="R102" s="762"/>
      <c r="S102" s="762"/>
      <c r="T102" s="762"/>
      <c r="U102" s="762"/>
      <c r="V102" s="762"/>
      <c r="W102" s="762"/>
      <c r="X102" s="768"/>
      <c r="Y102" s="762"/>
      <c r="Z102" s="768"/>
      <c r="AA102" s="768"/>
      <c r="AB102" s="768"/>
      <c r="AC102" s="768"/>
      <c r="AD102" s="768"/>
      <c r="AE102" s="768"/>
      <c r="AF102" s="762"/>
      <c r="AG102" s="768"/>
      <c r="AH102" s="924"/>
      <c r="AI102" s="925"/>
    </row>
    <row r="103" spans="1:35" ht="21.95" customHeight="1">
      <c r="A103" s="576"/>
      <c r="B103" s="583"/>
      <c r="C103" s="555"/>
      <c r="D103" s="538"/>
      <c r="E103" s="538"/>
      <c r="F103" s="538"/>
      <c r="G103" s="538"/>
      <c r="H103" s="538"/>
      <c r="I103" s="555"/>
      <c r="J103" s="555"/>
      <c r="K103" s="538"/>
      <c r="L103" s="538"/>
      <c r="M103" s="538"/>
      <c r="N103" s="538"/>
      <c r="O103" s="538"/>
      <c r="P103" s="538"/>
      <c r="Q103" s="555"/>
      <c r="R103" s="538"/>
      <c r="S103" s="817"/>
      <c r="T103" s="817"/>
      <c r="U103" s="817"/>
      <c r="V103" s="817"/>
      <c r="W103" s="555"/>
      <c r="X103" s="555"/>
      <c r="Y103" s="538"/>
      <c r="Z103" s="538"/>
      <c r="AA103" s="538"/>
      <c r="AB103" s="538"/>
      <c r="AC103" s="538"/>
      <c r="AD103" s="538"/>
      <c r="AE103" s="555"/>
      <c r="AF103" s="538"/>
      <c r="AG103" s="538"/>
      <c r="AH103" s="556"/>
      <c r="AI103" s="556"/>
    </row>
    <row r="104" spans="1:35" ht="21.95" customHeight="1" thickBot="1">
      <c r="A104" s="805" t="s">
        <v>588</v>
      </c>
      <c r="B104" s="538"/>
      <c r="C104" s="555"/>
      <c r="D104" s="538"/>
      <c r="E104" s="538"/>
      <c r="F104" s="538"/>
      <c r="G104" s="538"/>
      <c r="H104" s="538"/>
      <c r="I104" s="555"/>
      <c r="J104" s="555"/>
      <c r="K104" s="538"/>
      <c r="L104" s="538"/>
      <c r="M104" s="538"/>
      <c r="N104" s="538"/>
      <c r="O104" s="538"/>
      <c r="P104" s="538"/>
      <c r="Q104" s="555"/>
      <c r="R104" s="538"/>
      <c r="S104" s="538"/>
      <c r="T104" s="538"/>
      <c r="U104" s="538"/>
      <c r="V104" s="538"/>
      <c r="W104" s="555"/>
      <c r="X104" s="555"/>
      <c r="Y104" s="538"/>
      <c r="Z104" s="538"/>
      <c r="AA104" s="538"/>
      <c r="AB104" s="538"/>
      <c r="AC104" s="538"/>
      <c r="AD104" s="538"/>
      <c r="AE104" s="555"/>
      <c r="AF104" s="538"/>
      <c r="AG104" s="538"/>
      <c r="AH104" s="556"/>
      <c r="AI104" s="556"/>
    </row>
    <row r="105" spans="1:35" ht="21.95" customHeight="1">
      <c r="A105" s="576"/>
      <c r="B105" s="806" t="s">
        <v>589</v>
      </c>
      <c r="C105" s="814"/>
      <c r="D105" s="807" t="s">
        <v>2</v>
      </c>
      <c r="E105" s="808"/>
      <c r="F105" s="809"/>
      <c r="G105" s="810"/>
      <c r="H105" s="807" t="s">
        <v>3</v>
      </c>
      <c r="I105" s="808"/>
      <c r="J105" s="809"/>
      <c r="K105" s="810"/>
      <c r="L105" s="807" t="s">
        <v>4</v>
      </c>
      <c r="M105" s="808"/>
      <c r="N105" s="809"/>
      <c r="O105" s="810"/>
      <c r="P105" s="807" t="s">
        <v>5</v>
      </c>
      <c r="Q105" s="808"/>
      <c r="R105" s="809"/>
      <c r="S105" s="810"/>
      <c r="T105" s="807" t="s">
        <v>6</v>
      </c>
      <c r="U105" s="808"/>
      <c r="V105" s="809"/>
      <c r="W105" s="810"/>
      <c r="X105" s="807" t="s">
        <v>7</v>
      </c>
      <c r="Y105" s="808"/>
      <c r="Z105" s="809"/>
      <c r="AA105" s="810"/>
      <c r="AB105" s="807" t="s">
        <v>8</v>
      </c>
      <c r="AC105" s="808"/>
      <c r="AD105" s="808"/>
      <c r="AE105" s="811" t="s">
        <v>10</v>
      </c>
      <c r="AF105" s="808"/>
      <c r="AG105" s="808"/>
      <c r="AH105" s="808"/>
      <c r="AI105" s="812"/>
    </row>
    <row r="106" spans="1:35" ht="21.95" customHeight="1">
      <c r="A106" s="576"/>
      <c r="B106" s="832" t="s">
        <v>590</v>
      </c>
      <c r="C106" s="815" t="s">
        <v>591</v>
      </c>
      <c r="D106" s="831" t="s">
        <v>592</v>
      </c>
      <c r="E106" s="816"/>
      <c r="F106" s="813"/>
      <c r="G106" s="815"/>
      <c r="H106" s="831" t="s">
        <v>592</v>
      </c>
      <c r="I106" s="816"/>
      <c r="J106" s="813"/>
      <c r="K106" s="815"/>
      <c r="L106" s="831" t="s">
        <v>592</v>
      </c>
      <c r="M106" s="816"/>
      <c r="N106" s="813"/>
      <c r="O106" s="815"/>
      <c r="P106" s="831" t="s">
        <v>593</v>
      </c>
      <c r="Q106" s="816"/>
      <c r="R106" s="813"/>
      <c r="S106" s="815"/>
      <c r="T106" s="831" t="s">
        <v>594</v>
      </c>
      <c r="U106" s="816"/>
      <c r="V106" s="813"/>
      <c r="W106" s="815"/>
      <c r="X106" s="816"/>
      <c r="Y106" s="816"/>
      <c r="Z106" s="813"/>
      <c r="AA106" s="815"/>
      <c r="AB106" s="816"/>
      <c r="AC106" s="816"/>
      <c r="AD106" s="816"/>
      <c r="AE106" s="815"/>
      <c r="AF106" s="816"/>
      <c r="AG106" s="816"/>
      <c r="AH106" s="818"/>
      <c r="AI106" s="819"/>
    </row>
    <row r="107" spans="1:35" ht="21.95" customHeight="1">
      <c r="A107" s="576"/>
      <c r="B107" s="833" t="s">
        <v>595</v>
      </c>
      <c r="C107" s="815" t="s">
        <v>596</v>
      </c>
      <c r="D107" s="831" t="s">
        <v>592</v>
      </c>
      <c r="E107" s="816"/>
      <c r="F107" s="813"/>
      <c r="G107" s="815"/>
      <c r="H107" s="831" t="s">
        <v>592</v>
      </c>
      <c r="I107" s="816"/>
      <c r="J107" s="813"/>
      <c r="K107" s="815"/>
      <c r="L107" s="831" t="s">
        <v>592</v>
      </c>
      <c r="M107" s="816"/>
      <c r="N107" s="813"/>
      <c r="O107" s="815"/>
      <c r="P107" s="831" t="s">
        <v>593</v>
      </c>
      <c r="Q107" s="816"/>
      <c r="R107" s="813"/>
      <c r="S107" s="815"/>
      <c r="T107" s="831" t="s">
        <v>594</v>
      </c>
      <c r="U107" s="816"/>
      <c r="V107" s="813"/>
      <c r="W107" s="815"/>
      <c r="X107" s="816"/>
      <c r="Y107" s="816"/>
      <c r="Z107" s="813"/>
      <c r="AA107" s="815"/>
      <c r="AB107" s="816"/>
      <c r="AC107" s="816"/>
      <c r="AD107" s="816"/>
      <c r="AE107" s="815"/>
      <c r="AF107" s="816"/>
      <c r="AG107" s="816"/>
      <c r="AH107" s="818"/>
      <c r="AI107" s="819"/>
    </row>
    <row r="108" spans="1:35" ht="21.95" customHeight="1">
      <c r="A108" s="576"/>
      <c r="B108" s="833" t="s">
        <v>597</v>
      </c>
      <c r="C108" s="815" t="s">
        <v>598</v>
      </c>
      <c r="D108" s="831" t="s">
        <v>592</v>
      </c>
      <c r="E108" s="816"/>
      <c r="F108" s="813"/>
      <c r="G108" s="815"/>
      <c r="H108" s="831" t="s">
        <v>592</v>
      </c>
      <c r="I108" s="816"/>
      <c r="J108" s="813"/>
      <c r="K108" s="815"/>
      <c r="L108" s="831" t="s">
        <v>592</v>
      </c>
      <c r="M108" s="816"/>
      <c r="N108" s="813"/>
      <c r="O108" s="815"/>
      <c r="P108" s="831" t="s">
        <v>593</v>
      </c>
      <c r="Q108" s="816"/>
      <c r="R108" s="813"/>
      <c r="S108" s="815"/>
      <c r="T108" s="831" t="s">
        <v>594</v>
      </c>
      <c r="U108" s="816"/>
      <c r="V108" s="813"/>
      <c r="W108" s="815"/>
      <c r="X108" s="816"/>
      <c r="Y108" s="816"/>
      <c r="Z108" s="813"/>
      <c r="AA108" s="815"/>
      <c r="AB108" s="816"/>
      <c r="AC108" s="816"/>
      <c r="AD108" s="816"/>
      <c r="AE108" s="815"/>
      <c r="AF108" s="816"/>
      <c r="AG108" s="816"/>
      <c r="AH108" s="818"/>
      <c r="AI108" s="819"/>
    </row>
    <row r="109" spans="1:35" ht="21.95" customHeight="1">
      <c r="A109" s="576"/>
      <c r="B109" s="833" t="s">
        <v>599</v>
      </c>
      <c r="C109" s="815" t="s">
        <v>600</v>
      </c>
      <c r="D109" s="831" t="s">
        <v>592</v>
      </c>
      <c r="E109" s="816"/>
      <c r="F109" s="813"/>
      <c r="G109" s="815"/>
      <c r="H109" s="831" t="s">
        <v>592</v>
      </c>
      <c r="I109" s="816"/>
      <c r="J109" s="813"/>
      <c r="K109" s="815"/>
      <c r="L109" s="831" t="s">
        <v>592</v>
      </c>
      <c r="M109" s="816"/>
      <c r="N109" s="813"/>
      <c r="O109" s="815"/>
      <c r="P109" s="831" t="s">
        <v>593</v>
      </c>
      <c r="Q109" s="816"/>
      <c r="R109" s="813"/>
      <c r="S109" s="815"/>
      <c r="T109" s="831" t="s">
        <v>594</v>
      </c>
      <c r="U109" s="816"/>
      <c r="V109" s="813"/>
      <c r="W109" s="815"/>
      <c r="X109" s="816"/>
      <c r="Y109" s="816"/>
      <c r="Z109" s="813"/>
      <c r="AA109" s="815"/>
      <c r="AB109" s="816"/>
      <c r="AC109" s="816"/>
      <c r="AD109" s="816"/>
      <c r="AE109" s="815"/>
      <c r="AF109" s="816"/>
      <c r="AG109" s="816"/>
      <c r="AH109" s="818"/>
      <c r="AI109" s="819"/>
    </row>
    <row r="110" spans="1:35" ht="21.95" customHeight="1">
      <c r="A110" s="576"/>
      <c r="B110" s="833" t="s">
        <v>601</v>
      </c>
      <c r="C110" s="815" t="s">
        <v>602</v>
      </c>
      <c r="D110" s="831" t="s">
        <v>592</v>
      </c>
      <c r="E110" s="816"/>
      <c r="F110" s="813"/>
      <c r="G110" s="815"/>
      <c r="H110" s="831" t="s">
        <v>592</v>
      </c>
      <c r="I110" s="816"/>
      <c r="J110" s="813"/>
      <c r="K110" s="815"/>
      <c r="L110" s="831" t="s">
        <v>592</v>
      </c>
      <c r="M110" s="816"/>
      <c r="N110" s="813"/>
      <c r="O110" s="815"/>
      <c r="P110" s="831" t="s">
        <v>593</v>
      </c>
      <c r="Q110" s="816"/>
      <c r="R110" s="813"/>
      <c r="S110" s="815"/>
      <c r="T110" s="831" t="s">
        <v>594</v>
      </c>
      <c r="U110" s="816"/>
      <c r="V110" s="813"/>
      <c r="W110" s="815"/>
      <c r="X110" s="816"/>
      <c r="Y110" s="816"/>
      <c r="Z110" s="813"/>
      <c r="AA110" s="815"/>
      <c r="AB110" s="816"/>
      <c r="AC110" s="816"/>
      <c r="AD110" s="816"/>
      <c r="AE110" s="815"/>
      <c r="AF110" s="816"/>
      <c r="AG110" s="816"/>
      <c r="AH110" s="818"/>
      <c r="AI110" s="819"/>
    </row>
    <row r="111" spans="1:35" ht="21.95" customHeight="1">
      <c r="A111" s="576"/>
      <c r="B111" s="833" t="s">
        <v>603</v>
      </c>
      <c r="C111" s="815" t="s">
        <v>604</v>
      </c>
      <c r="D111" s="831" t="s">
        <v>592</v>
      </c>
      <c r="E111" s="816"/>
      <c r="F111" s="813"/>
      <c r="G111" s="815"/>
      <c r="H111" s="831" t="s">
        <v>592</v>
      </c>
      <c r="I111" s="816"/>
      <c r="J111" s="813"/>
      <c r="K111" s="815"/>
      <c r="L111" s="831" t="s">
        <v>592</v>
      </c>
      <c r="M111" s="816"/>
      <c r="N111" s="813"/>
      <c r="O111" s="815"/>
      <c r="P111" s="831" t="s">
        <v>593</v>
      </c>
      <c r="Q111" s="816"/>
      <c r="R111" s="813"/>
      <c r="S111" s="815"/>
      <c r="T111" s="831" t="s">
        <v>594</v>
      </c>
      <c r="U111" s="816"/>
      <c r="V111" s="813"/>
      <c r="W111" s="815"/>
      <c r="X111" s="816"/>
      <c r="Y111" s="816"/>
      <c r="Z111" s="813"/>
      <c r="AA111" s="815"/>
      <c r="AB111" s="816"/>
      <c r="AC111" s="816"/>
      <c r="AD111" s="816"/>
      <c r="AE111" s="815"/>
      <c r="AF111" s="816"/>
      <c r="AG111" s="816"/>
      <c r="AH111" s="818"/>
      <c r="AI111" s="819"/>
    </row>
    <row r="112" spans="1:35" ht="21.95" customHeight="1">
      <c r="A112" s="576"/>
      <c r="B112" s="833" t="s">
        <v>605</v>
      </c>
      <c r="C112" s="815" t="s">
        <v>606</v>
      </c>
      <c r="D112" s="831" t="s">
        <v>592</v>
      </c>
      <c r="E112" s="816"/>
      <c r="F112" s="813"/>
      <c r="G112" s="815"/>
      <c r="H112" s="831" t="s">
        <v>592</v>
      </c>
      <c r="I112" s="816"/>
      <c r="J112" s="813"/>
      <c r="K112" s="815"/>
      <c r="L112" s="831" t="s">
        <v>592</v>
      </c>
      <c r="M112" s="816"/>
      <c r="N112" s="813"/>
      <c r="O112" s="815"/>
      <c r="P112" s="831" t="s">
        <v>593</v>
      </c>
      <c r="Q112" s="816"/>
      <c r="R112" s="813"/>
      <c r="S112" s="815"/>
      <c r="T112" s="831" t="s">
        <v>594</v>
      </c>
      <c r="U112" s="816"/>
      <c r="V112" s="813"/>
      <c r="W112" s="815"/>
      <c r="X112" s="816"/>
      <c r="Y112" s="816"/>
      <c r="Z112" s="813"/>
      <c r="AA112" s="815"/>
      <c r="AB112" s="816"/>
      <c r="AC112" s="816"/>
      <c r="AD112" s="816"/>
      <c r="AE112" s="815"/>
      <c r="AF112" s="816"/>
      <c r="AG112" s="816"/>
      <c r="AH112" s="818"/>
      <c r="AI112" s="819"/>
    </row>
    <row r="113" spans="1:35" ht="21.95" customHeight="1">
      <c r="A113" s="576"/>
      <c r="B113" s="833" t="s">
        <v>605</v>
      </c>
      <c r="C113" s="815" t="s">
        <v>607</v>
      </c>
      <c r="D113" s="831" t="s">
        <v>592</v>
      </c>
      <c r="E113" s="816"/>
      <c r="F113" s="813"/>
      <c r="G113" s="815"/>
      <c r="H113" s="831" t="s">
        <v>592</v>
      </c>
      <c r="I113" s="816"/>
      <c r="J113" s="813"/>
      <c r="K113" s="815"/>
      <c r="L113" s="831" t="s">
        <v>592</v>
      </c>
      <c r="M113" s="816"/>
      <c r="N113" s="813"/>
      <c r="O113" s="815"/>
      <c r="P113" s="831" t="s">
        <v>593</v>
      </c>
      <c r="Q113" s="816"/>
      <c r="R113" s="813"/>
      <c r="S113" s="815"/>
      <c r="T113" s="831" t="s">
        <v>594</v>
      </c>
      <c r="U113" s="816"/>
      <c r="V113" s="813"/>
      <c r="W113" s="815"/>
      <c r="X113" s="816"/>
      <c r="Y113" s="816"/>
      <c r="Z113" s="813"/>
      <c r="AA113" s="815"/>
      <c r="AB113" s="816"/>
      <c r="AC113" s="816"/>
      <c r="AD113" s="816"/>
      <c r="AE113" s="815"/>
      <c r="AF113" s="816"/>
      <c r="AG113" s="816"/>
      <c r="AH113" s="818"/>
      <c r="AI113" s="819"/>
    </row>
    <row r="114" spans="1:35" ht="21.95" customHeight="1">
      <c r="A114" s="576"/>
      <c r="B114" s="833" t="s">
        <v>608</v>
      </c>
      <c r="C114" s="815" t="s">
        <v>609</v>
      </c>
      <c r="D114" s="831" t="s">
        <v>592</v>
      </c>
      <c r="E114" s="816"/>
      <c r="F114" s="813"/>
      <c r="G114" s="815"/>
      <c r="H114" s="831" t="s">
        <v>592</v>
      </c>
      <c r="I114" s="816"/>
      <c r="J114" s="813"/>
      <c r="K114" s="815"/>
      <c r="L114" s="831" t="s">
        <v>592</v>
      </c>
      <c r="M114" s="816"/>
      <c r="N114" s="813"/>
      <c r="O114" s="815"/>
      <c r="P114" s="831" t="s">
        <v>593</v>
      </c>
      <c r="Q114" s="816"/>
      <c r="R114" s="813"/>
      <c r="S114" s="815"/>
      <c r="T114" s="831" t="s">
        <v>594</v>
      </c>
      <c r="U114" s="816"/>
      <c r="V114" s="813"/>
      <c r="W114" s="815"/>
      <c r="X114" s="816"/>
      <c r="Y114" s="816"/>
      <c r="Z114" s="813"/>
      <c r="AA114" s="815"/>
      <c r="AB114" s="816"/>
      <c r="AC114" s="816"/>
      <c r="AD114" s="816"/>
      <c r="AE114" s="815"/>
      <c r="AF114" s="816"/>
      <c r="AG114" s="816"/>
      <c r="AH114" s="818"/>
      <c r="AI114" s="819"/>
    </row>
    <row r="115" spans="1:35" ht="21.95" customHeight="1">
      <c r="A115" s="576"/>
      <c r="B115" s="833" t="s">
        <v>610</v>
      </c>
      <c r="C115" s="815" t="s">
        <v>611</v>
      </c>
      <c r="D115" s="831" t="s">
        <v>592</v>
      </c>
      <c r="E115" s="816"/>
      <c r="F115" s="813"/>
      <c r="G115" s="815"/>
      <c r="H115" s="831" t="s">
        <v>592</v>
      </c>
      <c r="I115" s="816"/>
      <c r="J115" s="813"/>
      <c r="K115" s="815"/>
      <c r="L115" s="831" t="s">
        <v>592</v>
      </c>
      <c r="M115" s="816"/>
      <c r="N115" s="813"/>
      <c r="O115" s="815"/>
      <c r="P115" s="831" t="s">
        <v>593</v>
      </c>
      <c r="Q115" s="816"/>
      <c r="R115" s="813"/>
      <c r="S115" s="815"/>
      <c r="T115" s="831" t="s">
        <v>594</v>
      </c>
      <c r="U115" s="816"/>
      <c r="V115" s="813"/>
      <c r="W115" s="815"/>
      <c r="X115" s="816"/>
      <c r="Y115" s="816"/>
      <c r="Z115" s="813"/>
      <c r="AA115" s="815"/>
      <c r="AB115" s="816"/>
      <c r="AC115" s="816"/>
      <c r="AD115" s="816"/>
      <c r="AE115" s="815"/>
      <c r="AF115" s="816"/>
      <c r="AG115" s="816"/>
      <c r="AH115" s="818"/>
      <c r="AI115" s="819"/>
    </row>
    <row r="116" spans="1:35" ht="21.95" customHeight="1">
      <c r="A116" s="576"/>
      <c r="B116" s="833" t="s">
        <v>612</v>
      </c>
      <c r="C116" s="815" t="s">
        <v>613</v>
      </c>
      <c r="D116" s="831" t="s">
        <v>592</v>
      </c>
      <c r="E116" s="816"/>
      <c r="F116" s="813"/>
      <c r="G116" s="815"/>
      <c r="H116" s="831" t="s">
        <v>592</v>
      </c>
      <c r="I116" s="816"/>
      <c r="J116" s="813"/>
      <c r="K116" s="815"/>
      <c r="L116" s="831" t="s">
        <v>592</v>
      </c>
      <c r="M116" s="816"/>
      <c r="N116" s="813"/>
      <c r="O116" s="815"/>
      <c r="P116" s="831" t="s">
        <v>593</v>
      </c>
      <c r="Q116" s="816"/>
      <c r="R116" s="813"/>
      <c r="S116" s="815"/>
      <c r="T116" s="831" t="s">
        <v>594</v>
      </c>
      <c r="U116" s="816"/>
      <c r="V116" s="813"/>
      <c r="W116" s="815"/>
      <c r="X116" s="816"/>
      <c r="Y116" s="816"/>
      <c r="Z116" s="813"/>
      <c r="AA116" s="815"/>
      <c r="AB116" s="816"/>
      <c r="AC116" s="816"/>
      <c r="AD116" s="816"/>
      <c r="AE116" s="815"/>
      <c r="AF116" s="816"/>
      <c r="AG116" s="816"/>
      <c r="AH116" s="818"/>
      <c r="AI116" s="819"/>
    </row>
    <row r="117" spans="1:35" ht="21.95" customHeight="1" thickBot="1">
      <c r="A117" s="576"/>
      <c r="B117" s="583"/>
      <c r="C117" s="555"/>
      <c r="D117" s="538"/>
      <c r="E117" s="538"/>
      <c r="F117" s="538"/>
      <c r="G117" s="538"/>
      <c r="H117" s="538"/>
      <c r="I117" s="555"/>
      <c r="J117" s="555"/>
      <c r="K117" s="538"/>
      <c r="L117" s="538"/>
      <c r="M117" s="538"/>
      <c r="N117" s="538"/>
      <c r="O117" s="538"/>
      <c r="P117" s="538"/>
      <c r="Q117" s="555"/>
      <c r="R117" s="538"/>
      <c r="S117" s="538"/>
      <c r="T117" s="538"/>
      <c r="U117" s="538"/>
      <c r="V117" s="538"/>
      <c r="W117" s="555"/>
      <c r="X117" s="555"/>
      <c r="Y117" s="538"/>
      <c r="Z117" s="538"/>
      <c r="AA117" s="538"/>
      <c r="AB117" s="538"/>
      <c r="AC117" s="538"/>
      <c r="AD117" s="538"/>
      <c r="AE117" s="555"/>
      <c r="AF117" s="538"/>
      <c r="AG117" s="538"/>
      <c r="AH117" s="556"/>
      <c r="AI117" s="556"/>
    </row>
    <row r="118" spans="1:35" ht="21.95" customHeight="1" thickBot="1">
      <c r="A118" s="785"/>
      <c r="B118" s="883" t="s">
        <v>476</v>
      </c>
      <c r="C118" s="944">
        <v>1</v>
      </c>
      <c r="D118" s="863">
        <v>2</v>
      </c>
      <c r="E118" s="863">
        <v>3</v>
      </c>
      <c r="F118" s="863">
        <v>4</v>
      </c>
      <c r="G118" s="863">
        <v>5</v>
      </c>
      <c r="H118" s="863">
        <v>6</v>
      </c>
      <c r="I118" s="880">
        <v>7</v>
      </c>
      <c r="J118" s="880">
        <v>8</v>
      </c>
      <c r="K118" s="863">
        <v>9</v>
      </c>
      <c r="L118" s="863">
        <v>10</v>
      </c>
      <c r="M118" s="863">
        <v>11</v>
      </c>
      <c r="N118" s="863">
        <v>12</v>
      </c>
      <c r="O118" s="863">
        <v>13</v>
      </c>
      <c r="P118" s="880">
        <v>14</v>
      </c>
      <c r="Q118" s="880">
        <v>15</v>
      </c>
      <c r="R118" s="863">
        <v>16</v>
      </c>
      <c r="S118" s="863">
        <v>17</v>
      </c>
      <c r="T118" s="863">
        <v>18</v>
      </c>
      <c r="U118" s="863">
        <v>19</v>
      </c>
      <c r="V118" s="863">
        <v>20</v>
      </c>
      <c r="W118" s="880">
        <v>21</v>
      </c>
      <c r="X118" s="880">
        <v>22</v>
      </c>
      <c r="Y118" s="863">
        <v>23</v>
      </c>
      <c r="Z118" s="863">
        <v>24</v>
      </c>
      <c r="AA118" s="863">
        <v>25</v>
      </c>
      <c r="AB118" s="863">
        <v>26</v>
      </c>
      <c r="AC118" s="863">
        <v>27</v>
      </c>
      <c r="AD118" s="880">
        <v>28</v>
      </c>
      <c r="AE118" s="863"/>
      <c r="AF118" s="863"/>
      <c r="AG118" s="863"/>
      <c r="AH118" s="884" t="s">
        <v>477</v>
      </c>
      <c r="AI118" s="885" t="s">
        <v>478</v>
      </c>
    </row>
    <row r="119" spans="1:35" ht="21.95" customHeight="1">
      <c r="A119" s="576"/>
      <c r="B119" s="881" t="s">
        <v>614</v>
      </c>
      <c r="C119" s="882"/>
      <c r="D119" s="882" t="s">
        <v>591</v>
      </c>
      <c r="E119" s="882" t="s">
        <v>591</v>
      </c>
      <c r="F119" s="882" t="s">
        <v>591</v>
      </c>
      <c r="G119" s="882" t="s">
        <v>591</v>
      </c>
      <c r="H119" s="882" t="s">
        <v>591</v>
      </c>
      <c r="I119" s="882"/>
      <c r="J119" s="882"/>
      <c r="K119" s="882" t="s">
        <v>591</v>
      </c>
      <c r="L119" s="882" t="s">
        <v>591</v>
      </c>
      <c r="M119" s="882" t="s">
        <v>591</v>
      </c>
      <c r="N119" s="882" t="s">
        <v>591</v>
      </c>
      <c r="O119" s="882" t="s">
        <v>591</v>
      </c>
      <c r="P119" s="882"/>
      <c r="Q119" s="882"/>
      <c r="R119" s="882" t="s">
        <v>591</v>
      </c>
      <c r="S119" s="882" t="s">
        <v>591</v>
      </c>
      <c r="T119" s="882" t="s">
        <v>591</v>
      </c>
      <c r="U119" s="882" t="s">
        <v>591</v>
      </c>
      <c r="V119" s="882" t="s">
        <v>591</v>
      </c>
      <c r="W119" s="882"/>
      <c r="X119" s="882"/>
      <c r="Y119" s="882" t="s">
        <v>591</v>
      </c>
      <c r="Z119" s="882" t="s">
        <v>591</v>
      </c>
      <c r="AA119" s="882" t="s">
        <v>591</v>
      </c>
      <c r="AB119" s="882" t="s">
        <v>591</v>
      </c>
      <c r="AC119" s="882" t="s">
        <v>591</v>
      </c>
      <c r="AD119" s="882"/>
      <c r="AE119" s="882"/>
      <c r="AF119" s="882"/>
      <c r="AG119" s="882"/>
      <c r="AH119" s="510">
        <v>0</v>
      </c>
      <c r="AI119" s="511">
        <v>37</v>
      </c>
    </row>
    <row r="120" spans="1:35" ht="21.95" customHeight="1">
      <c r="A120" s="576"/>
      <c r="B120" s="804" t="s">
        <v>615</v>
      </c>
      <c r="C120" s="837"/>
      <c r="D120" s="837" t="s">
        <v>591</v>
      </c>
      <c r="E120" s="837" t="s">
        <v>591</v>
      </c>
      <c r="F120" s="837" t="s">
        <v>591</v>
      </c>
      <c r="G120" s="837" t="s">
        <v>591</v>
      </c>
      <c r="H120" s="837" t="s">
        <v>591</v>
      </c>
      <c r="I120" s="837"/>
      <c r="J120" s="837"/>
      <c r="K120" s="837" t="s">
        <v>591</v>
      </c>
      <c r="L120" s="837" t="s">
        <v>591</v>
      </c>
      <c r="M120" s="837" t="s">
        <v>591</v>
      </c>
      <c r="N120" s="837" t="s">
        <v>591</v>
      </c>
      <c r="O120" s="837" t="s">
        <v>591</v>
      </c>
      <c r="P120" s="837"/>
      <c r="Q120" s="837"/>
      <c r="R120" s="837" t="s">
        <v>591</v>
      </c>
      <c r="S120" s="837" t="s">
        <v>591</v>
      </c>
      <c r="T120" s="837" t="s">
        <v>591</v>
      </c>
      <c r="U120" s="969" t="s">
        <v>591</v>
      </c>
      <c r="V120" s="969" t="s">
        <v>591</v>
      </c>
      <c r="W120" s="837"/>
      <c r="X120" s="837"/>
      <c r="Y120" s="969" t="s">
        <v>591</v>
      </c>
      <c r="Z120" s="969" t="s">
        <v>591</v>
      </c>
      <c r="AA120" s="969" t="s">
        <v>591</v>
      </c>
      <c r="AB120" s="837" t="s">
        <v>591</v>
      </c>
      <c r="AC120" s="837" t="s">
        <v>591</v>
      </c>
      <c r="AD120" s="837"/>
      <c r="AE120" s="837"/>
      <c r="AF120" s="837"/>
      <c r="AG120" s="837"/>
      <c r="AH120" s="924">
        <v>15</v>
      </c>
      <c r="AI120" s="925">
        <v>37</v>
      </c>
    </row>
    <row r="121" spans="1:35" ht="21.95" customHeight="1">
      <c r="A121" s="576"/>
      <c r="B121" s="804" t="s">
        <v>616</v>
      </c>
      <c r="C121" s="837"/>
      <c r="D121" s="837" t="s">
        <v>596</v>
      </c>
      <c r="E121" s="837" t="s">
        <v>596</v>
      </c>
      <c r="F121" s="837" t="s">
        <v>596</v>
      </c>
      <c r="G121" s="837" t="s">
        <v>596</v>
      </c>
      <c r="H121" s="837" t="s">
        <v>596</v>
      </c>
      <c r="I121" s="837"/>
      <c r="J121" s="837"/>
      <c r="K121" s="837" t="s">
        <v>596</v>
      </c>
      <c r="L121" s="837" t="s">
        <v>596</v>
      </c>
      <c r="M121" s="837" t="s">
        <v>596</v>
      </c>
      <c r="N121" s="837" t="s">
        <v>596</v>
      </c>
      <c r="O121" s="837" t="s">
        <v>596</v>
      </c>
      <c r="P121" s="837"/>
      <c r="Q121" s="837"/>
      <c r="R121" s="837" t="s">
        <v>596</v>
      </c>
      <c r="S121" s="837" t="s">
        <v>596</v>
      </c>
      <c r="T121" s="837" t="s">
        <v>596</v>
      </c>
      <c r="U121" s="837" t="s">
        <v>596</v>
      </c>
      <c r="V121" s="837" t="s">
        <v>596</v>
      </c>
      <c r="W121" s="837"/>
      <c r="X121" s="837"/>
      <c r="Y121" s="837" t="s">
        <v>596</v>
      </c>
      <c r="Z121" s="837" t="s">
        <v>596</v>
      </c>
      <c r="AA121" s="969" t="s">
        <v>596</v>
      </c>
      <c r="AB121" s="837" t="s">
        <v>596</v>
      </c>
      <c r="AC121" s="837" t="s">
        <v>596</v>
      </c>
      <c r="AD121" s="837"/>
      <c r="AE121" s="837"/>
      <c r="AF121" s="837"/>
      <c r="AG121" s="837"/>
      <c r="AH121" s="924">
        <v>39</v>
      </c>
      <c r="AI121" s="925">
        <v>37</v>
      </c>
    </row>
    <row r="122" spans="1:35" ht="21.95" customHeight="1">
      <c r="A122" s="576"/>
      <c r="B122" s="804" t="s">
        <v>617</v>
      </c>
      <c r="C122" s="837"/>
      <c r="D122" s="837" t="s">
        <v>598</v>
      </c>
      <c r="E122" s="837" t="s">
        <v>598</v>
      </c>
      <c r="F122" s="837" t="s">
        <v>598</v>
      </c>
      <c r="G122" s="837" t="s">
        <v>598</v>
      </c>
      <c r="H122" s="837" t="s">
        <v>598</v>
      </c>
      <c r="I122" s="837"/>
      <c r="J122" s="837"/>
      <c r="K122" s="837" t="s">
        <v>598</v>
      </c>
      <c r="L122" s="837" t="s">
        <v>598</v>
      </c>
      <c r="M122" s="969" t="s">
        <v>598</v>
      </c>
      <c r="N122" s="969" t="s">
        <v>598</v>
      </c>
      <c r="O122" s="969" t="s">
        <v>598</v>
      </c>
      <c r="P122" s="837"/>
      <c r="Q122" s="837"/>
      <c r="R122" s="837" t="s">
        <v>598</v>
      </c>
      <c r="S122" s="837" t="s">
        <v>598</v>
      </c>
      <c r="T122" s="837" t="s">
        <v>598</v>
      </c>
      <c r="U122" s="837" t="s">
        <v>598</v>
      </c>
      <c r="V122" s="837" t="s">
        <v>598</v>
      </c>
      <c r="W122" s="837"/>
      <c r="X122" s="837"/>
      <c r="Y122" s="837" t="s">
        <v>598</v>
      </c>
      <c r="Z122" s="837" t="s">
        <v>598</v>
      </c>
      <c r="AA122" s="837" t="s">
        <v>598</v>
      </c>
      <c r="AB122" s="837" t="s">
        <v>598</v>
      </c>
      <c r="AC122" s="837" t="s">
        <v>598</v>
      </c>
      <c r="AD122" s="837"/>
      <c r="AE122" s="837"/>
      <c r="AF122" s="837"/>
      <c r="AG122" s="837"/>
      <c r="AH122" s="924">
        <v>28</v>
      </c>
      <c r="AI122" s="925">
        <v>37</v>
      </c>
    </row>
    <row r="123" spans="1:35" ht="21.95" customHeight="1">
      <c r="A123" s="576"/>
      <c r="B123" s="804" t="s">
        <v>619</v>
      </c>
      <c r="C123" s="837"/>
      <c r="D123" s="837" t="s">
        <v>600</v>
      </c>
      <c r="E123" s="837" t="s">
        <v>600</v>
      </c>
      <c r="F123" s="837" t="s">
        <v>600</v>
      </c>
      <c r="G123" s="837" t="s">
        <v>600</v>
      </c>
      <c r="H123" s="837" t="s">
        <v>600</v>
      </c>
      <c r="I123" s="837"/>
      <c r="J123" s="837"/>
      <c r="K123" s="837" t="s">
        <v>600</v>
      </c>
      <c r="L123" s="837" t="s">
        <v>600</v>
      </c>
      <c r="M123" s="837" t="s">
        <v>600</v>
      </c>
      <c r="N123" s="837" t="s">
        <v>600</v>
      </c>
      <c r="O123" s="837" t="s">
        <v>600</v>
      </c>
      <c r="P123" s="837"/>
      <c r="Q123" s="837"/>
      <c r="R123" s="837" t="s">
        <v>600</v>
      </c>
      <c r="S123" s="837" t="s">
        <v>600</v>
      </c>
      <c r="T123" s="837" t="s">
        <v>600</v>
      </c>
      <c r="U123" s="837" t="s">
        <v>600</v>
      </c>
      <c r="V123" s="837" t="s">
        <v>600</v>
      </c>
      <c r="W123" s="837"/>
      <c r="X123" s="837"/>
      <c r="Y123" s="837" t="s">
        <v>600</v>
      </c>
      <c r="Z123" s="837" t="s">
        <v>600</v>
      </c>
      <c r="AA123" s="837" t="s">
        <v>600</v>
      </c>
      <c r="AB123" s="815" t="s">
        <v>600</v>
      </c>
      <c r="AC123" s="815" t="s">
        <v>600</v>
      </c>
      <c r="AD123" s="837"/>
      <c r="AE123" s="837"/>
      <c r="AF123" s="837"/>
      <c r="AG123" s="837"/>
      <c r="AH123" s="924">
        <v>5</v>
      </c>
      <c r="AI123" s="925">
        <v>37</v>
      </c>
    </row>
    <row r="124" spans="1:35" ht="21.95" customHeight="1">
      <c r="A124" s="576"/>
      <c r="B124" s="804" t="s">
        <v>621</v>
      </c>
      <c r="C124" s="837"/>
      <c r="D124" s="837" t="s">
        <v>602</v>
      </c>
      <c r="E124" s="837" t="s">
        <v>602</v>
      </c>
      <c r="F124" s="837" t="s">
        <v>602</v>
      </c>
      <c r="G124" s="969" t="s">
        <v>602</v>
      </c>
      <c r="H124" s="969" t="s">
        <v>602</v>
      </c>
      <c r="I124" s="837"/>
      <c r="J124" s="837"/>
      <c r="K124" s="837" t="s">
        <v>602</v>
      </c>
      <c r="L124" s="837" t="s">
        <v>602</v>
      </c>
      <c r="M124" s="815" t="s">
        <v>602</v>
      </c>
      <c r="N124" s="837" t="s">
        <v>602</v>
      </c>
      <c r="O124" s="837" t="s">
        <v>602</v>
      </c>
      <c r="P124" s="837"/>
      <c r="Q124" s="837"/>
      <c r="R124" s="837" t="s">
        <v>602</v>
      </c>
      <c r="S124" s="837" t="s">
        <v>602</v>
      </c>
      <c r="T124" s="837" t="s">
        <v>602</v>
      </c>
      <c r="U124" s="837" t="s">
        <v>602</v>
      </c>
      <c r="V124" s="837" t="s">
        <v>602</v>
      </c>
      <c r="W124" s="837"/>
      <c r="X124" s="837"/>
      <c r="Y124" s="1023" t="s">
        <v>602</v>
      </c>
      <c r="Z124" s="1023" t="s">
        <v>602</v>
      </c>
      <c r="AA124" s="1023" t="s">
        <v>602</v>
      </c>
      <c r="AB124" s="1023" t="s">
        <v>602</v>
      </c>
      <c r="AC124" s="1023" t="s">
        <v>602</v>
      </c>
      <c r="AD124" s="1023"/>
      <c r="AE124" s="837"/>
      <c r="AF124" s="837"/>
      <c r="AG124" s="837"/>
      <c r="AH124" s="924">
        <v>3</v>
      </c>
      <c r="AI124" s="925">
        <v>37</v>
      </c>
    </row>
    <row r="125" spans="1:35" ht="21.95" customHeight="1">
      <c r="A125" s="576"/>
      <c r="B125" s="804" t="s">
        <v>622</v>
      </c>
      <c r="C125" s="837"/>
      <c r="D125" s="837" t="s">
        <v>604</v>
      </c>
      <c r="E125" s="837" t="s">
        <v>604</v>
      </c>
      <c r="F125" s="837" t="s">
        <v>604</v>
      </c>
      <c r="G125" s="837" t="s">
        <v>604</v>
      </c>
      <c r="H125" s="837" t="s">
        <v>604</v>
      </c>
      <c r="I125" s="837"/>
      <c r="J125" s="837"/>
      <c r="K125" s="837" t="s">
        <v>604</v>
      </c>
      <c r="L125" s="837" t="s">
        <v>604</v>
      </c>
      <c r="M125" s="837" t="s">
        <v>604</v>
      </c>
      <c r="N125" s="837" t="s">
        <v>604</v>
      </c>
      <c r="O125" s="837" t="s">
        <v>604</v>
      </c>
      <c r="P125" s="837"/>
      <c r="Q125" s="837"/>
      <c r="R125" s="837" t="s">
        <v>604</v>
      </c>
      <c r="S125" s="837" t="s">
        <v>604</v>
      </c>
      <c r="T125" s="837" t="s">
        <v>604</v>
      </c>
      <c r="U125" s="837" t="s">
        <v>604</v>
      </c>
      <c r="V125" s="837" t="s">
        <v>604</v>
      </c>
      <c r="W125" s="837"/>
      <c r="X125" s="837"/>
      <c r="Y125" s="837" t="s">
        <v>604</v>
      </c>
      <c r="Z125" s="837" t="s">
        <v>604</v>
      </c>
      <c r="AA125" s="837" t="s">
        <v>604</v>
      </c>
      <c r="AB125" s="837" t="s">
        <v>604</v>
      </c>
      <c r="AC125" s="837" t="s">
        <v>604</v>
      </c>
      <c r="AD125" s="837"/>
      <c r="AE125" s="837"/>
      <c r="AF125" s="837"/>
      <c r="AG125" s="837"/>
      <c r="AH125" s="924">
        <v>37</v>
      </c>
      <c r="AI125" s="925">
        <v>37</v>
      </c>
    </row>
    <row r="126" spans="1:35" ht="21.95" customHeight="1">
      <c r="A126" s="576"/>
      <c r="B126" s="804" t="s">
        <v>623</v>
      </c>
      <c r="C126" s="837"/>
      <c r="D126" s="837" t="s">
        <v>606</v>
      </c>
      <c r="E126" s="837" t="s">
        <v>606</v>
      </c>
      <c r="F126" s="837" t="s">
        <v>606</v>
      </c>
      <c r="G126" s="837" t="s">
        <v>606</v>
      </c>
      <c r="H126" s="837" t="s">
        <v>606</v>
      </c>
      <c r="I126" s="837"/>
      <c r="J126" s="837"/>
      <c r="K126" s="837" t="s">
        <v>606</v>
      </c>
      <c r="L126" s="837" t="s">
        <v>606</v>
      </c>
      <c r="M126" s="837" t="s">
        <v>606</v>
      </c>
      <c r="N126" s="837" t="s">
        <v>606</v>
      </c>
      <c r="O126" s="837" t="s">
        <v>606</v>
      </c>
      <c r="P126" s="837"/>
      <c r="Q126" s="837"/>
      <c r="R126" s="837" t="s">
        <v>606</v>
      </c>
      <c r="S126" s="837" t="s">
        <v>606</v>
      </c>
      <c r="T126" s="837" t="s">
        <v>606</v>
      </c>
      <c r="U126" s="837" t="s">
        <v>606</v>
      </c>
      <c r="V126" s="837" t="s">
        <v>606</v>
      </c>
      <c r="W126" s="837"/>
      <c r="X126" s="837"/>
      <c r="Y126" s="969" t="s">
        <v>606</v>
      </c>
      <c r="Z126" s="969" t="s">
        <v>606</v>
      </c>
      <c r="AA126" s="969" t="s">
        <v>606</v>
      </c>
      <c r="AB126" s="969" t="s">
        <v>606</v>
      </c>
      <c r="AC126" s="969" t="s">
        <v>606</v>
      </c>
      <c r="AD126" s="969"/>
      <c r="AE126" s="837"/>
      <c r="AF126" s="837"/>
      <c r="AG126" s="837"/>
      <c r="AH126" s="924">
        <v>0</v>
      </c>
      <c r="AI126" s="925">
        <v>37</v>
      </c>
    </row>
    <row r="127" spans="1:35" ht="21.95" customHeight="1">
      <c r="A127" s="576"/>
      <c r="B127" s="804" t="s">
        <v>624</v>
      </c>
      <c r="C127" s="837"/>
      <c r="D127" s="837" t="s">
        <v>607</v>
      </c>
      <c r="E127" s="837" t="s">
        <v>607</v>
      </c>
      <c r="F127" s="837" t="s">
        <v>607</v>
      </c>
      <c r="G127" s="837" t="s">
        <v>607</v>
      </c>
      <c r="H127" s="837" t="s">
        <v>607</v>
      </c>
      <c r="I127" s="837"/>
      <c r="J127" s="837"/>
      <c r="K127" s="837" t="s">
        <v>607</v>
      </c>
      <c r="L127" s="837" t="s">
        <v>607</v>
      </c>
      <c r="M127" s="837" t="s">
        <v>607</v>
      </c>
      <c r="N127" s="837" t="s">
        <v>607</v>
      </c>
      <c r="O127" s="837" t="s">
        <v>607</v>
      </c>
      <c r="P127" s="837"/>
      <c r="Q127" s="837"/>
      <c r="R127" s="837" t="s">
        <v>607</v>
      </c>
      <c r="S127" s="837" t="s">
        <v>607</v>
      </c>
      <c r="T127" s="837" t="s">
        <v>607</v>
      </c>
      <c r="U127" s="837" t="s">
        <v>607</v>
      </c>
      <c r="V127" s="837" t="s">
        <v>607</v>
      </c>
      <c r="W127" s="837"/>
      <c r="X127" s="837"/>
      <c r="Y127" s="837" t="s">
        <v>607</v>
      </c>
      <c r="Z127" s="837" t="s">
        <v>607</v>
      </c>
      <c r="AA127" s="837" t="s">
        <v>607</v>
      </c>
      <c r="AB127" s="837" t="s">
        <v>607</v>
      </c>
      <c r="AC127" s="837" t="s">
        <v>607</v>
      </c>
      <c r="AD127" s="837"/>
      <c r="AE127" s="837"/>
      <c r="AF127" s="837"/>
      <c r="AG127" s="837"/>
      <c r="AH127" s="924">
        <v>7</v>
      </c>
      <c r="AI127" s="925">
        <v>37</v>
      </c>
    </row>
    <row r="128" spans="1:35" ht="21.95" customHeight="1">
      <c r="A128" s="576"/>
      <c r="B128" s="804" t="s">
        <v>626</v>
      </c>
      <c r="C128" s="837"/>
      <c r="D128" s="837" t="s">
        <v>609</v>
      </c>
      <c r="E128" s="1023" t="s">
        <v>609</v>
      </c>
      <c r="F128" s="1023" t="s">
        <v>609</v>
      </c>
      <c r="G128" s="1023" t="s">
        <v>609</v>
      </c>
      <c r="H128" s="1023" t="s">
        <v>609</v>
      </c>
      <c r="I128" s="837"/>
      <c r="J128" s="837"/>
      <c r="K128" s="969" t="s">
        <v>609</v>
      </c>
      <c r="L128" s="969" t="s">
        <v>609</v>
      </c>
      <c r="M128" s="969" t="s">
        <v>609</v>
      </c>
      <c r="N128" s="969" t="s">
        <v>609</v>
      </c>
      <c r="O128" s="969" t="s">
        <v>609</v>
      </c>
      <c r="P128" s="969"/>
      <c r="Q128" s="969"/>
      <c r="R128" s="837" t="s">
        <v>609</v>
      </c>
      <c r="S128" s="837" t="s">
        <v>609</v>
      </c>
      <c r="T128" s="837" t="s">
        <v>609</v>
      </c>
      <c r="U128" s="837" t="s">
        <v>609</v>
      </c>
      <c r="V128" s="837" t="s">
        <v>609</v>
      </c>
      <c r="W128" s="837"/>
      <c r="X128" s="837"/>
      <c r="Y128" s="837" t="s">
        <v>609</v>
      </c>
      <c r="Z128" s="837" t="s">
        <v>609</v>
      </c>
      <c r="AA128" s="837" t="s">
        <v>609</v>
      </c>
      <c r="AB128" s="837" t="s">
        <v>609</v>
      </c>
      <c r="AC128" s="837" t="s">
        <v>609</v>
      </c>
      <c r="AD128" s="837"/>
      <c r="AE128" s="837"/>
      <c r="AF128" s="837"/>
      <c r="AG128" s="837"/>
      <c r="AH128" s="924">
        <v>12</v>
      </c>
      <c r="AI128" s="925">
        <v>37</v>
      </c>
    </row>
    <row r="129" spans="1:35" ht="21.95" customHeight="1">
      <c r="A129" s="576"/>
      <c r="B129" s="804" t="s">
        <v>627</v>
      </c>
      <c r="C129" s="837"/>
      <c r="D129" s="1023" t="s">
        <v>611</v>
      </c>
      <c r="E129" s="1023" t="s">
        <v>611</v>
      </c>
      <c r="F129" s="1023" t="s">
        <v>611</v>
      </c>
      <c r="G129" s="837" t="s">
        <v>611</v>
      </c>
      <c r="H129" s="969" t="s">
        <v>611</v>
      </c>
      <c r="I129" s="837"/>
      <c r="J129" s="837"/>
      <c r="K129" s="969" t="s">
        <v>611</v>
      </c>
      <c r="L129" s="837" t="s">
        <v>611</v>
      </c>
      <c r="M129" s="837" t="s">
        <v>611</v>
      </c>
      <c r="N129" s="837" t="s">
        <v>611</v>
      </c>
      <c r="O129" s="837" t="s">
        <v>611</v>
      </c>
      <c r="P129" s="837"/>
      <c r="Q129" s="837"/>
      <c r="R129" s="837" t="s">
        <v>611</v>
      </c>
      <c r="S129" s="837" t="s">
        <v>611</v>
      </c>
      <c r="T129" s="837" t="s">
        <v>611</v>
      </c>
      <c r="U129" s="837" t="s">
        <v>611</v>
      </c>
      <c r="V129" s="837" t="s">
        <v>611</v>
      </c>
      <c r="W129" s="837"/>
      <c r="X129" s="837"/>
      <c r="Y129" s="837" t="s">
        <v>611</v>
      </c>
      <c r="Z129" s="837" t="s">
        <v>611</v>
      </c>
      <c r="AA129" s="837" t="s">
        <v>611</v>
      </c>
      <c r="AB129" s="837" t="s">
        <v>611</v>
      </c>
      <c r="AC129" s="837" t="s">
        <v>611</v>
      </c>
      <c r="AD129" s="837"/>
      <c r="AE129" s="837"/>
      <c r="AF129" s="837"/>
      <c r="AG129" s="837"/>
      <c r="AH129" s="924">
        <v>99</v>
      </c>
      <c r="AI129" s="925">
        <v>32</v>
      </c>
    </row>
    <row r="130" spans="1:35" ht="21.95" customHeight="1" thickBot="1">
      <c r="A130" s="576"/>
      <c r="B130" s="886" t="s">
        <v>629</v>
      </c>
      <c r="C130" s="991"/>
      <c r="D130" s="887" t="s">
        <v>613</v>
      </c>
      <c r="E130" s="887" t="s">
        <v>613</v>
      </c>
      <c r="F130" s="887" t="s">
        <v>613</v>
      </c>
      <c r="G130" s="887" t="s">
        <v>613</v>
      </c>
      <c r="H130" s="887" t="s">
        <v>613</v>
      </c>
      <c r="I130" s="887"/>
      <c r="J130" s="887"/>
      <c r="K130" s="1064" t="s">
        <v>613</v>
      </c>
      <c r="L130" s="1064" t="s">
        <v>613</v>
      </c>
      <c r="M130" s="1064" t="s">
        <v>613</v>
      </c>
      <c r="N130" s="1064" t="s">
        <v>741</v>
      </c>
      <c r="O130" s="992" t="s">
        <v>613</v>
      </c>
      <c r="P130" s="887"/>
      <c r="Q130" s="887"/>
      <c r="R130" s="887" t="s">
        <v>613</v>
      </c>
      <c r="S130" s="887" t="s">
        <v>613</v>
      </c>
      <c r="T130" s="887" t="s">
        <v>613</v>
      </c>
      <c r="U130" s="887" t="s">
        <v>613</v>
      </c>
      <c r="V130" s="887" t="s">
        <v>613</v>
      </c>
      <c r="W130" s="887"/>
      <c r="X130" s="887"/>
      <c r="Y130" s="887" t="s">
        <v>613</v>
      </c>
      <c r="Z130" s="887" t="s">
        <v>613</v>
      </c>
      <c r="AA130" s="887" t="s">
        <v>613</v>
      </c>
      <c r="AB130" s="887" t="s">
        <v>613</v>
      </c>
      <c r="AC130" s="887" t="s">
        <v>613</v>
      </c>
      <c r="AD130" s="887"/>
      <c r="AE130" s="887"/>
      <c r="AF130" s="887"/>
      <c r="AG130" s="887"/>
      <c r="AH130" s="868">
        <v>37</v>
      </c>
      <c r="AI130" s="869">
        <v>37</v>
      </c>
    </row>
    <row r="131" spans="1:35" ht="21.95" customHeight="1">
      <c r="A131" s="576"/>
      <c r="B131" s="847"/>
      <c r="C131" s="555"/>
      <c r="D131" s="555"/>
      <c r="E131" s="555"/>
      <c r="F131" s="555"/>
      <c r="G131" s="555"/>
      <c r="H131" s="555"/>
      <c r="I131" s="555"/>
      <c r="J131" s="555"/>
      <c r="K131" s="555"/>
      <c r="L131" s="555"/>
      <c r="M131" s="555"/>
      <c r="N131" s="555"/>
      <c r="O131" s="555"/>
      <c r="P131" s="555"/>
      <c r="Q131" s="555"/>
      <c r="R131" s="555"/>
      <c r="S131" s="555"/>
      <c r="T131" s="555"/>
      <c r="U131" s="555"/>
      <c r="V131" s="555"/>
      <c r="W131" s="555"/>
      <c r="X131" s="555"/>
      <c r="Y131" s="555"/>
      <c r="Z131" s="555"/>
      <c r="AA131" s="555"/>
      <c r="AB131" s="555"/>
      <c r="AC131" s="555"/>
      <c r="AD131" s="555"/>
      <c r="AE131" s="555"/>
      <c r="AF131" s="555"/>
      <c r="AG131" s="555"/>
      <c r="AH131" s="556"/>
      <c r="AI131" s="556"/>
    </row>
    <row r="132" spans="1:35" ht="21.95" customHeight="1" thickBot="1">
      <c r="A132" s="805" t="s">
        <v>630</v>
      </c>
      <c r="B132" s="538" t="s">
        <v>631</v>
      </c>
      <c r="C132" s="555"/>
      <c r="D132" s="538"/>
      <c r="E132" s="538"/>
      <c r="F132" s="538"/>
      <c r="G132" s="538"/>
      <c r="H132" s="538"/>
      <c r="I132" s="555"/>
      <c r="J132" s="555"/>
      <c r="K132" s="538"/>
      <c r="L132" s="538"/>
      <c r="M132" s="538"/>
      <c r="N132" s="538"/>
      <c r="O132" s="538"/>
      <c r="P132" s="538"/>
      <c r="Q132" s="555"/>
      <c r="R132" s="538"/>
      <c r="S132" s="538"/>
      <c r="T132" s="538"/>
      <c r="U132" s="538"/>
      <c r="V132" s="538"/>
      <c r="W132" s="555"/>
      <c r="X132" s="555"/>
      <c r="Y132" s="538"/>
      <c r="Z132" s="538"/>
      <c r="AA132" s="538"/>
      <c r="AB132" s="538"/>
      <c r="AC132" s="538"/>
      <c r="AD132" s="538"/>
      <c r="AE132" s="555"/>
      <c r="AF132" s="538"/>
      <c r="AG132" s="538"/>
      <c r="AH132" s="556"/>
      <c r="AI132" s="556"/>
    </row>
    <row r="133" spans="1:35" ht="21.95" customHeight="1">
      <c r="A133" s="576"/>
      <c r="B133" s="806" t="s">
        <v>589</v>
      </c>
      <c r="C133" s="814"/>
      <c r="D133" s="807" t="s">
        <v>2</v>
      </c>
      <c r="E133" s="808"/>
      <c r="F133" s="809"/>
      <c r="G133" s="810"/>
      <c r="H133" s="807" t="s">
        <v>3</v>
      </c>
      <c r="I133" s="808"/>
      <c r="J133" s="809"/>
      <c r="K133" s="810"/>
      <c r="L133" s="807" t="s">
        <v>4</v>
      </c>
      <c r="M133" s="808"/>
      <c r="N133" s="809"/>
      <c r="O133" s="810"/>
      <c r="P133" s="807" t="s">
        <v>5</v>
      </c>
      <c r="Q133" s="808"/>
      <c r="R133" s="809"/>
      <c r="S133" s="810"/>
      <c r="T133" s="807" t="s">
        <v>6</v>
      </c>
      <c r="U133" s="808"/>
      <c r="V133" s="809"/>
      <c r="W133" s="810"/>
      <c r="X133" s="807" t="s">
        <v>7</v>
      </c>
      <c r="Y133" s="808"/>
      <c r="Z133" s="809"/>
      <c r="AA133" s="810"/>
      <c r="AB133" s="807" t="s">
        <v>8</v>
      </c>
      <c r="AC133" s="808"/>
      <c r="AD133" s="808"/>
      <c r="AE133" s="811" t="s">
        <v>10</v>
      </c>
      <c r="AF133" s="808"/>
      <c r="AG133" s="808"/>
      <c r="AH133" s="808"/>
      <c r="AI133" s="812"/>
    </row>
    <row r="134" spans="1:35" ht="21.95" customHeight="1">
      <c r="A134" s="576"/>
      <c r="B134" s="832"/>
      <c r="C134" s="815"/>
      <c r="D134" s="831"/>
      <c r="E134" s="816"/>
      <c r="F134" s="813"/>
      <c r="G134" s="815"/>
      <c r="H134" s="831"/>
      <c r="I134" s="816"/>
      <c r="J134" s="813"/>
      <c r="K134" s="815"/>
      <c r="L134" s="831"/>
      <c r="M134" s="816"/>
      <c r="N134" s="813"/>
      <c r="O134" s="815"/>
      <c r="P134" s="831"/>
      <c r="Q134" s="816"/>
      <c r="R134" s="813"/>
      <c r="S134" s="815"/>
      <c r="T134" s="831"/>
      <c r="U134" s="816"/>
      <c r="V134" s="813"/>
      <c r="W134" s="815"/>
      <c r="X134" s="816"/>
      <c r="Y134" s="816"/>
      <c r="Z134" s="813"/>
      <c r="AA134" s="815"/>
      <c r="AB134" s="816"/>
      <c r="AC134" s="816"/>
      <c r="AD134" s="816"/>
      <c r="AE134" s="815"/>
      <c r="AF134" s="816"/>
      <c r="AG134" s="816"/>
      <c r="AH134" s="818"/>
      <c r="AI134" s="819"/>
    </row>
    <row r="135" spans="1:35" ht="21.95" customHeight="1">
      <c r="A135" s="576"/>
      <c r="B135" s="833"/>
      <c r="C135" s="815"/>
      <c r="D135" s="831"/>
      <c r="E135" s="816"/>
      <c r="F135" s="813"/>
      <c r="G135" s="815"/>
      <c r="H135" s="831"/>
      <c r="I135" s="816"/>
      <c r="J135" s="813"/>
      <c r="K135" s="815"/>
      <c r="L135" s="831"/>
      <c r="M135" s="816"/>
      <c r="N135" s="813"/>
      <c r="O135" s="815"/>
      <c r="P135" s="831"/>
      <c r="Q135" s="816"/>
      <c r="R135" s="813"/>
      <c r="S135" s="815"/>
      <c r="T135" s="831"/>
      <c r="U135" s="816"/>
      <c r="V135" s="813"/>
      <c r="W135" s="815"/>
      <c r="X135" s="816"/>
      <c r="Y135" s="816"/>
      <c r="Z135" s="813"/>
      <c r="AA135" s="815"/>
      <c r="AB135" s="816"/>
      <c r="AC135" s="816"/>
      <c r="AD135" s="816"/>
      <c r="AE135" s="815"/>
      <c r="AF135" s="816"/>
      <c r="AG135" s="816"/>
      <c r="AH135" s="818"/>
      <c r="AI135" s="819"/>
    </row>
    <row r="136" spans="1:35" ht="21.95" customHeight="1">
      <c r="A136" s="576"/>
      <c r="B136" s="833"/>
      <c r="C136" s="815"/>
      <c r="D136" s="831"/>
      <c r="E136" s="816"/>
      <c r="F136" s="813"/>
      <c r="G136" s="815"/>
      <c r="H136" s="831"/>
      <c r="I136" s="816"/>
      <c r="J136" s="813"/>
      <c r="K136" s="815"/>
      <c r="L136" s="831"/>
      <c r="M136" s="816"/>
      <c r="N136" s="813"/>
      <c r="O136" s="815"/>
      <c r="P136" s="831"/>
      <c r="Q136" s="816"/>
      <c r="R136" s="813"/>
      <c r="S136" s="815"/>
      <c r="T136" s="831"/>
      <c r="U136" s="816"/>
      <c r="V136" s="813"/>
      <c r="W136" s="815"/>
      <c r="X136" s="816"/>
      <c r="Y136" s="816"/>
      <c r="Z136" s="813"/>
      <c r="AA136" s="815"/>
      <c r="AB136" s="816"/>
      <c r="AC136" s="816"/>
      <c r="AD136" s="816"/>
      <c r="AE136" s="815"/>
      <c r="AF136" s="816"/>
      <c r="AG136" s="816"/>
      <c r="AH136" s="818"/>
      <c r="AI136" s="819"/>
    </row>
    <row r="137" spans="1:35" ht="21.75" customHeight="1" thickBot="1">
      <c r="A137" s="576"/>
      <c r="B137" s="847"/>
      <c r="C137" s="555"/>
      <c r="D137" s="555"/>
      <c r="E137" s="555"/>
      <c r="F137" s="555"/>
      <c r="G137" s="555"/>
      <c r="H137" s="555"/>
      <c r="I137" s="555"/>
      <c r="J137" s="555"/>
      <c r="K137" s="555"/>
      <c r="L137" s="555"/>
      <c r="M137" s="555"/>
      <c r="N137" s="555"/>
      <c r="O137" s="555"/>
      <c r="P137" s="555"/>
      <c r="Q137" s="555"/>
      <c r="R137" s="555"/>
      <c r="S137" s="555"/>
      <c r="T137" s="555"/>
      <c r="U137" s="555"/>
      <c r="V137" s="555"/>
      <c r="W137" s="555"/>
      <c r="X137" s="555"/>
      <c r="Y137" s="555"/>
      <c r="Z137" s="555"/>
      <c r="AA137" s="555"/>
      <c r="AB137" s="555"/>
      <c r="AC137" s="555"/>
      <c r="AD137" s="555"/>
      <c r="AE137" s="555"/>
      <c r="AF137" s="555"/>
      <c r="AG137" s="555"/>
      <c r="AH137" s="556"/>
      <c r="AI137" s="556"/>
    </row>
    <row r="138" spans="1:35" ht="21.95" customHeight="1" thickBot="1">
      <c r="A138" s="785"/>
      <c r="B138" s="883" t="s">
        <v>476</v>
      </c>
      <c r="C138" s="944">
        <v>1</v>
      </c>
      <c r="D138" s="863">
        <v>2</v>
      </c>
      <c r="E138" s="863">
        <v>3</v>
      </c>
      <c r="F138" s="863">
        <v>4</v>
      </c>
      <c r="G138" s="863">
        <v>5</v>
      </c>
      <c r="H138" s="863">
        <v>6</v>
      </c>
      <c r="I138" s="880">
        <v>7</v>
      </c>
      <c r="J138" s="880">
        <v>8</v>
      </c>
      <c r="K138" s="863">
        <v>9</v>
      </c>
      <c r="L138" s="863">
        <v>10</v>
      </c>
      <c r="M138" s="863">
        <v>11</v>
      </c>
      <c r="N138" s="863">
        <v>12</v>
      </c>
      <c r="O138" s="863">
        <v>13</v>
      </c>
      <c r="P138" s="880">
        <v>14</v>
      </c>
      <c r="Q138" s="880">
        <v>15</v>
      </c>
      <c r="R138" s="863">
        <v>16</v>
      </c>
      <c r="S138" s="863">
        <v>17</v>
      </c>
      <c r="T138" s="863">
        <v>18</v>
      </c>
      <c r="U138" s="863">
        <v>19</v>
      </c>
      <c r="V138" s="863">
        <v>20</v>
      </c>
      <c r="W138" s="880">
        <v>21</v>
      </c>
      <c r="X138" s="880">
        <v>22</v>
      </c>
      <c r="Y138" s="863">
        <v>23</v>
      </c>
      <c r="Z138" s="863">
        <v>24</v>
      </c>
      <c r="AA138" s="863">
        <v>25</v>
      </c>
      <c r="AB138" s="863">
        <v>26</v>
      </c>
      <c r="AC138" s="863">
        <v>27</v>
      </c>
      <c r="AD138" s="880">
        <v>28</v>
      </c>
      <c r="AE138" s="863"/>
      <c r="AF138" s="863"/>
      <c r="AG138" s="863"/>
      <c r="AH138" s="884" t="s">
        <v>477</v>
      </c>
      <c r="AI138" s="885" t="s">
        <v>478</v>
      </c>
    </row>
    <row r="139" spans="1:35" ht="21.95" customHeight="1">
      <c r="A139" s="576"/>
      <c r="B139" s="888" t="s">
        <v>632</v>
      </c>
      <c r="C139" s="768"/>
      <c r="D139" s="768" t="s">
        <v>491</v>
      </c>
      <c r="E139" s="768" t="s">
        <v>491</v>
      </c>
      <c r="F139" s="768" t="s">
        <v>491</v>
      </c>
      <c r="G139" s="768" t="s">
        <v>491</v>
      </c>
      <c r="H139" s="768" t="s">
        <v>491</v>
      </c>
      <c r="I139" s="768"/>
      <c r="J139" s="768"/>
      <c r="K139" s="768" t="s">
        <v>491</v>
      </c>
      <c r="L139" s="1144" t="s">
        <v>491</v>
      </c>
      <c r="M139" s="1144" t="s">
        <v>491</v>
      </c>
      <c r="N139" s="1144" t="s">
        <v>491</v>
      </c>
      <c r="O139" s="1144" t="s">
        <v>491</v>
      </c>
      <c r="P139" s="1144"/>
      <c r="Q139" s="1144"/>
      <c r="R139" s="768" t="s">
        <v>491</v>
      </c>
      <c r="S139" s="768" t="s">
        <v>491</v>
      </c>
      <c r="T139" s="768" t="s">
        <v>491</v>
      </c>
      <c r="U139" s="768" t="s">
        <v>491</v>
      </c>
      <c r="V139" s="768" t="s">
        <v>491</v>
      </c>
      <c r="W139" s="768"/>
      <c r="X139" s="768"/>
      <c r="Y139" s="768" t="s">
        <v>491</v>
      </c>
      <c r="Z139" s="768" t="s">
        <v>491</v>
      </c>
      <c r="AA139" s="768" t="s">
        <v>491</v>
      </c>
      <c r="AB139" s="768" t="s">
        <v>491</v>
      </c>
      <c r="AC139" s="768" t="s">
        <v>491</v>
      </c>
      <c r="AD139" s="768"/>
      <c r="AE139" s="768"/>
      <c r="AF139" s="768"/>
      <c r="AG139" s="768"/>
      <c r="AH139" s="510">
        <v>54</v>
      </c>
      <c r="AI139" s="511">
        <v>37</v>
      </c>
    </row>
    <row r="140" spans="1:35" ht="21.95" customHeight="1">
      <c r="A140" s="576"/>
      <c r="B140" s="858" t="s">
        <v>633</v>
      </c>
      <c r="C140" s="768"/>
      <c r="D140" s="768" t="s">
        <v>491</v>
      </c>
      <c r="E140" s="768" t="s">
        <v>491</v>
      </c>
      <c r="F140" s="768" t="s">
        <v>491</v>
      </c>
      <c r="G140" s="768" t="s">
        <v>491</v>
      </c>
      <c r="H140" s="768" t="s">
        <v>491</v>
      </c>
      <c r="I140" s="768"/>
      <c r="J140" s="768"/>
      <c r="K140" s="768" t="s">
        <v>491</v>
      </c>
      <c r="L140" s="768" t="s">
        <v>491</v>
      </c>
      <c r="M140" s="768" t="s">
        <v>491</v>
      </c>
      <c r="N140" s="768" t="s">
        <v>491</v>
      </c>
      <c r="O140" s="768" t="s">
        <v>491</v>
      </c>
      <c r="P140" s="768"/>
      <c r="Q140" s="768"/>
      <c r="R140" s="768" t="s">
        <v>491</v>
      </c>
      <c r="S140" s="768" t="s">
        <v>491</v>
      </c>
      <c r="T140" s="768" t="s">
        <v>491</v>
      </c>
      <c r="U140" s="768" t="s">
        <v>491</v>
      </c>
      <c r="V140" s="768" t="s">
        <v>491</v>
      </c>
      <c r="W140" s="768"/>
      <c r="X140" s="768"/>
      <c r="Y140" s="768" t="s">
        <v>491</v>
      </c>
      <c r="Z140" s="768" t="s">
        <v>491</v>
      </c>
      <c r="AA140" s="768" t="s">
        <v>491</v>
      </c>
      <c r="AB140" s="768" t="s">
        <v>491</v>
      </c>
      <c r="AC140" s="768" t="s">
        <v>491</v>
      </c>
      <c r="AD140" s="768"/>
      <c r="AE140" s="768"/>
      <c r="AF140" s="768"/>
      <c r="AG140" s="768"/>
      <c r="AH140" s="924">
        <v>37</v>
      </c>
      <c r="AI140" s="925">
        <v>37</v>
      </c>
    </row>
    <row r="141" spans="1:35" ht="21.95" customHeight="1">
      <c r="A141" s="576"/>
      <c r="B141" s="858" t="s">
        <v>634</v>
      </c>
      <c r="C141" s="768"/>
      <c r="D141" s="768" t="s">
        <v>491</v>
      </c>
      <c r="E141" s="768" t="s">
        <v>491</v>
      </c>
      <c r="F141" s="970" t="s">
        <v>491</v>
      </c>
      <c r="G141" s="768" t="s">
        <v>491</v>
      </c>
      <c r="H141" s="768" t="s">
        <v>491</v>
      </c>
      <c r="I141" s="768"/>
      <c r="J141" s="768"/>
      <c r="K141" s="768" t="s">
        <v>491</v>
      </c>
      <c r="L141" s="768" t="s">
        <v>491</v>
      </c>
      <c r="M141" s="768" t="s">
        <v>491</v>
      </c>
      <c r="N141" s="768" t="s">
        <v>491</v>
      </c>
      <c r="O141" s="768" t="s">
        <v>491</v>
      </c>
      <c r="P141" s="768"/>
      <c r="Q141" s="768"/>
      <c r="R141" s="768" t="s">
        <v>491</v>
      </c>
      <c r="S141" s="768" t="s">
        <v>491</v>
      </c>
      <c r="T141" s="768" t="s">
        <v>491</v>
      </c>
      <c r="U141" s="768" t="s">
        <v>491</v>
      </c>
      <c r="V141" s="768" t="s">
        <v>491</v>
      </c>
      <c r="W141" s="768"/>
      <c r="X141" s="768"/>
      <c r="Y141" s="768" t="s">
        <v>491</v>
      </c>
      <c r="Z141" s="768" t="s">
        <v>491</v>
      </c>
      <c r="AA141" s="768" t="s">
        <v>491</v>
      </c>
      <c r="AB141" s="768" t="s">
        <v>491</v>
      </c>
      <c r="AC141" s="768" t="s">
        <v>491</v>
      </c>
      <c r="AD141" s="768"/>
      <c r="AE141" s="768"/>
      <c r="AF141" s="768"/>
      <c r="AG141" s="768"/>
      <c r="AH141" s="924">
        <v>53</v>
      </c>
      <c r="AI141" s="925">
        <v>37</v>
      </c>
    </row>
    <row r="142" spans="1:35" ht="21.95" customHeight="1">
      <c r="A142" s="576"/>
      <c r="B142" s="859" t="s">
        <v>638</v>
      </c>
      <c r="C142" s="768"/>
      <c r="D142" s="768" t="s">
        <v>491</v>
      </c>
      <c r="E142" s="768" t="s">
        <v>491</v>
      </c>
      <c r="F142" s="768" t="s">
        <v>491</v>
      </c>
      <c r="G142" s="768" t="s">
        <v>491</v>
      </c>
      <c r="H142" s="768" t="s">
        <v>491</v>
      </c>
      <c r="I142" s="768"/>
      <c r="J142" s="768"/>
      <c r="K142" s="768" t="s">
        <v>491</v>
      </c>
      <c r="L142" s="768" t="s">
        <v>491</v>
      </c>
      <c r="M142" s="768" t="s">
        <v>491</v>
      </c>
      <c r="N142" s="768" t="s">
        <v>491</v>
      </c>
      <c r="O142" s="768" t="s">
        <v>491</v>
      </c>
      <c r="P142" s="768"/>
      <c r="Q142" s="768"/>
      <c r="R142" s="768" t="s">
        <v>491</v>
      </c>
      <c r="S142" s="768" t="s">
        <v>491</v>
      </c>
      <c r="T142" s="768" t="s">
        <v>491</v>
      </c>
      <c r="U142" s="768" t="s">
        <v>491</v>
      </c>
      <c r="V142" s="768" t="s">
        <v>491</v>
      </c>
      <c r="W142" s="768"/>
      <c r="X142" s="768"/>
      <c r="Y142" s="768" t="s">
        <v>491</v>
      </c>
      <c r="Z142" s="768" t="s">
        <v>491</v>
      </c>
      <c r="AA142" s="768" t="s">
        <v>491</v>
      </c>
      <c r="AB142" s="768" t="s">
        <v>491</v>
      </c>
      <c r="AC142" s="768" t="s">
        <v>491</v>
      </c>
      <c r="AD142" s="768"/>
      <c r="AE142" s="768"/>
      <c r="AF142" s="768"/>
      <c r="AG142" s="768"/>
      <c r="AH142" s="924">
        <v>74</v>
      </c>
      <c r="AI142" s="925">
        <v>37</v>
      </c>
    </row>
    <row r="143" spans="1:35" ht="21.95" customHeight="1">
      <c r="A143" s="576"/>
      <c r="B143" s="994" t="s">
        <v>635</v>
      </c>
      <c r="C143" s="768"/>
      <c r="D143" s="768" t="s">
        <v>491</v>
      </c>
      <c r="E143" s="768" t="s">
        <v>491</v>
      </c>
      <c r="F143" s="768" t="s">
        <v>491</v>
      </c>
      <c r="G143" s="1038" t="s">
        <v>491</v>
      </c>
      <c r="H143" s="1038" t="s">
        <v>493</v>
      </c>
      <c r="I143" s="768"/>
      <c r="J143" s="768"/>
      <c r="K143" s="768" t="s">
        <v>491</v>
      </c>
      <c r="L143" s="768" t="s">
        <v>491</v>
      </c>
      <c r="M143" s="768" t="s">
        <v>491</v>
      </c>
      <c r="N143" s="768" t="s">
        <v>491</v>
      </c>
      <c r="O143" s="768" t="s">
        <v>491</v>
      </c>
      <c r="P143" s="768"/>
      <c r="Q143" s="768"/>
      <c r="R143" s="768" t="s">
        <v>491</v>
      </c>
      <c r="S143" s="768" t="s">
        <v>491</v>
      </c>
      <c r="T143" s="768" t="s">
        <v>491</v>
      </c>
      <c r="U143" s="768" t="s">
        <v>491</v>
      </c>
      <c r="V143" s="768" t="s">
        <v>491</v>
      </c>
      <c r="W143" s="768"/>
      <c r="X143" s="768"/>
      <c r="Y143" s="768" t="s">
        <v>491</v>
      </c>
      <c r="Z143" s="768" t="s">
        <v>491</v>
      </c>
      <c r="AA143" s="768" t="s">
        <v>491</v>
      </c>
      <c r="AB143" s="768" t="s">
        <v>491</v>
      </c>
      <c r="AC143" s="768" t="s">
        <v>491</v>
      </c>
      <c r="AD143" s="768"/>
      <c r="AE143" s="768"/>
      <c r="AF143" s="768"/>
      <c r="AG143" s="768"/>
      <c r="AH143" s="924">
        <v>103.5</v>
      </c>
      <c r="AI143" s="925">
        <v>37</v>
      </c>
    </row>
    <row r="144" spans="1:35" ht="21.95" customHeight="1" thickBot="1">
      <c r="A144" s="576"/>
      <c r="B144" s="889" t="s">
        <v>637</v>
      </c>
      <c r="C144" s="867"/>
      <c r="D144" s="867"/>
      <c r="E144" s="867"/>
      <c r="F144" s="867"/>
      <c r="G144" s="867"/>
      <c r="H144" s="867"/>
      <c r="I144" s="867"/>
      <c r="J144" s="867"/>
      <c r="K144" s="867"/>
      <c r="L144" s="867"/>
      <c r="M144" s="867"/>
      <c r="N144" s="867"/>
      <c r="O144" s="867"/>
      <c r="P144" s="867"/>
      <c r="Q144" s="867"/>
      <c r="R144" s="867"/>
      <c r="S144" s="867"/>
      <c r="T144" s="867"/>
      <c r="U144" s="867"/>
      <c r="V144" s="867"/>
      <c r="W144" s="867"/>
      <c r="X144" s="867"/>
      <c r="Y144" s="867"/>
      <c r="Z144" s="867"/>
      <c r="AA144" s="867"/>
      <c r="AB144" s="867"/>
      <c r="AC144" s="867"/>
      <c r="AD144" s="867"/>
      <c r="AE144" s="867"/>
      <c r="AF144" s="867"/>
      <c r="AG144" s="887"/>
      <c r="AH144" s="1270">
        <v>141</v>
      </c>
      <c r="AI144" s="869">
        <v>37</v>
      </c>
    </row>
    <row r="145" spans="1:36" ht="21.95" customHeight="1">
      <c r="A145" s="576"/>
      <c r="B145" s="847"/>
      <c r="C145" s="555"/>
      <c r="D145" s="555"/>
      <c r="E145" s="555"/>
      <c r="F145" s="555"/>
      <c r="G145" s="555"/>
      <c r="H145" s="555"/>
      <c r="I145" s="555"/>
      <c r="J145" s="555"/>
      <c r="K145" s="555"/>
      <c r="L145" s="555"/>
      <c r="M145" s="555"/>
      <c r="N145" s="555"/>
      <c r="O145" s="555"/>
      <c r="P145" s="555"/>
      <c r="Q145" s="555"/>
      <c r="R145" s="555"/>
      <c r="S145" s="555"/>
      <c r="T145" s="555"/>
      <c r="U145" s="555"/>
      <c r="V145" s="555"/>
      <c r="W145" s="555"/>
      <c r="X145" s="555"/>
      <c r="Y145" s="555"/>
      <c r="Z145" s="555"/>
      <c r="AA145" s="555"/>
      <c r="AB145" s="555"/>
      <c r="AC145" s="555"/>
      <c r="AD145" s="555"/>
      <c r="AE145" s="555"/>
      <c r="AF145" s="555"/>
      <c r="AG145" s="555"/>
      <c r="AH145" s="556"/>
      <c r="AI145" s="556"/>
    </row>
    <row r="146" spans="1:36" ht="21.95" customHeight="1" thickBot="1">
      <c r="A146" s="805" t="s">
        <v>639</v>
      </c>
      <c r="B146" s="538"/>
      <c r="C146" s="555"/>
      <c r="D146" s="538"/>
      <c r="E146" s="538"/>
      <c r="F146" s="538"/>
      <c r="G146" s="538"/>
      <c r="H146" s="538"/>
      <c r="I146" s="555"/>
      <c r="J146" s="555"/>
      <c r="K146" s="538"/>
      <c r="L146" s="538"/>
      <c r="M146" s="538"/>
      <c r="N146" s="538"/>
      <c r="O146" s="538"/>
      <c r="P146" s="538"/>
      <c r="Q146" s="555"/>
      <c r="R146" s="538"/>
      <c r="S146" s="538"/>
      <c r="T146" s="538"/>
      <c r="U146" s="538"/>
      <c r="V146" s="538"/>
      <c r="W146" s="555"/>
      <c r="X146" s="555"/>
      <c r="Y146" s="538"/>
      <c r="Z146" s="538"/>
      <c r="AA146" s="538"/>
      <c r="AB146" s="538"/>
      <c r="AC146" s="538"/>
      <c r="AD146" s="538"/>
      <c r="AE146" s="555"/>
      <c r="AF146" s="538"/>
      <c r="AG146" s="538"/>
      <c r="AH146" s="556"/>
      <c r="AI146" s="556"/>
    </row>
    <row r="147" spans="1:36" ht="21.95" customHeight="1">
      <c r="A147" s="576"/>
      <c r="B147" s="806" t="s">
        <v>589</v>
      </c>
      <c r="C147" s="814"/>
      <c r="D147" s="807" t="s">
        <v>2</v>
      </c>
      <c r="E147" s="808"/>
      <c r="F147" s="809"/>
      <c r="G147" s="810"/>
      <c r="H147" s="807" t="s">
        <v>3</v>
      </c>
      <c r="I147" s="808"/>
      <c r="J147" s="809"/>
      <c r="K147" s="810"/>
      <c r="L147" s="807" t="s">
        <v>4</v>
      </c>
      <c r="M147" s="808"/>
      <c r="N147" s="809"/>
      <c r="O147" s="810"/>
      <c r="P147" s="807" t="s">
        <v>5</v>
      </c>
      <c r="Q147" s="808"/>
      <c r="R147" s="809"/>
      <c r="S147" s="810"/>
      <c r="T147" s="807" t="s">
        <v>6</v>
      </c>
      <c r="U147" s="808"/>
      <c r="V147" s="809"/>
      <c r="W147" s="810"/>
      <c r="X147" s="807" t="s">
        <v>7</v>
      </c>
      <c r="Y147" s="808"/>
      <c r="Z147" s="809"/>
      <c r="AA147" s="810"/>
      <c r="AB147" s="807" t="s">
        <v>8</v>
      </c>
      <c r="AC147" s="808"/>
      <c r="AD147" s="808"/>
      <c r="AE147" s="811" t="s">
        <v>10</v>
      </c>
      <c r="AF147" s="808"/>
      <c r="AG147" s="808"/>
      <c r="AH147" s="808"/>
      <c r="AI147" s="812"/>
    </row>
    <row r="148" spans="1:36" ht="21.95" customHeight="1">
      <c r="A148" s="576"/>
      <c r="B148" s="832"/>
      <c r="C148" s="815"/>
      <c r="D148" s="831"/>
      <c r="E148" s="816"/>
      <c r="F148" s="813"/>
      <c r="G148" s="815"/>
      <c r="H148" s="831"/>
      <c r="I148" s="816"/>
      <c r="J148" s="813"/>
      <c r="K148" s="815"/>
      <c r="L148" s="831"/>
      <c r="M148" s="816"/>
      <c r="N148" s="813"/>
      <c r="O148" s="815"/>
      <c r="P148" s="831"/>
      <c r="Q148" s="816"/>
      <c r="R148" s="813"/>
      <c r="S148" s="815"/>
      <c r="T148" s="831"/>
      <c r="U148" s="816"/>
      <c r="V148" s="813"/>
      <c r="W148" s="815"/>
      <c r="X148" s="816"/>
      <c r="Y148" s="816"/>
      <c r="Z148" s="813"/>
      <c r="AA148" s="815"/>
      <c r="AB148" s="816"/>
      <c r="AC148" s="816"/>
      <c r="AD148" s="816"/>
      <c r="AE148" s="815"/>
      <c r="AF148" s="816"/>
      <c r="AG148" s="816"/>
      <c r="AH148" s="818"/>
      <c r="AI148" s="819"/>
    </row>
    <row r="149" spans="1:36" ht="21.95" customHeight="1">
      <c r="A149" s="576"/>
      <c r="B149" s="833"/>
      <c r="C149" s="815"/>
      <c r="D149" s="831"/>
      <c r="E149" s="816"/>
      <c r="F149" s="813"/>
      <c r="G149" s="815"/>
      <c r="H149" s="831"/>
      <c r="I149" s="816"/>
      <c r="J149" s="813"/>
      <c r="K149" s="815"/>
      <c r="L149" s="831"/>
      <c r="M149" s="816"/>
      <c r="N149" s="813"/>
      <c r="O149" s="815"/>
      <c r="P149" s="831"/>
      <c r="Q149" s="816"/>
      <c r="R149" s="813"/>
      <c r="S149" s="815"/>
      <c r="T149" s="831"/>
      <c r="U149" s="816"/>
      <c r="V149" s="813"/>
      <c r="W149" s="815"/>
      <c r="X149" s="816"/>
      <c r="Y149" s="816"/>
      <c r="Z149" s="813"/>
      <c r="AA149" s="815"/>
      <c r="AB149" s="816"/>
      <c r="AC149" s="816"/>
      <c r="AD149" s="816"/>
      <c r="AE149" s="815"/>
      <c r="AF149" s="816"/>
      <c r="AG149" s="816"/>
      <c r="AH149" s="818"/>
      <c r="AI149" s="819"/>
    </row>
    <row r="150" spans="1:36" ht="21.95" customHeight="1">
      <c r="A150" s="576"/>
      <c r="B150" s="833"/>
      <c r="C150" s="815"/>
      <c r="D150" s="831"/>
      <c r="E150" s="816"/>
      <c r="F150" s="813"/>
      <c r="G150" s="815"/>
      <c r="H150" s="831"/>
      <c r="I150" s="816"/>
      <c r="J150" s="813"/>
      <c r="K150" s="815"/>
      <c r="L150" s="831"/>
      <c r="M150" s="816"/>
      <c r="N150" s="813"/>
      <c r="O150" s="815"/>
      <c r="P150" s="831"/>
      <c r="Q150" s="816"/>
      <c r="R150" s="813"/>
      <c r="S150" s="815"/>
      <c r="T150" s="831"/>
      <c r="U150" s="816"/>
      <c r="V150" s="813"/>
      <c r="W150" s="815"/>
      <c r="X150" s="816"/>
      <c r="Y150" s="816"/>
      <c r="Z150" s="813"/>
      <c r="AA150" s="815"/>
      <c r="AB150" s="816"/>
      <c r="AC150" s="816"/>
      <c r="AD150" s="816"/>
      <c r="AE150" s="815"/>
      <c r="AF150" s="816"/>
      <c r="AG150" s="816"/>
      <c r="AH150" s="818"/>
      <c r="AI150" s="819"/>
    </row>
    <row r="151" spans="1:36" ht="21.95" customHeight="1" thickBot="1">
      <c r="A151" s="576"/>
      <c r="B151" s="847"/>
      <c r="C151" s="555"/>
      <c r="D151" s="555"/>
      <c r="E151" s="555"/>
      <c r="F151" s="555"/>
      <c r="G151" s="555"/>
      <c r="H151" s="555"/>
      <c r="I151" s="555"/>
      <c r="J151" s="555"/>
      <c r="K151" s="555"/>
      <c r="L151" s="555"/>
      <c r="M151" s="555"/>
      <c r="N151" s="555"/>
      <c r="O151" s="555"/>
      <c r="P151" s="555"/>
      <c r="Q151" s="555"/>
      <c r="R151" s="555"/>
      <c r="S151" s="555"/>
      <c r="T151" s="555"/>
      <c r="U151" s="555"/>
      <c r="V151" s="555"/>
      <c r="W151" s="555"/>
      <c r="X151" s="555"/>
      <c r="Y151" s="555"/>
      <c r="Z151" s="555"/>
      <c r="AA151" s="555"/>
      <c r="AB151" s="555"/>
      <c r="AC151" s="555"/>
      <c r="AD151" s="555"/>
      <c r="AE151" s="555"/>
      <c r="AF151" s="555"/>
      <c r="AG151" s="555"/>
      <c r="AH151" s="556"/>
      <c r="AI151" s="556"/>
    </row>
    <row r="152" spans="1:36" ht="21.95" customHeight="1" thickBot="1">
      <c r="A152" s="785"/>
      <c r="B152" s="883" t="s">
        <v>476</v>
      </c>
      <c r="C152" s="880">
        <v>1</v>
      </c>
      <c r="D152" s="863">
        <v>2</v>
      </c>
      <c r="E152" s="863">
        <v>3</v>
      </c>
      <c r="F152" s="863">
        <v>4</v>
      </c>
      <c r="G152" s="863">
        <v>5</v>
      </c>
      <c r="H152" s="863">
        <v>6</v>
      </c>
      <c r="I152" s="880">
        <v>7</v>
      </c>
      <c r="J152" s="880">
        <v>8</v>
      </c>
      <c r="K152" s="863">
        <v>9</v>
      </c>
      <c r="L152" s="863">
        <v>10</v>
      </c>
      <c r="M152" s="863">
        <v>11</v>
      </c>
      <c r="N152" s="863">
        <v>12</v>
      </c>
      <c r="O152" s="863">
        <v>13</v>
      </c>
      <c r="P152" s="880">
        <v>14</v>
      </c>
      <c r="Q152" s="880">
        <v>15</v>
      </c>
      <c r="R152" s="863">
        <v>16</v>
      </c>
      <c r="S152" s="863">
        <v>17</v>
      </c>
      <c r="T152" s="863">
        <v>18</v>
      </c>
      <c r="U152" s="863">
        <v>19</v>
      </c>
      <c r="V152" s="863">
        <v>20</v>
      </c>
      <c r="W152" s="880">
        <v>21</v>
      </c>
      <c r="X152" s="880">
        <v>22</v>
      </c>
      <c r="Y152" s="863">
        <v>23</v>
      </c>
      <c r="Z152" s="863">
        <v>24</v>
      </c>
      <c r="AA152" s="863">
        <v>25</v>
      </c>
      <c r="AB152" s="863">
        <v>26</v>
      </c>
      <c r="AC152" s="863">
        <v>27</v>
      </c>
      <c r="AD152" s="880">
        <v>28</v>
      </c>
      <c r="AE152" s="863"/>
      <c r="AF152" s="863"/>
      <c r="AG152" s="863"/>
      <c r="AH152" s="884" t="s">
        <v>477</v>
      </c>
      <c r="AI152" s="885" t="s">
        <v>478</v>
      </c>
    </row>
    <row r="153" spans="1:36" ht="21.95" customHeight="1">
      <c r="A153" s="576"/>
      <c r="B153" s="890"/>
      <c r="C153" s="768"/>
      <c r="D153" s="768" t="s">
        <v>491</v>
      </c>
      <c r="E153" s="768" t="s">
        <v>491</v>
      </c>
      <c r="F153" s="768" t="s">
        <v>491</v>
      </c>
      <c r="G153" s="768" t="s">
        <v>491</v>
      </c>
      <c r="H153" s="768" t="s">
        <v>491</v>
      </c>
      <c r="I153" s="768"/>
      <c r="J153" s="768"/>
      <c r="K153" s="768" t="s">
        <v>491</v>
      </c>
      <c r="L153" s="768" t="s">
        <v>491</v>
      </c>
      <c r="M153" s="768" t="s">
        <v>491</v>
      </c>
      <c r="N153" s="768" t="s">
        <v>491</v>
      </c>
      <c r="O153" s="768" t="s">
        <v>491</v>
      </c>
      <c r="P153" s="768"/>
      <c r="Q153" s="768"/>
      <c r="R153" s="768" t="s">
        <v>491</v>
      </c>
      <c r="S153" s="768" t="s">
        <v>491</v>
      </c>
      <c r="T153" s="768" t="s">
        <v>491</v>
      </c>
      <c r="U153" s="768" t="s">
        <v>491</v>
      </c>
      <c r="V153" s="768" t="s">
        <v>491</v>
      </c>
      <c r="W153" s="768"/>
      <c r="X153" s="768"/>
      <c r="Y153" s="768" t="s">
        <v>491</v>
      </c>
      <c r="Z153" s="768" t="s">
        <v>491</v>
      </c>
      <c r="AA153" s="768" t="s">
        <v>491</v>
      </c>
      <c r="AB153" s="768" t="s">
        <v>491</v>
      </c>
      <c r="AC153" s="768" t="s">
        <v>491</v>
      </c>
      <c r="AD153" s="768"/>
      <c r="AE153" s="768"/>
      <c r="AF153" s="768"/>
      <c r="AG153" s="768"/>
      <c r="AH153" s="510"/>
      <c r="AI153" s="511"/>
    </row>
    <row r="154" spans="1:36" ht="21.95" customHeight="1">
      <c r="A154" s="576"/>
      <c r="B154" s="859" t="s">
        <v>742</v>
      </c>
      <c r="C154" s="768"/>
      <c r="D154" s="768" t="s">
        <v>491</v>
      </c>
      <c r="E154" s="768" t="s">
        <v>491</v>
      </c>
      <c r="F154" s="768" t="s">
        <v>491</v>
      </c>
      <c r="G154" s="768" t="s">
        <v>491</v>
      </c>
      <c r="H154" s="768" t="s">
        <v>491</v>
      </c>
      <c r="I154" s="768"/>
      <c r="J154" s="768"/>
      <c r="K154" s="768" t="s">
        <v>491</v>
      </c>
      <c r="L154" s="768" t="s">
        <v>491</v>
      </c>
      <c r="M154" s="768" t="s">
        <v>491</v>
      </c>
      <c r="N154" s="768" t="s">
        <v>491</v>
      </c>
      <c r="O154" s="768" t="s">
        <v>491</v>
      </c>
      <c r="P154" s="768"/>
      <c r="Q154" s="768"/>
      <c r="R154" s="768" t="s">
        <v>491</v>
      </c>
      <c r="S154" s="768" t="s">
        <v>491</v>
      </c>
      <c r="T154" s="768" t="s">
        <v>491</v>
      </c>
      <c r="U154" s="768" t="s">
        <v>491</v>
      </c>
      <c r="V154" s="768" t="s">
        <v>491</v>
      </c>
      <c r="W154" s="768"/>
      <c r="X154" s="768"/>
      <c r="Y154" s="980" t="s">
        <v>491</v>
      </c>
      <c r="Z154" s="980" t="s">
        <v>491</v>
      </c>
      <c r="AA154" s="980" t="s">
        <v>491</v>
      </c>
      <c r="AB154" s="980" t="s">
        <v>491</v>
      </c>
      <c r="AC154" s="980" t="s">
        <v>491</v>
      </c>
      <c r="AD154" s="768"/>
      <c r="AE154" s="768"/>
      <c r="AF154" s="768"/>
      <c r="AG154" s="768"/>
      <c r="AH154" s="510">
        <v>74</v>
      </c>
      <c r="AI154" s="511">
        <v>0</v>
      </c>
    </row>
    <row r="155" spans="1:36" ht="21.95" customHeight="1">
      <c r="A155" s="576"/>
      <c r="B155" s="821" t="s">
        <v>641</v>
      </c>
      <c r="C155" s="768"/>
      <c r="D155" s="768" t="s">
        <v>491</v>
      </c>
      <c r="E155" s="768" t="s">
        <v>491</v>
      </c>
      <c r="F155" s="768" t="s">
        <v>491</v>
      </c>
      <c r="G155" s="768" t="s">
        <v>491</v>
      </c>
      <c r="H155" s="768" t="s">
        <v>491</v>
      </c>
      <c r="I155" s="768"/>
      <c r="J155" s="768"/>
      <c r="K155" s="768" t="s">
        <v>491</v>
      </c>
      <c r="L155" s="768" t="s">
        <v>491</v>
      </c>
      <c r="M155" s="768" t="s">
        <v>491</v>
      </c>
      <c r="N155" s="768" t="s">
        <v>491</v>
      </c>
      <c r="O155" s="768" t="s">
        <v>491</v>
      </c>
      <c r="P155" s="768"/>
      <c r="Q155" s="768"/>
      <c r="R155" s="1038" t="s">
        <v>491</v>
      </c>
      <c r="S155" s="1038" t="s">
        <v>491</v>
      </c>
      <c r="T155" s="1038" t="s">
        <v>491</v>
      </c>
      <c r="U155" s="1038" t="s">
        <v>491</v>
      </c>
      <c r="V155" s="1038" t="s">
        <v>491</v>
      </c>
      <c r="W155" s="1038"/>
      <c r="X155" s="1038"/>
      <c r="Y155" s="1038" t="s">
        <v>491</v>
      </c>
      <c r="Z155" s="1038" t="s">
        <v>493</v>
      </c>
      <c r="AA155" s="768" t="s">
        <v>491</v>
      </c>
      <c r="AB155" s="768" t="s">
        <v>491</v>
      </c>
      <c r="AC155" s="768" t="s">
        <v>491</v>
      </c>
      <c r="AD155" s="768"/>
      <c r="AE155" s="768"/>
      <c r="AF155" s="768"/>
      <c r="AG155" s="768"/>
      <c r="AH155" s="924">
        <v>75</v>
      </c>
      <c r="AI155" s="925">
        <v>37</v>
      </c>
    </row>
    <row r="156" spans="1:36" ht="21.95" customHeight="1">
      <c r="A156" s="576"/>
      <c r="B156" s="821" t="s">
        <v>642</v>
      </c>
      <c r="C156" s="768"/>
      <c r="D156" s="768" t="s">
        <v>491</v>
      </c>
      <c r="E156" s="768" t="s">
        <v>491</v>
      </c>
      <c r="F156" s="768" t="s">
        <v>491</v>
      </c>
      <c r="G156" s="768" t="s">
        <v>491</v>
      </c>
      <c r="H156" s="768" t="s">
        <v>491</v>
      </c>
      <c r="I156" s="768"/>
      <c r="J156" s="768"/>
      <c r="K156" s="768" t="s">
        <v>491</v>
      </c>
      <c r="L156" s="768" t="s">
        <v>491</v>
      </c>
      <c r="M156" s="768" t="s">
        <v>491</v>
      </c>
      <c r="N156" s="768" t="s">
        <v>491</v>
      </c>
      <c r="O156" s="768" t="s">
        <v>491</v>
      </c>
      <c r="P156" s="768"/>
      <c r="Q156" s="768"/>
      <c r="R156" s="988" t="s">
        <v>491</v>
      </c>
      <c r="S156" s="988" t="s">
        <v>491</v>
      </c>
      <c r="T156" s="988" t="s">
        <v>491</v>
      </c>
      <c r="U156" s="988" t="s">
        <v>491</v>
      </c>
      <c r="V156" s="988" t="s">
        <v>491</v>
      </c>
      <c r="W156" s="988"/>
      <c r="X156" s="988"/>
      <c r="Y156" s="768" t="s">
        <v>491</v>
      </c>
      <c r="Z156" s="768" t="s">
        <v>491</v>
      </c>
      <c r="AA156" s="768" t="s">
        <v>491</v>
      </c>
      <c r="AB156" s="768" t="s">
        <v>491</v>
      </c>
      <c r="AC156" s="768" t="s">
        <v>491</v>
      </c>
      <c r="AD156" s="768"/>
      <c r="AE156" s="768"/>
      <c r="AF156" s="768"/>
      <c r="AG156" s="768"/>
      <c r="AH156" s="924">
        <v>73</v>
      </c>
      <c r="AI156" s="925">
        <v>37</v>
      </c>
    </row>
    <row r="157" spans="1:36" ht="21.95" customHeight="1">
      <c r="A157" s="576"/>
      <c r="B157" s="821" t="s">
        <v>643</v>
      </c>
      <c r="C157" s="768"/>
      <c r="D157" s="768" t="s">
        <v>491</v>
      </c>
      <c r="E157" s="768" t="s">
        <v>491</v>
      </c>
      <c r="F157" s="768" t="s">
        <v>491</v>
      </c>
      <c r="G157" s="768" t="s">
        <v>491</v>
      </c>
      <c r="H157" s="768" t="s">
        <v>491</v>
      </c>
      <c r="I157" s="768"/>
      <c r="J157" s="768"/>
      <c r="K157" s="768" t="s">
        <v>491</v>
      </c>
      <c r="L157" s="768" t="s">
        <v>491</v>
      </c>
      <c r="M157" s="768" t="s">
        <v>491</v>
      </c>
      <c r="N157" s="768" t="s">
        <v>491</v>
      </c>
      <c r="O157" s="768" t="s">
        <v>491</v>
      </c>
      <c r="P157" s="768"/>
      <c r="Q157" s="768"/>
      <c r="R157" s="768" t="s">
        <v>491</v>
      </c>
      <c r="S157" s="768" t="s">
        <v>491</v>
      </c>
      <c r="T157" s="768" t="s">
        <v>491</v>
      </c>
      <c r="U157" s="768" t="s">
        <v>491</v>
      </c>
      <c r="V157" s="768" t="s">
        <v>491</v>
      </c>
      <c r="W157" s="768"/>
      <c r="X157" s="768"/>
      <c r="Y157" s="768" t="s">
        <v>491</v>
      </c>
      <c r="Z157" s="768" t="s">
        <v>491</v>
      </c>
      <c r="AA157" s="768" t="s">
        <v>491</v>
      </c>
      <c r="AB157" s="768" t="s">
        <v>491</v>
      </c>
      <c r="AC157" s="768" t="s">
        <v>491</v>
      </c>
      <c r="AD157" s="768"/>
      <c r="AE157" s="768"/>
      <c r="AF157" s="768"/>
      <c r="AG157" s="768"/>
      <c r="AH157" s="924">
        <v>22</v>
      </c>
      <c r="AI157" s="925">
        <v>37</v>
      </c>
    </row>
    <row r="158" spans="1:36" ht="21.95" customHeight="1" thickBot="1">
      <c r="A158" s="576"/>
      <c r="B158" s="891"/>
      <c r="C158" s="867"/>
      <c r="D158" s="867"/>
      <c r="E158" s="867"/>
      <c r="F158" s="867"/>
      <c r="G158" s="867"/>
      <c r="H158" s="867"/>
      <c r="I158" s="867"/>
      <c r="J158" s="867"/>
      <c r="K158" s="867"/>
      <c r="L158" s="867"/>
      <c r="M158" s="867"/>
      <c r="N158" s="867"/>
      <c r="O158" s="867"/>
      <c r="P158" s="867"/>
      <c r="Q158" s="867"/>
      <c r="R158" s="867"/>
      <c r="S158" s="867"/>
      <c r="T158" s="867"/>
      <c r="U158" s="867"/>
      <c r="V158" s="867"/>
      <c r="W158" s="867"/>
      <c r="X158" s="867"/>
      <c r="Y158" s="867"/>
      <c r="Z158" s="867"/>
      <c r="AA158" s="867"/>
      <c r="AB158" s="867"/>
      <c r="AC158" s="867"/>
      <c r="AD158" s="867"/>
      <c r="AE158" s="867"/>
      <c r="AF158" s="867"/>
      <c r="AG158" s="887"/>
      <c r="AH158" s="924"/>
      <c r="AI158" s="925"/>
    </row>
    <row r="159" spans="1:36" ht="21.95" customHeight="1">
      <c r="A159" s="576"/>
      <c r="B159" s="847"/>
      <c r="C159" s="555"/>
      <c r="D159" s="555"/>
      <c r="E159" s="555"/>
      <c r="F159" s="555"/>
      <c r="G159" s="555"/>
      <c r="H159" s="555"/>
      <c r="I159" s="555"/>
      <c r="J159" s="555"/>
      <c r="K159" s="555"/>
      <c r="L159" s="555"/>
      <c r="M159" s="555"/>
      <c r="N159" s="555"/>
      <c r="O159" s="555"/>
      <c r="P159" s="555"/>
      <c r="Q159" s="555"/>
      <c r="R159" s="555"/>
      <c r="S159" s="555"/>
      <c r="T159" s="555"/>
      <c r="U159" s="555"/>
      <c r="V159" s="555"/>
      <c r="W159" s="555"/>
      <c r="X159" s="555"/>
      <c r="Y159" s="555"/>
      <c r="Z159" s="555"/>
      <c r="AA159" s="555"/>
      <c r="AB159" s="555"/>
      <c r="AC159" s="555"/>
      <c r="AD159" s="555"/>
      <c r="AE159" s="555"/>
      <c r="AF159" s="555"/>
      <c r="AG159" s="555"/>
      <c r="AH159" s="556"/>
      <c r="AI159" s="556"/>
    </row>
    <row r="160" spans="1:36" ht="21.95" customHeight="1">
      <c r="A160" s="312" t="s">
        <v>644</v>
      </c>
      <c r="C160" s="555"/>
      <c r="D160" s="555"/>
      <c r="E160" s="555"/>
      <c r="F160" s="555"/>
      <c r="G160" s="555"/>
      <c r="H160" s="555"/>
      <c r="I160" s="555"/>
      <c r="J160" s="555"/>
      <c r="K160" s="555"/>
      <c r="L160" s="555"/>
      <c r="M160" s="555"/>
      <c r="N160" s="555"/>
      <c r="O160" s="555"/>
      <c r="P160" s="555"/>
      <c r="Q160" s="555"/>
      <c r="R160" s="555"/>
      <c r="S160" s="555"/>
      <c r="T160" s="555"/>
      <c r="U160" s="555"/>
      <c r="V160" s="555"/>
      <c r="W160" s="555"/>
      <c r="X160" s="555"/>
      <c r="Y160" s="555"/>
      <c r="Z160" s="555"/>
      <c r="AA160" s="555"/>
      <c r="AB160" s="555"/>
      <c r="AC160" s="555"/>
      <c r="AD160" s="555"/>
      <c r="AE160" s="555"/>
      <c r="AF160" s="555"/>
      <c r="AG160" s="555"/>
      <c r="AH160" s="556"/>
      <c r="AI160" s="556"/>
      <c r="AJ160" s="361"/>
    </row>
    <row r="161" spans="1:36" ht="21.95" customHeight="1">
      <c r="A161" s="299" t="s">
        <v>475</v>
      </c>
      <c r="B161" s="299"/>
      <c r="C161" s="153"/>
      <c r="D161" s="299" t="s">
        <v>2</v>
      </c>
      <c r="E161" s="186"/>
      <c r="F161" s="153"/>
      <c r="G161" s="299" t="s">
        <v>3</v>
      </c>
      <c r="H161" s="186"/>
      <c r="I161" s="153"/>
      <c r="J161" s="299" t="s">
        <v>4</v>
      </c>
      <c r="K161" s="186"/>
      <c r="L161" s="153"/>
      <c r="M161" s="299" t="s">
        <v>5</v>
      </c>
      <c r="N161" s="186"/>
      <c r="O161" s="153"/>
      <c r="P161" s="299" t="s">
        <v>6</v>
      </c>
      <c r="Q161" s="186"/>
      <c r="R161" s="134"/>
      <c r="S161" s="199" t="s">
        <v>7</v>
      </c>
      <c r="T161" s="186"/>
      <c r="U161" s="153"/>
      <c r="V161" s="299" t="s">
        <v>8</v>
      </c>
      <c r="W161" s="186"/>
      <c r="X161" s="585" t="s">
        <v>10</v>
      </c>
      <c r="Y161" s="186"/>
      <c r="Z161" s="186"/>
      <c r="AA161" s="561"/>
      <c r="AB161" s="483"/>
      <c r="AC161" s="483"/>
      <c r="AD161" s="483"/>
      <c r="AE161" s="483"/>
      <c r="AF161" s="483"/>
      <c r="AG161" s="484"/>
      <c r="AH161" s="361"/>
      <c r="AI161" s="361"/>
      <c r="AJ161" s="361"/>
    </row>
    <row r="162" spans="1:36" ht="21.95" customHeight="1">
      <c r="A162" s="130">
        <v>8517</v>
      </c>
      <c r="B162" s="500" t="s">
        <v>645</v>
      </c>
      <c r="C162" s="584" t="s">
        <v>124</v>
      </c>
      <c r="D162" s="581"/>
      <c r="E162" s="586"/>
      <c r="F162" s="584" t="s">
        <v>124</v>
      </c>
      <c r="G162" s="587"/>
      <c r="H162" s="586"/>
      <c r="I162" s="121" t="s">
        <v>124</v>
      </c>
      <c r="J162" s="565"/>
      <c r="K162" s="588"/>
      <c r="L162" s="121" t="s">
        <v>124</v>
      </c>
      <c r="M162" s="565"/>
      <c r="N162" s="588"/>
      <c r="O162" s="121" t="s">
        <v>125</v>
      </c>
      <c r="P162" s="565"/>
      <c r="Q162" s="477"/>
      <c r="R162" s="589" t="s">
        <v>28</v>
      </c>
      <c r="S162" s="565"/>
      <c r="T162" s="588"/>
      <c r="U162" s="565" t="s">
        <v>28</v>
      </c>
      <c r="V162" s="565"/>
      <c r="W162" s="477"/>
      <c r="X162" s="145" t="s">
        <v>28</v>
      </c>
      <c r="Y162" s="361"/>
      <c r="Z162" s="361"/>
      <c r="AA162" s="361"/>
      <c r="AB162" s="361"/>
      <c r="AC162" s="361"/>
      <c r="AD162" s="361"/>
      <c r="AE162" s="361"/>
      <c r="AF162" s="361"/>
      <c r="AG162" s="590"/>
      <c r="AH162" s="361"/>
      <c r="AI162" s="361"/>
      <c r="AJ162" s="361"/>
    </row>
    <row r="163" spans="1:36" ht="21.95" customHeight="1">
      <c r="A163" s="591">
        <v>8502</v>
      </c>
      <c r="B163" s="592" t="s">
        <v>646</v>
      </c>
      <c r="C163" s="121" t="s">
        <v>11</v>
      </c>
      <c r="D163" s="565"/>
      <c r="E163" s="477"/>
      <c r="F163" s="121" t="s">
        <v>11</v>
      </c>
      <c r="G163" s="565"/>
      <c r="H163" s="588"/>
      <c r="I163" s="121" t="s">
        <v>11</v>
      </c>
      <c r="J163" s="565"/>
      <c r="K163" s="588"/>
      <c r="L163" s="121" t="s">
        <v>11</v>
      </c>
      <c r="M163" s="565"/>
      <c r="N163" s="588"/>
      <c r="O163" s="121" t="s">
        <v>12</v>
      </c>
      <c r="P163" s="565"/>
      <c r="Q163" s="477"/>
      <c r="R163" s="593"/>
      <c r="S163" s="594"/>
      <c r="T163" s="588"/>
      <c r="U163" s="565"/>
      <c r="V163" s="565"/>
      <c r="W163" s="477"/>
      <c r="X163" s="476"/>
      <c r="Y163" s="483"/>
      <c r="Z163" s="483"/>
      <c r="AA163" s="483"/>
      <c r="AB163" s="483"/>
      <c r="AC163" s="483"/>
      <c r="AD163" s="483"/>
      <c r="AE163" s="483"/>
      <c r="AF163" s="483"/>
      <c r="AG163" s="484"/>
      <c r="AH163" s="361"/>
      <c r="AI163" s="361"/>
      <c r="AJ163" s="361"/>
    </row>
    <row r="164" spans="1:36" ht="21.95" customHeight="1" thickBot="1">
      <c r="A164" s="274"/>
      <c r="B164" s="516"/>
      <c r="C164" s="354"/>
      <c r="D164" s="354"/>
      <c r="E164" s="73"/>
      <c r="F164" s="354"/>
      <c r="G164" s="354"/>
      <c r="H164" s="73"/>
      <c r="I164" s="354"/>
      <c r="J164" s="354"/>
      <c r="K164" s="73"/>
      <c r="L164" s="354"/>
      <c r="M164" s="354"/>
      <c r="N164" s="73"/>
      <c r="O164" s="354"/>
      <c r="P164" s="354"/>
      <c r="Q164" s="73"/>
      <c r="R164" s="168"/>
      <c r="S164" s="354"/>
      <c r="T164" s="73"/>
      <c r="U164" s="354"/>
      <c r="V164" s="354"/>
      <c r="W164" s="73"/>
      <c r="X164" s="73"/>
      <c r="Y164" s="361"/>
      <c r="Z164" s="361"/>
      <c r="AA164" s="361"/>
      <c r="AB164" s="361"/>
      <c r="AC164" s="361"/>
      <c r="AD164" s="361"/>
      <c r="AE164" s="361"/>
      <c r="AF164" s="361"/>
      <c r="AG164" s="361"/>
      <c r="AH164" s="361"/>
      <c r="AI164" s="361"/>
    </row>
    <row r="165" spans="1:36" ht="21.95" customHeight="1" thickBot="1">
      <c r="A165" s="595"/>
      <c r="B165" s="862" t="s">
        <v>476</v>
      </c>
      <c r="C165" s="880">
        <v>1</v>
      </c>
      <c r="D165" s="863">
        <v>2</v>
      </c>
      <c r="E165" s="863">
        <v>3</v>
      </c>
      <c r="F165" s="863">
        <v>4</v>
      </c>
      <c r="G165" s="863">
        <v>5</v>
      </c>
      <c r="H165" s="863">
        <v>6</v>
      </c>
      <c r="I165" s="880">
        <v>7</v>
      </c>
      <c r="J165" s="880">
        <v>8</v>
      </c>
      <c r="K165" s="863">
        <v>9</v>
      </c>
      <c r="L165" s="863">
        <v>10</v>
      </c>
      <c r="M165" s="863">
        <v>11</v>
      </c>
      <c r="N165" s="863">
        <v>12</v>
      </c>
      <c r="O165" s="863">
        <v>13</v>
      </c>
      <c r="P165" s="880">
        <v>14</v>
      </c>
      <c r="Q165" s="880">
        <v>15</v>
      </c>
      <c r="R165" s="863">
        <v>16</v>
      </c>
      <c r="S165" s="863">
        <v>17</v>
      </c>
      <c r="T165" s="863">
        <v>18</v>
      </c>
      <c r="U165" s="863">
        <v>19</v>
      </c>
      <c r="V165" s="863">
        <v>20</v>
      </c>
      <c r="W165" s="880">
        <v>21</v>
      </c>
      <c r="X165" s="880">
        <v>22</v>
      </c>
      <c r="Y165" s="863">
        <v>23</v>
      </c>
      <c r="Z165" s="863">
        <v>24</v>
      </c>
      <c r="AA165" s="863">
        <v>25</v>
      </c>
      <c r="AB165" s="863">
        <v>26</v>
      </c>
      <c r="AC165" s="863">
        <v>27</v>
      </c>
      <c r="AD165" s="880">
        <v>28</v>
      </c>
      <c r="AE165" s="863"/>
      <c r="AF165" s="863"/>
      <c r="AG165" s="863"/>
      <c r="AH165" s="864" t="s">
        <v>477</v>
      </c>
      <c r="AI165" s="865" t="s">
        <v>478</v>
      </c>
    </row>
    <row r="166" spans="1:36" ht="21.95" customHeight="1">
      <c r="A166" s="596">
        <v>1</v>
      </c>
      <c r="B166" s="542" t="s">
        <v>516</v>
      </c>
      <c r="C166" s="768"/>
      <c r="D166" s="768" t="s">
        <v>491</v>
      </c>
      <c r="E166" s="768" t="s">
        <v>491</v>
      </c>
      <c r="F166" s="768" t="s">
        <v>491</v>
      </c>
      <c r="G166" s="768" t="s">
        <v>491</v>
      </c>
      <c r="H166" s="768" t="s">
        <v>491</v>
      </c>
      <c r="I166" s="768"/>
      <c r="J166" s="768"/>
      <c r="K166" s="768" t="s">
        <v>491</v>
      </c>
      <c r="L166" s="768" t="s">
        <v>491</v>
      </c>
      <c r="M166" s="768" t="s">
        <v>491</v>
      </c>
      <c r="N166" s="768" t="s">
        <v>491</v>
      </c>
      <c r="O166" s="768" t="s">
        <v>491</v>
      </c>
      <c r="P166" s="768"/>
      <c r="Q166" s="768"/>
      <c r="R166" s="768" t="s">
        <v>485</v>
      </c>
      <c r="S166" s="768" t="s">
        <v>485</v>
      </c>
      <c r="T166" s="768" t="s">
        <v>485</v>
      </c>
      <c r="U166" s="768" t="s">
        <v>485</v>
      </c>
      <c r="V166" s="768" t="s">
        <v>485</v>
      </c>
      <c r="W166" s="768"/>
      <c r="X166" s="768"/>
      <c r="Y166" s="768" t="s">
        <v>485</v>
      </c>
      <c r="Z166" s="768" t="s">
        <v>485</v>
      </c>
      <c r="AA166" s="768" t="s">
        <v>485</v>
      </c>
      <c r="AB166" s="768" t="s">
        <v>485</v>
      </c>
      <c r="AC166" s="768" t="s">
        <v>485</v>
      </c>
      <c r="AD166" s="768"/>
      <c r="AE166" s="768"/>
      <c r="AF166" s="768"/>
      <c r="AG166" s="768"/>
      <c r="AH166" s="892">
        <v>185</v>
      </c>
      <c r="AI166" s="893">
        <v>37</v>
      </c>
    </row>
    <row r="167" spans="1:36" ht="21.95" customHeight="1">
      <c r="A167" s="596">
        <v>2</v>
      </c>
      <c r="B167" s="153" t="s">
        <v>648</v>
      </c>
      <c r="C167" s="768"/>
      <c r="D167" s="764" t="s">
        <v>481</v>
      </c>
      <c r="E167" s="764" t="s">
        <v>481</v>
      </c>
      <c r="F167" s="764" t="s">
        <v>481</v>
      </c>
      <c r="G167" s="764" t="s">
        <v>481</v>
      </c>
      <c r="H167" s="764" t="s">
        <v>481</v>
      </c>
      <c r="I167" s="1038" t="s">
        <v>515</v>
      </c>
      <c r="J167" s="1038" t="s">
        <v>515</v>
      </c>
      <c r="K167" s="1038">
        <v>7</v>
      </c>
      <c r="L167" s="1038">
        <v>7</v>
      </c>
      <c r="M167" s="1038">
        <v>7</v>
      </c>
      <c r="N167" s="1038">
        <v>7</v>
      </c>
      <c r="O167" s="1038" t="s">
        <v>734</v>
      </c>
      <c r="P167" s="768"/>
      <c r="Q167" s="768"/>
      <c r="R167" s="768">
        <v>4</v>
      </c>
      <c r="S167" s="768" t="s">
        <v>583</v>
      </c>
      <c r="T167" s="768" t="s">
        <v>583</v>
      </c>
      <c r="U167" s="768" t="s">
        <v>583</v>
      </c>
      <c r="V167" s="768" t="s">
        <v>583</v>
      </c>
      <c r="W167" s="768" t="s">
        <v>583</v>
      </c>
      <c r="X167" s="768"/>
      <c r="Y167" s="768">
        <v>4</v>
      </c>
      <c r="Z167" s="768" t="s">
        <v>553</v>
      </c>
      <c r="AA167" s="768" t="s">
        <v>553</v>
      </c>
      <c r="AB167" s="768" t="s">
        <v>554</v>
      </c>
      <c r="AC167" s="768" t="s">
        <v>554</v>
      </c>
      <c r="AD167" s="768"/>
      <c r="AE167" s="768"/>
      <c r="AF167" s="768"/>
      <c r="AG167" s="768"/>
      <c r="AH167" s="822">
        <v>0</v>
      </c>
      <c r="AI167" s="823">
        <v>37</v>
      </c>
    </row>
    <row r="168" spans="1:36" ht="21.95" customHeight="1">
      <c r="A168" s="596">
        <v>3</v>
      </c>
      <c r="B168" s="601" t="s">
        <v>651</v>
      </c>
      <c r="C168" s="970"/>
      <c r="D168" s="768" t="s">
        <v>540</v>
      </c>
      <c r="E168" s="768" t="s">
        <v>540</v>
      </c>
      <c r="F168" s="768" t="s">
        <v>540</v>
      </c>
      <c r="G168" s="768" t="s">
        <v>540</v>
      </c>
      <c r="H168" s="768" t="s">
        <v>540</v>
      </c>
      <c r="I168" s="768"/>
      <c r="J168" s="768"/>
      <c r="K168" s="768" t="s">
        <v>540</v>
      </c>
      <c r="L168" s="768" t="s">
        <v>540</v>
      </c>
      <c r="M168" s="768" t="s">
        <v>540</v>
      </c>
      <c r="N168" s="768" t="s">
        <v>540</v>
      </c>
      <c r="O168" s="768" t="s">
        <v>540</v>
      </c>
      <c r="P168" s="768"/>
      <c r="Q168" s="768"/>
      <c r="R168" s="768" t="s">
        <v>540</v>
      </c>
      <c r="S168" s="768" t="s">
        <v>540</v>
      </c>
      <c r="T168" s="768" t="s">
        <v>540</v>
      </c>
      <c r="U168" s="768" t="s">
        <v>540</v>
      </c>
      <c r="V168" s="768" t="s">
        <v>540</v>
      </c>
      <c r="W168" s="1044" t="s">
        <v>485</v>
      </c>
      <c r="X168" s="768"/>
      <c r="Y168" s="768" t="s">
        <v>540</v>
      </c>
      <c r="Z168" s="768" t="s">
        <v>540</v>
      </c>
      <c r="AA168" s="768" t="s">
        <v>540</v>
      </c>
      <c r="AB168" s="768" t="s">
        <v>540</v>
      </c>
      <c r="AC168" s="768" t="s">
        <v>540</v>
      </c>
      <c r="AD168" s="768"/>
      <c r="AE168" s="768"/>
      <c r="AF168" s="768"/>
      <c r="AG168" s="768"/>
      <c r="AH168" s="822"/>
      <c r="AI168" s="823"/>
    </row>
    <row r="169" spans="1:36" ht="21.95" customHeight="1">
      <c r="A169" s="596">
        <v>4</v>
      </c>
      <c r="B169" s="319" t="s">
        <v>654</v>
      </c>
      <c r="C169" s="768" t="s">
        <v>515</v>
      </c>
      <c r="D169" s="768" t="s">
        <v>481</v>
      </c>
      <c r="E169" s="768" t="s">
        <v>481</v>
      </c>
      <c r="F169" s="768" t="s">
        <v>481</v>
      </c>
      <c r="G169" s="768" t="s">
        <v>481</v>
      </c>
      <c r="H169" s="768" t="s">
        <v>481</v>
      </c>
      <c r="I169" s="768" t="s">
        <v>490</v>
      </c>
      <c r="J169" s="768" t="s">
        <v>28</v>
      </c>
      <c r="K169" s="768">
        <v>4</v>
      </c>
      <c r="L169" s="768">
        <v>4</v>
      </c>
      <c r="M169" s="768">
        <v>4</v>
      </c>
      <c r="N169" s="768">
        <v>4</v>
      </c>
      <c r="O169" s="768">
        <v>4</v>
      </c>
      <c r="P169" s="768"/>
      <c r="Q169" s="768"/>
      <c r="R169" s="1038" t="s">
        <v>761</v>
      </c>
      <c r="S169" s="987">
        <v>6</v>
      </c>
      <c r="T169" s="987">
        <v>6</v>
      </c>
      <c r="U169" s="987">
        <v>6</v>
      </c>
      <c r="V169" s="987">
        <v>6</v>
      </c>
      <c r="W169" s="768" t="s">
        <v>512</v>
      </c>
      <c r="X169" s="768" t="s">
        <v>513</v>
      </c>
      <c r="Y169" s="970" t="s">
        <v>491</v>
      </c>
      <c r="Z169" s="970" t="s">
        <v>491</v>
      </c>
      <c r="AA169" s="970" t="s">
        <v>491</v>
      </c>
      <c r="AB169" s="970" t="s">
        <v>491</v>
      </c>
      <c r="AC169" s="970" t="s">
        <v>491</v>
      </c>
      <c r="AD169" s="970"/>
      <c r="AE169" s="768"/>
      <c r="AF169" s="768"/>
      <c r="AG169" s="768"/>
      <c r="AH169" s="822">
        <v>37</v>
      </c>
      <c r="AI169" s="823">
        <v>37</v>
      </c>
    </row>
    <row r="170" spans="1:36" ht="21.95" customHeight="1">
      <c r="A170" s="596">
        <v>5</v>
      </c>
      <c r="B170" s="153" t="s">
        <v>655</v>
      </c>
      <c r="C170" s="970"/>
      <c r="D170" s="970" t="s">
        <v>491</v>
      </c>
      <c r="E170" s="970" t="s">
        <v>491</v>
      </c>
      <c r="F170" s="970" t="s">
        <v>491</v>
      </c>
      <c r="G170" s="970" t="s">
        <v>491</v>
      </c>
      <c r="H170" s="970" t="s">
        <v>491</v>
      </c>
      <c r="I170" s="970"/>
      <c r="J170" s="970"/>
      <c r="K170" s="1044" t="s">
        <v>553</v>
      </c>
      <c r="L170" s="768" t="s">
        <v>553</v>
      </c>
      <c r="M170" s="768" t="s">
        <v>554</v>
      </c>
      <c r="N170" s="768" t="s">
        <v>554</v>
      </c>
      <c r="O170" s="768" t="s">
        <v>554</v>
      </c>
      <c r="P170" s="768"/>
      <c r="Q170" s="768" t="s">
        <v>514</v>
      </c>
      <c r="R170" s="1044" t="s">
        <v>481</v>
      </c>
      <c r="S170" s="1044">
        <v>5</v>
      </c>
      <c r="T170" s="768" t="s">
        <v>481</v>
      </c>
      <c r="U170" s="768" t="s">
        <v>481</v>
      </c>
      <c r="V170" s="768" t="s">
        <v>481</v>
      </c>
      <c r="W170" s="768"/>
      <c r="X170" s="768"/>
      <c r="Y170" s="768" t="s">
        <v>606</v>
      </c>
      <c r="Z170" s="768" t="s">
        <v>606</v>
      </c>
      <c r="AA170" s="768" t="s">
        <v>606</v>
      </c>
      <c r="AB170" s="768" t="s">
        <v>606</v>
      </c>
      <c r="AC170" s="768" t="s">
        <v>606</v>
      </c>
      <c r="AD170" s="768" t="s">
        <v>512</v>
      </c>
      <c r="AE170" s="768"/>
      <c r="AF170" s="768"/>
      <c r="AG170" s="768"/>
      <c r="AH170" s="824">
        <v>0</v>
      </c>
      <c r="AI170" s="825">
        <v>37</v>
      </c>
    </row>
    <row r="171" spans="1:36" ht="21.95" customHeight="1">
      <c r="A171" s="596">
        <v>6</v>
      </c>
      <c r="B171" s="793" t="s">
        <v>656</v>
      </c>
      <c r="C171" s="768"/>
      <c r="D171" s="768" t="s">
        <v>553</v>
      </c>
      <c r="E171" s="768" t="s">
        <v>553</v>
      </c>
      <c r="F171" s="768" t="s">
        <v>553</v>
      </c>
      <c r="G171" s="768" t="s">
        <v>554</v>
      </c>
      <c r="H171" s="768" t="s">
        <v>554</v>
      </c>
      <c r="I171" s="768"/>
      <c r="J171" s="768"/>
      <c r="K171" s="970" t="s">
        <v>491</v>
      </c>
      <c r="L171" s="970" t="s">
        <v>491</v>
      </c>
      <c r="M171" s="970" t="s">
        <v>491</v>
      </c>
      <c r="N171" s="970" t="s">
        <v>491</v>
      </c>
      <c r="O171" s="970" t="s">
        <v>491</v>
      </c>
      <c r="P171" s="970"/>
      <c r="Q171" s="970"/>
      <c r="R171" s="768">
        <v>8</v>
      </c>
      <c r="S171" s="768">
        <v>8</v>
      </c>
      <c r="T171" s="768">
        <v>8</v>
      </c>
      <c r="U171" s="768">
        <v>8</v>
      </c>
      <c r="V171" s="768">
        <v>8</v>
      </c>
      <c r="W171" s="768" t="s">
        <v>513</v>
      </c>
      <c r="X171" s="768" t="s">
        <v>513</v>
      </c>
      <c r="Y171" s="768" t="s">
        <v>481</v>
      </c>
      <c r="Z171" s="768" t="s">
        <v>481</v>
      </c>
      <c r="AA171" s="768" t="s">
        <v>481</v>
      </c>
      <c r="AB171" s="768" t="s">
        <v>481</v>
      </c>
      <c r="AC171" s="768" t="s">
        <v>481</v>
      </c>
      <c r="AD171" s="768"/>
      <c r="AE171" s="768"/>
      <c r="AF171" s="768"/>
      <c r="AG171" s="768"/>
      <c r="AH171" s="826">
        <v>37</v>
      </c>
      <c r="AI171" s="827">
        <v>37</v>
      </c>
    </row>
    <row r="172" spans="1:36" ht="21.95" customHeight="1">
      <c r="A172" s="596">
        <v>7</v>
      </c>
      <c r="B172" s="601" t="s">
        <v>804</v>
      </c>
      <c r="C172" s="768"/>
      <c r="D172" s="764">
        <v>6</v>
      </c>
      <c r="E172" s="764">
        <v>6</v>
      </c>
      <c r="F172" s="764">
        <v>6</v>
      </c>
      <c r="G172" s="1000">
        <v>6</v>
      </c>
      <c r="H172" s="1000" t="s">
        <v>761</v>
      </c>
      <c r="I172" s="987" t="s">
        <v>512</v>
      </c>
      <c r="J172" s="987" t="s">
        <v>513</v>
      </c>
      <c r="K172" s="768" t="s">
        <v>481</v>
      </c>
      <c r="L172" s="768" t="s">
        <v>481</v>
      </c>
      <c r="M172" s="768" t="s">
        <v>481</v>
      </c>
      <c r="N172" s="768" t="s">
        <v>481</v>
      </c>
      <c r="O172" s="768" t="s">
        <v>481</v>
      </c>
      <c r="P172" s="768"/>
      <c r="Q172" s="768"/>
      <c r="R172" s="768" t="s">
        <v>598</v>
      </c>
      <c r="S172" s="768">
        <v>1</v>
      </c>
      <c r="T172" s="768">
        <v>1</v>
      </c>
      <c r="U172" s="768">
        <v>1</v>
      </c>
      <c r="V172" s="768">
        <v>4</v>
      </c>
      <c r="W172" s="768"/>
      <c r="X172" s="768"/>
      <c r="Y172" s="768">
        <v>11</v>
      </c>
      <c r="Z172" s="768">
        <v>11</v>
      </c>
      <c r="AA172" s="768">
        <v>11</v>
      </c>
      <c r="AB172" s="768">
        <v>11</v>
      </c>
      <c r="AC172" s="768">
        <v>11</v>
      </c>
      <c r="AD172" s="768" t="s">
        <v>517</v>
      </c>
      <c r="AE172" s="768"/>
      <c r="AF172" s="768"/>
      <c r="AG172" s="768"/>
      <c r="AH172" s="826">
        <v>148</v>
      </c>
      <c r="AI172" s="827">
        <v>37</v>
      </c>
    </row>
    <row r="173" spans="1:36" ht="21.95" customHeight="1">
      <c r="A173" s="596">
        <v>8</v>
      </c>
      <c r="B173" s="1153" t="s">
        <v>805</v>
      </c>
      <c r="C173" s="764" t="s">
        <v>514</v>
      </c>
      <c r="D173" s="768" t="s">
        <v>481</v>
      </c>
      <c r="E173" s="768" t="s">
        <v>481</v>
      </c>
      <c r="F173" s="768">
        <v>7</v>
      </c>
      <c r="G173" s="768">
        <v>7</v>
      </c>
      <c r="H173" s="768">
        <v>7</v>
      </c>
      <c r="I173" s="768" t="s">
        <v>512</v>
      </c>
      <c r="J173" s="768"/>
      <c r="K173" s="768" t="s">
        <v>481</v>
      </c>
      <c r="L173" s="768" t="s">
        <v>481</v>
      </c>
      <c r="M173" s="768">
        <v>5</v>
      </c>
      <c r="N173" s="768" t="s">
        <v>481</v>
      </c>
      <c r="O173" s="768" t="s">
        <v>481</v>
      </c>
      <c r="P173" s="768"/>
      <c r="Q173" s="768"/>
      <c r="R173" s="768">
        <v>11</v>
      </c>
      <c r="S173" s="768">
        <v>11</v>
      </c>
      <c r="T173" s="768">
        <v>11</v>
      </c>
      <c r="U173" s="768">
        <v>11</v>
      </c>
      <c r="V173" s="768">
        <v>11</v>
      </c>
      <c r="W173" s="768" t="s">
        <v>517</v>
      </c>
      <c r="X173" s="768" t="s">
        <v>517</v>
      </c>
      <c r="Y173" s="768" t="s">
        <v>481</v>
      </c>
      <c r="Z173" s="768" t="s">
        <v>481</v>
      </c>
      <c r="AA173" s="768" t="s">
        <v>481</v>
      </c>
      <c r="AB173" s="768" t="s">
        <v>481</v>
      </c>
      <c r="AC173" s="768" t="s">
        <v>481</v>
      </c>
      <c r="AD173" s="768"/>
      <c r="AE173" s="768"/>
      <c r="AF173" s="768"/>
      <c r="AG173" s="769"/>
      <c r="AH173" s="826">
        <v>62</v>
      </c>
      <c r="AI173" s="827">
        <v>37</v>
      </c>
    </row>
    <row r="174" spans="1:36" ht="21.95" customHeight="1">
      <c r="A174" s="596">
        <v>9</v>
      </c>
      <c r="B174" s="1153"/>
      <c r="C174" s="898"/>
      <c r="D174" s="768"/>
      <c r="E174" s="768"/>
      <c r="F174" s="768"/>
      <c r="G174" s="768"/>
      <c r="H174" s="768"/>
      <c r="I174" s="768"/>
      <c r="J174" s="768"/>
      <c r="K174" s="768"/>
      <c r="L174" s="768"/>
      <c r="M174" s="768"/>
      <c r="N174" s="768"/>
      <c r="O174" s="768"/>
      <c r="P174" s="768"/>
      <c r="Q174" s="768"/>
      <c r="R174" s="768"/>
      <c r="S174" s="768"/>
      <c r="T174" s="768"/>
      <c r="U174" s="768"/>
      <c r="V174" s="768"/>
      <c r="W174" s="768"/>
      <c r="X174" s="768"/>
      <c r="Y174" s="768"/>
      <c r="Z174" s="768"/>
      <c r="AA174" s="768"/>
      <c r="AB174" s="768"/>
      <c r="AC174" s="768"/>
      <c r="AD174" s="768"/>
      <c r="AE174" s="768"/>
      <c r="AF174" s="768"/>
      <c r="AG174" s="769"/>
      <c r="AH174" s="826"/>
      <c r="AI174" s="827"/>
    </row>
    <row r="175" spans="1:36" ht="21.95" customHeight="1">
      <c r="A175" s="596">
        <v>10</v>
      </c>
      <c r="B175" s="153"/>
      <c r="C175" s="766"/>
      <c r="D175" s="766"/>
      <c r="E175" s="766"/>
      <c r="F175" s="766"/>
      <c r="G175" s="766"/>
      <c r="H175" s="766"/>
      <c r="I175" s="766"/>
      <c r="J175" s="766"/>
      <c r="K175" s="766"/>
      <c r="L175" s="766"/>
      <c r="M175" s="766"/>
      <c r="N175" s="766"/>
      <c r="O175" s="766"/>
      <c r="P175" s="766"/>
      <c r="Q175" s="766"/>
      <c r="R175" s="766"/>
      <c r="S175" s="766"/>
      <c r="T175" s="766"/>
      <c r="U175" s="766"/>
      <c r="V175" s="766"/>
      <c r="W175" s="768"/>
      <c r="X175" s="766"/>
      <c r="Y175" s="766"/>
      <c r="Z175" s="766"/>
      <c r="AA175" s="766"/>
      <c r="AB175" s="766"/>
      <c r="AC175" s="766"/>
      <c r="AD175" s="766"/>
      <c r="AE175" s="766"/>
      <c r="AF175" s="766"/>
      <c r="AG175" s="783"/>
      <c r="AH175" s="826"/>
      <c r="AI175" s="827"/>
    </row>
    <row r="176" spans="1:36" ht="21.95" customHeight="1">
      <c r="A176" s="596">
        <v>11</v>
      </c>
      <c r="B176" s="153"/>
      <c r="C176" s="766"/>
      <c r="D176" s="766"/>
      <c r="E176" s="766"/>
      <c r="F176" s="766"/>
      <c r="G176" s="766"/>
      <c r="H176" s="766"/>
      <c r="I176" s="766"/>
      <c r="J176" s="766"/>
      <c r="K176" s="766"/>
      <c r="L176" s="766"/>
      <c r="M176" s="766"/>
      <c r="N176" s="766"/>
      <c r="O176" s="766"/>
      <c r="P176" s="766"/>
      <c r="Q176" s="766"/>
      <c r="R176" s="766"/>
      <c r="S176" s="766"/>
      <c r="T176" s="766"/>
      <c r="U176" s="766"/>
      <c r="V176" s="766"/>
      <c r="W176" s="768"/>
      <c r="X176" s="766"/>
      <c r="Y176" s="766"/>
      <c r="Z176" s="766"/>
      <c r="AA176" s="766"/>
      <c r="AB176" s="766"/>
      <c r="AC176" s="766"/>
      <c r="AD176" s="766"/>
      <c r="AE176" s="766"/>
      <c r="AF176" s="766"/>
      <c r="AG176" s="783"/>
      <c r="AH176" s="826"/>
      <c r="AI176" s="827"/>
    </row>
    <row r="177" spans="1:35" ht="21.95" customHeight="1" thickBot="1">
      <c r="A177" s="894">
        <v>12</v>
      </c>
      <c r="B177" s="895"/>
      <c r="C177" s="863"/>
      <c r="D177" s="863"/>
      <c r="E177" s="863"/>
      <c r="F177" s="863"/>
      <c r="G177" s="863"/>
      <c r="H177" s="863"/>
      <c r="I177" s="863"/>
      <c r="J177" s="863"/>
      <c r="K177" s="863"/>
      <c r="L177" s="863"/>
      <c r="M177" s="863"/>
      <c r="N177" s="863"/>
      <c r="O177" s="863"/>
      <c r="P177" s="863"/>
      <c r="Q177" s="863"/>
      <c r="R177" s="863"/>
      <c r="S177" s="863"/>
      <c r="T177" s="863"/>
      <c r="U177" s="863"/>
      <c r="V177" s="863"/>
      <c r="W177" s="867"/>
      <c r="X177" s="863"/>
      <c r="Y177" s="863"/>
      <c r="Z177" s="863"/>
      <c r="AA177" s="863"/>
      <c r="AB177" s="863"/>
      <c r="AC177" s="863"/>
      <c r="AD177" s="863"/>
      <c r="AE177" s="863"/>
      <c r="AF177" s="863"/>
      <c r="AG177" s="896"/>
      <c r="AH177" s="828"/>
      <c r="AI177" s="829"/>
    </row>
    <row r="178" spans="1:35" ht="21" customHeight="1">
      <c r="A178" s="312" t="s">
        <v>659</v>
      </c>
    </row>
    <row r="179" spans="1:35" ht="21" customHeight="1" thickBot="1">
      <c r="A179" s="861"/>
      <c r="B179" s="862" t="s">
        <v>476</v>
      </c>
      <c r="C179" s="880">
        <v>1</v>
      </c>
      <c r="D179" s="863">
        <v>2</v>
      </c>
      <c r="E179" s="863">
        <v>3</v>
      </c>
      <c r="F179" s="863">
        <v>4</v>
      </c>
      <c r="G179" s="863">
        <v>5</v>
      </c>
      <c r="H179" s="863">
        <v>6</v>
      </c>
      <c r="I179" s="880">
        <v>7</v>
      </c>
      <c r="J179" s="880">
        <v>8</v>
      </c>
      <c r="K179" s="863">
        <v>9</v>
      </c>
      <c r="L179" s="863">
        <v>10</v>
      </c>
      <c r="M179" s="863">
        <v>11</v>
      </c>
      <c r="N179" s="863">
        <v>12</v>
      </c>
      <c r="O179" s="863">
        <v>13</v>
      </c>
      <c r="P179" s="880">
        <v>14</v>
      </c>
      <c r="Q179" s="880">
        <v>15</v>
      </c>
      <c r="R179" s="863">
        <v>16</v>
      </c>
      <c r="S179" s="863">
        <v>17</v>
      </c>
      <c r="T179" s="863">
        <v>18</v>
      </c>
      <c r="U179" s="863">
        <v>19</v>
      </c>
      <c r="V179" s="863">
        <v>20</v>
      </c>
      <c r="W179" s="880">
        <v>21</v>
      </c>
      <c r="X179" s="880">
        <v>22</v>
      </c>
      <c r="Y179" s="863">
        <v>23</v>
      </c>
      <c r="Z179" s="863">
        <v>24</v>
      </c>
      <c r="AA179" s="863">
        <v>25</v>
      </c>
      <c r="AB179" s="863">
        <v>26</v>
      </c>
      <c r="AC179" s="863">
        <v>27</v>
      </c>
      <c r="AD179" s="880">
        <v>28</v>
      </c>
      <c r="AE179" s="863"/>
      <c r="AF179" s="863"/>
      <c r="AG179" s="863"/>
      <c r="AH179" s="600"/>
    </row>
    <row r="180" spans="1:35" ht="21" customHeight="1">
      <c r="A180" s="897">
        <v>1</v>
      </c>
      <c r="B180" s="859" t="s">
        <v>768</v>
      </c>
      <c r="C180" s="898" t="s">
        <v>28</v>
      </c>
      <c r="D180" s="898">
        <v>9</v>
      </c>
      <c r="E180" s="898">
        <v>9</v>
      </c>
      <c r="F180" s="898">
        <v>9</v>
      </c>
      <c r="G180" s="898">
        <v>9</v>
      </c>
      <c r="H180" s="898">
        <v>9</v>
      </c>
      <c r="I180" s="898" t="s">
        <v>519</v>
      </c>
      <c r="J180" s="898" t="s">
        <v>514</v>
      </c>
      <c r="K180" s="898" t="s">
        <v>481</v>
      </c>
      <c r="L180" s="898" t="s">
        <v>481</v>
      </c>
      <c r="M180" s="898" t="s">
        <v>481</v>
      </c>
      <c r="N180" s="898" t="s">
        <v>481</v>
      </c>
      <c r="O180" s="898" t="s">
        <v>481</v>
      </c>
      <c r="P180" s="898"/>
      <c r="Q180" s="898"/>
      <c r="R180" s="768">
        <v>3</v>
      </c>
      <c r="S180" s="987">
        <v>3</v>
      </c>
      <c r="T180" s="987">
        <v>3</v>
      </c>
      <c r="U180" s="987">
        <v>3</v>
      </c>
      <c r="V180" s="987">
        <v>3</v>
      </c>
      <c r="W180" s="898" t="s">
        <v>28</v>
      </c>
      <c r="X180" s="898" t="s">
        <v>28</v>
      </c>
      <c r="Y180" s="768">
        <v>1</v>
      </c>
      <c r="Z180" s="768">
        <v>1</v>
      </c>
      <c r="AA180" s="768">
        <v>1</v>
      </c>
      <c r="AB180" s="768">
        <v>1</v>
      </c>
      <c r="AC180" s="768">
        <v>1</v>
      </c>
      <c r="AD180" s="898"/>
      <c r="AE180" s="898"/>
      <c r="AF180" s="898"/>
      <c r="AG180" s="898"/>
      <c r="AH180" s="600"/>
    </row>
    <row r="181" spans="1:35" ht="21" customHeight="1">
      <c r="A181" s="552">
        <v>2</v>
      </c>
      <c r="B181" s="601"/>
      <c r="C181" s="766"/>
      <c r="D181" s="766"/>
      <c r="E181" s="766"/>
      <c r="F181" s="766"/>
      <c r="G181" s="766"/>
      <c r="H181" s="766"/>
      <c r="I181" s="766"/>
      <c r="J181" s="766"/>
      <c r="K181" s="766"/>
      <c r="L181" s="766"/>
      <c r="M181" s="766"/>
      <c r="N181" s="766"/>
      <c r="O181" s="766"/>
      <c r="P181" s="766"/>
      <c r="Q181" s="766"/>
      <c r="R181" s="766"/>
      <c r="S181" s="766"/>
      <c r="T181" s="766"/>
      <c r="U181" s="766"/>
      <c r="V181" s="766"/>
      <c r="W181" s="766"/>
      <c r="X181" s="766"/>
      <c r="Y181" s="766"/>
      <c r="Z181" s="766"/>
      <c r="AA181" s="766"/>
      <c r="AB181" s="766"/>
      <c r="AC181" s="766"/>
      <c r="AD181" s="766"/>
      <c r="AE181" s="766"/>
      <c r="AF181" s="766"/>
      <c r="AG181" s="172"/>
      <c r="AH181" s="600"/>
    </row>
    <row r="182" spans="1:35" ht="21" customHeight="1">
      <c r="A182" s="552">
        <v>3</v>
      </c>
      <c r="B182" s="542"/>
      <c r="C182" s="766"/>
      <c r="D182" s="766"/>
      <c r="E182" s="766"/>
      <c r="F182" s="766"/>
      <c r="G182" s="766"/>
      <c r="H182" s="766"/>
      <c r="I182" s="766"/>
      <c r="J182" s="766"/>
      <c r="K182" s="766"/>
      <c r="L182" s="766"/>
      <c r="M182" s="766"/>
      <c r="N182" s="766"/>
      <c r="O182" s="766"/>
      <c r="P182" s="766"/>
      <c r="Q182" s="766"/>
      <c r="R182" s="766"/>
      <c r="S182" s="766"/>
      <c r="T182" s="766"/>
      <c r="U182" s="766"/>
      <c r="V182" s="766"/>
      <c r="W182" s="766"/>
      <c r="X182" s="766"/>
      <c r="Y182" s="766"/>
      <c r="Z182" s="766"/>
      <c r="AA182" s="766"/>
      <c r="AB182" s="766"/>
      <c r="AC182" s="766"/>
      <c r="AD182" s="766"/>
      <c r="AE182" s="766"/>
      <c r="AF182" s="766"/>
      <c r="AG182" s="172"/>
      <c r="AH182" s="600"/>
    </row>
    <row r="183" spans="1:35" ht="21" customHeight="1">
      <c r="A183" s="552">
        <v>4</v>
      </c>
      <c r="B183" s="542"/>
      <c r="C183" s="766"/>
      <c r="D183" s="766"/>
      <c r="E183" s="766"/>
      <c r="F183" s="766"/>
      <c r="G183" s="766"/>
      <c r="H183" s="766"/>
      <c r="I183" s="766"/>
      <c r="J183" s="766"/>
      <c r="K183" s="766"/>
      <c r="L183" s="766"/>
      <c r="M183" s="766"/>
      <c r="N183" s="766"/>
      <c r="O183" s="766"/>
      <c r="P183" s="766"/>
      <c r="Q183" s="766"/>
      <c r="R183" s="766"/>
      <c r="S183" s="766"/>
      <c r="T183" s="766"/>
      <c r="U183" s="766"/>
      <c r="V183" s="766"/>
      <c r="W183" s="766"/>
      <c r="X183" s="766"/>
      <c r="Y183" s="766"/>
      <c r="Z183" s="766"/>
      <c r="AA183" s="766"/>
      <c r="AB183" s="766"/>
      <c r="AC183" s="766"/>
      <c r="AD183" s="766"/>
      <c r="AE183" s="766"/>
      <c r="AF183" s="766"/>
      <c r="AG183" s="172"/>
      <c r="AH183" s="600"/>
    </row>
    <row r="184" spans="1:35" ht="21" customHeight="1" thickBot="1">
      <c r="A184" s="861">
        <v>5</v>
      </c>
      <c r="B184" s="874"/>
      <c r="C184" s="863"/>
      <c r="D184" s="863"/>
      <c r="E184" s="863"/>
      <c r="F184" s="863"/>
      <c r="G184" s="863"/>
      <c r="H184" s="863"/>
      <c r="I184" s="863"/>
      <c r="J184" s="863"/>
      <c r="K184" s="863"/>
      <c r="L184" s="863"/>
      <c r="M184" s="863"/>
      <c r="N184" s="863"/>
      <c r="O184" s="863"/>
      <c r="P184" s="863"/>
      <c r="Q184" s="863"/>
      <c r="R184" s="863"/>
      <c r="S184" s="863"/>
      <c r="T184" s="863"/>
      <c r="U184" s="863"/>
      <c r="V184" s="863"/>
      <c r="W184" s="863"/>
      <c r="X184" s="863"/>
      <c r="Y184" s="863"/>
      <c r="Z184" s="863"/>
      <c r="AA184" s="863"/>
      <c r="AB184" s="863"/>
      <c r="AC184" s="863"/>
      <c r="AD184" s="863"/>
      <c r="AE184" s="863"/>
      <c r="AF184" s="863"/>
      <c r="AG184" s="899"/>
      <c r="AH184" s="600"/>
    </row>
    <row r="185" spans="1:35" ht="21" customHeight="1">
      <c r="A185" s="785"/>
      <c r="B185" s="354"/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  <c r="M185" s="139"/>
      <c r="N185" s="786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600"/>
    </row>
    <row r="186" spans="1:35" ht="21.95" customHeight="1" thickBot="1">
      <c r="A186" s="1" t="s">
        <v>663</v>
      </c>
      <c r="B186" s="274"/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</row>
    <row r="187" spans="1:35" ht="21.95" customHeight="1">
      <c r="A187" s="1"/>
      <c r="B187" s="796" t="s">
        <v>664</v>
      </c>
      <c r="C187" s="51" t="s">
        <v>2</v>
      </c>
      <c r="D187" s="51"/>
      <c r="E187" s="51"/>
      <c r="F187" s="51"/>
      <c r="G187" s="798" t="s">
        <v>3</v>
      </c>
      <c r="H187" s="51"/>
      <c r="I187" s="51"/>
      <c r="J187" s="51"/>
      <c r="K187" s="798" t="s">
        <v>4</v>
      </c>
      <c r="L187" s="51"/>
      <c r="M187" s="51"/>
      <c r="N187" s="51"/>
      <c r="O187" s="798" t="s">
        <v>5</v>
      </c>
      <c r="P187" s="51"/>
      <c r="Q187" s="51"/>
      <c r="R187" s="51"/>
      <c r="S187" s="798" t="s">
        <v>6</v>
      </c>
      <c r="T187" s="51"/>
      <c r="U187" s="51"/>
      <c r="V187" s="51"/>
      <c r="W187" s="51"/>
      <c r="X187" s="802" t="s">
        <v>7</v>
      </c>
      <c r="Y187" s="51"/>
      <c r="Z187" s="548"/>
      <c r="AA187" s="7"/>
      <c r="AB187" s="522" t="s">
        <v>8</v>
      </c>
      <c r="AC187" s="51"/>
      <c r="AD187" s="51"/>
      <c r="AE187" s="425" t="s">
        <v>10</v>
      </c>
      <c r="AF187" s="51"/>
      <c r="AG187" s="51"/>
      <c r="AH187" s="51"/>
      <c r="AI187" s="523"/>
    </row>
    <row r="188" spans="1:35" ht="21.95" customHeight="1">
      <c r="A188" s="1"/>
      <c r="B188" s="796">
        <v>3701</v>
      </c>
      <c r="C188" s="55" t="s">
        <v>665</v>
      </c>
      <c r="D188" s="55"/>
      <c r="E188" s="55"/>
      <c r="F188" s="55"/>
      <c r="G188" s="799" t="s">
        <v>124</v>
      </c>
      <c r="H188" s="55"/>
      <c r="I188" s="55"/>
      <c r="J188" s="55"/>
      <c r="K188" s="799" t="s">
        <v>124</v>
      </c>
      <c r="L188" s="55"/>
      <c r="M188" s="55"/>
      <c r="N188" s="55"/>
      <c r="O188" s="799" t="s">
        <v>124</v>
      </c>
      <c r="P188" s="55"/>
      <c r="Q188" s="55"/>
      <c r="R188" s="55"/>
      <c r="S188" s="799" t="s">
        <v>125</v>
      </c>
      <c r="T188" s="55"/>
      <c r="U188" s="55"/>
      <c r="V188" s="55"/>
      <c r="W188" s="55"/>
      <c r="X188" s="803"/>
      <c r="Y188" s="55"/>
      <c r="Z188" s="602"/>
      <c r="AA188" s="14"/>
      <c r="AB188" s="603"/>
      <c r="AC188" s="55"/>
      <c r="AD188" s="55"/>
      <c r="AE188" s="604"/>
      <c r="AF188" s="55"/>
      <c r="AG188" s="55"/>
      <c r="AH188" s="55"/>
      <c r="AI188" s="605"/>
    </row>
    <row r="189" spans="1:35" ht="21.95" customHeight="1">
      <c r="B189" s="796">
        <v>3700</v>
      </c>
      <c r="C189" s="157" t="s">
        <v>535</v>
      </c>
      <c r="D189" s="157"/>
      <c r="E189" s="157"/>
      <c r="F189" s="157"/>
      <c r="G189" s="712" t="s">
        <v>535</v>
      </c>
      <c r="H189" s="157"/>
      <c r="I189" s="157"/>
      <c r="J189" s="157"/>
      <c r="K189" s="712" t="s">
        <v>535</v>
      </c>
      <c r="L189" s="157"/>
      <c r="M189" s="157"/>
      <c r="N189" s="157"/>
      <c r="O189" s="712" t="s">
        <v>535</v>
      </c>
      <c r="P189" s="157"/>
      <c r="Q189" s="157"/>
      <c r="R189" s="157"/>
      <c r="S189" s="712" t="s">
        <v>116</v>
      </c>
      <c r="T189" s="157"/>
      <c r="U189" s="157"/>
      <c r="V189" s="157"/>
      <c r="W189" s="157"/>
      <c r="X189" s="712"/>
      <c r="Y189" s="157"/>
      <c r="Z189" s="564"/>
      <c r="AA189" s="563"/>
      <c r="AB189" s="157"/>
      <c r="AC189" s="157"/>
      <c r="AD189" s="565"/>
      <c r="AE189" s="607"/>
      <c r="AF189" s="157"/>
      <c r="AG189" s="157" t="s">
        <v>28</v>
      </c>
      <c r="AH189" s="565"/>
      <c r="AI189" s="490"/>
    </row>
    <row r="190" spans="1:35" ht="21.95" customHeight="1">
      <c r="A190" s="1"/>
      <c r="B190" s="796">
        <v>8514</v>
      </c>
      <c r="C190" s="157" t="s">
        <v>124</v>
      </c>
      <c r="D190" s="157"/>
      <c r="E190" s="157"/>
      <c r="F190" s="157"/>
      <c r="G190" s="712" t="s">
        <v>124</v>
      </c>
      <c r="H190" s="157"/>
      <c r="I190" s="157"/>
      <c r="J190" s="157"/>
      <c r="K190" s="712" t="s">
        <v>124</v>
      </c>
      <c r="L190" s="157"/>
      <c r="M190" s="157"/>
      <c r="N190" s="157"/>
      <c r="O190" s="712" t="s">
        <v>124</v>
      </c>
      <c r="P190" s="157"/>
      <c r="Q190" s="157"/>
      <c r="R190" s="157"/>
      <c r="S190" s="712" t="s">
        <v>666</v>
      </c>
      <c r="T190" s="157"/>
      <c r="U190" s="157"/>
      <c r="V190" s="157"/>
      <c r="W190" s="157"/>
      <c r="X190" s="712"/>
      <c r="Y190" s="157"/>
      <c r="Z190" s="564"/>
      <c r="AA190" s="121"/>
      <c r="AB190" s="157"/>
      <c r="AC190" s="157"/>
      <c r="AD190" s="565"/>
      <c r="AE190" s="121"/>
      <c r="AF190" s="157"/>
      <c r="AG190" s="157"/>
      <c r="AH190" s="565"/>
      <c r="AI190" s="490"/>
    </row>
    <row r="191" spans="1:35" ht="21.95" customHeight="1">
      <c r="A191" s="1"/>
      <c r="B191" s="796">
        <v>8500</v>
      </c>
      <c r="C191" s="55" t="s">
        <v>11</v>
      </c>
      <c r="D191" s="55"/>
      <c r="E191" s="55"/>
      <c r="F191" s="55"/>
      <c r="G191" s="799" t="s">
        <v>11</v>
      </c>
      <c r="H191" s="55"/>
      <c r="I191" s="55"/>
      <c r="J191" s="55"/>
      <c r="K191" s="799" t="s">
        <v>11</v>
      </c>
      <c r="L191" s="55"/>
      <c r="M191" s="55"/>
      <c r="N191" s="55"/>
      <c r="O191" s="799" t="s">
        <v>11</v>
      </c>
      <c r="P191" s="55"/>
      <c r="Q191" s="55"/>
      <c r="R191" s="55"/>
      <c r="S191" s="799" t="s">
        <v>12</v>
      </c>
      <c r="T191" s="55"/>
      <c r="U191" s="55"/>
      <c r="V191" s="55"/>
      <c r="W191" s="55"/>
      <c r="X191" s="799"/>
      <c r="Y191" s="55"/>
      <c r="Z191" s="609"/>
      <c r="AA191" s="608"/>
      <c r="AB191" s="55"/>
      <c r="AC191" s="55"/>
      <c r="AD191" s="609"/>
      <c r="AE191" s="608"/>
      <c r="AF191" s="55"/>
      <c r="AG191" s="55"/>
      <c r="AH191" s="594"/>
      <c r="AI191" s="605"/>
    </row>
    <row r="192" spans="1:35" ht="21.95" customHeight="1">
      <c r="A192" s="1"/>
      <c r="B192" s="796">
        <v>8514</v>
      </c>
      <c r="C192" s="610" t="s">
        <v>124</v>
      </c>
      <c r="D192" s="610"/>
      <c r="E192" s="610"/>
      <c r="F192" s="610"/>
      <c r="G192" s="800" t="s">
        <v>124</v>
      </c>
      <c r="H192" s="610"/>
      <c r="I192" s="610"/>
      <c r="J192" s="610"/>
      <c r="K192" s="800" t="s">
        <v>124</v>
      </c>
      <c r="L192" s="610"/>
      <c r="M192" s="610"/>
      <c r="N192" s="610"/>
      <c r="O192" s="800" t="s">
        <v>124</v>
      </c>
      <c r="P192" s="610"/>
      <c r="Q192" s="610"/>
      <c r="R192" s="610"/>
      <c r="S192" s="800" t="s">
        <v>666</v>
      </c>
      <c r="T192" s="610"/>
      <c r="U192" s="610"/>
      <c r="V192" s="610"/>
      <c r="W192" s="610"/>
      <c r="X192" s="803"/>
      <c r="Y192" s="55"/>
      <c r="Z192" s="602"/>
      <c r="AA192" s="14"/>
      <c r="AB192" s="603"/>
      <c r="AC192" s="55"/>
      <c r="AD192" s="55"/>
      <c r="AE192" s="604"/>
      <c r="AF192" s="55"/>
      <c r="AG192" s="55"/>
      <c r="AH192" s="55"/>
      <c r="AI192" s="605"/>
    </row>
    <row r="193" spans="1:35" ht="21.95" customHeight="1" thickBot="1">
      <c r="A193" s="1"/>
      <c r="B193" s="797" t="s">
        <v>667</v>
      </c>
      <c r="C193" s="53" t="s">
        <v>668</v>
      </c>
      <c r="D193" s="53"/>
      <c r="E193" s="53"/>
      <c r="F193" s="53"/>
      <c r="G193" s="801" t="s">
        <v>668</v>
      </c>
      <c r="H193" s="53"/>
      <c r="I193" s="53"/>
      <c r="J193" s="53"/>
      <c r="K193" s="53" t="s">
        <v>668</v>
      </c>
      <c r="L193" s="53"/>
      <c r="M193" s="53"/>
      <c r="N193" s="53"/>
      <c r="O193" s="801" t="s">
        <v>668</v>
      </c>
      <c r="P193" s="53"/>
      <c r="Q193" s="53"/>
      <c r="R193" s="53"/>
      <c r="S193" s="801" t="s">
        <v>669</v>
      </c>
      <c r="T193" s="53"/>
      <c r="U193" s="53"/>
      <c r="V193" s="53"/>
      <c r="W193" s="53"/>
      <c r="X193" s="801"/>
      <c r="Y193" s="53"/>
      <c r="Z193" s="571"/>
      <c r="AA193" s="570"/>
      <c r="AB193" s="53"/>
      <c r="AC193" s="53"/>
      <c r="AD193" s="573"/>
      <c r="AE193" s="612"/>
      <c r="AF193" s="53"/>
      <c r="AG193" s="53" t="s">
        <v>28</v>
      </c>
      <c r="AH193" s="573"/>
      <c r="AI193" s="536"/>
    </row>
    <row r="194" spans="1:35" ht="21.95" customHeight="1">
      <c r="A194" s="1"/>
      <c r="B194" s="72"/>
      <c r="C194" s="312"/>
      <c r="F194" s="354"/>
      <c r="G194" s="312"/>
      <c r="J194" s="354"/>
      <c r="K194" s="312"/>
      <c r="N194" s="354"/>
      <c r="O194" s="312"/>
      <c r="R194" s="354"/>
      <c r="S194" s="312"/>
      <c r="V194" s="354"/>
      <c r="W194" s="354"/>
      <c r="Z194" s="354"/>
      <c r="AA194" s="354"/>
      <c r="AD194" s="354"/>
      <c r="AE194" s="354"/>
      <c r="AH194" s="354"/>
    </row>
    <row r="195" spans="1:35" ht="21.95" customHeight="1" thickBot="1">
      <c r="A195" s="1" t="s">
        <v>785</v>
      </c>
      <c r="B195" s="72"/>
      <c r="C195" s="312"/>
      <c r="F195" s="354"/>
      <c r="G195" s="312"/>
      <c r="J195" s="354"/>
      <c r="K195" s="312"/>
      <c r="N195" s="354"/>
      <c r="O195" s="312"/>
      <c r="R195" s="354"/>
      <c r="S195" s="312"/>
      <c r="V195" s="354"/>
      <c r="W195" s="354"/>
      <c r="Z195" s="354"/>
      <c r="AA195" s="354"/>
      <c r="AD195" s="354"/>
      <c r="AE195" s="354"/>
      <c r="AH195" s="354"/>
    </row>
    <row r="196" spans="1:35" ht="21.95" customHeight="1" thickBot="1">
      <c r="A196" s="861"/>
      <c r="B196" s="862" t="s">
        <v>476</v>
      </c>
      <c r="C196" s="880">
        <v>1</v>
      </c>
      <c r="D196" s="863">
        <v>2</v>
      </c>
      <c r="E196" s="863">
        <v>3</v>
      </c>
      <c r="F196" s="863">
        <v>4</v>
      </c>
      <c r="G196" s="863">
        <v>5</v>
      </c>
      <c r="H196" s="863">
        <v>6</v>
      </c>
      <c r="I196" s="880">
        <v>7</v>
      </c>
      <c r="J196" s="880">
        <v>8</v>
      </c>
      <c r="K196" s="863">
        <v>9</v>
      </c>
      <c r="L196" s="863">
        <v>10</v>
      </c>
      <c r="M196" s="863">
        <v>11</v>
      </c>
      <c r="N196" s="863">
        <v>12</v>
      </c>
      <c r="O196" s="863">
        <v>13</v>
      </c>
      <c r="P196" s="880">
        <v>14</v>
      </c>
      <c r="Q196" s="880">
        <v>15</v>
      </c>
      <c r="R196" s="863">
        <v>16</v>
      </c>
      <c r="S196" s="863">
        <v>17</v>
      </c>
      <c r="T196" s="863">
        <v>18</v>
      </c>
      <c r="U196" s="863">
        <v>19</v>
      </c>
      <c r="V196" s="863">
        <v>20</v>
      </c>
      <c r="W196" s="880">
        <v>21</v>
      </c>
      <c r="X196" s="880">
        <v>22</v>
      </c>
      <c r="Y196" s="863">
        <v>23</v>
      </c>
      <c r="Z196" s="863">
        <v>24</v>
      </c>
      <c r="AA196" s="863">
        <v>25</v>
      </c>
      <c r="AB196" s="863">
        <v>26</v>
      </c>
      <c r="AC196" s="863">
        <v>27</v>
      </c>
      <c r="AD196" s="880">
        <v>28</v>
      </c>
      <c r="AE196" s="863"/>
      <c r="AF196" s="863"/>
      <c r="AG196" s="943"/>
      <c r="AH196" s="864" t="s">
        <v>477</v>
      </c>
      <c r="AI196" s="865" t="s">
        <v>478</v>
      </c>
    </row>
    <row r="197" spans="1:35" ht="21.95" customHeight="1">
      <c r="A197" s="897"/>
      <c r="B197" s="900" t="s">
        <v>671</v>
      </c>
      <c r="C197" s="955"/>
      <c r="D197" s="955" t="s">
        <v>491</v>
      </c>
      <c r="E197" s="955" t="s">
        <v>491</v>
      </c>
      <c r="F197" s="955" t="s">
        <v>491</v>
      </c>
      <c r="G197" s="955" t="s">
        <v>491</v>
      </c>
      <c r="H197" s="955" t="s">
        <v>491</v>
      </c>
      <c r="I197" s="955"/>
      <c r="J197" s="955"/>
      <c r="K197" s="955" t="s">
        <v>491</v>
      </c>
      <c r="L197" s="955" t="s">
        <v>491</v>
      </c>
      <c r="M197" s="955" t="s">
        <v>491</v>
      </c>
      <c r="N197" s="955" t="s">
        <v>491</v>
      </c>
      <c r="O197" s="955" t="s">
        <v>491</v>
      </c>
      <c r="P197" s="955"/>
      <c r="Q197" s="955"/>
      <c r="R197" s="955" t="s">
        <v>491</v>
      </c>
      <c r="S197" s="955" t="s">
        <v>491</v>
      </c>
      <c r="T197" s="955" t="s">
        <v>491</v>
      </c>
      <c r="U197" s="955" t="s">
        <v>491</v>
      </c>
      <c r="V197" s="955" t="s">
        <v>491</v>
      </c>
      <c r="W197" s="955"/>
      <c r="X197" s="955"/>
      <c r="Y197" s="955" t="s">
        <v>491</v>
      </c>
      <c r="Z197" s="955" t="s">
        <v>491</v>
      </c>
      <c r="AA197" s="955" t="s">
        <v>491</v>
      </c>
      <c r="AB197" s="955" t="s">
        <v>491</v>
      </c>
      <c r="AC197" s="955" t="s">
        <v>491</v>
      </c>
      <c r="AD197" s="955"/>
      <c r="AE197" s="955"/>
      <c r="AF197" s="955"/>
      <c r="AG197" s="956"/>
      <c r="AH197" s="901">
        <v>74</v>
      </c>
      <c r="AI197" s="902">
        <v>37</v>
      </c>
    </row>
    <row r="198" spans="1:35" ht="21.95" customHeight="1">
      <c r="A198" s="614">
        <v>8500</v>
      </c>
      <c r="B198" s="790" t="s">
        <v>156</v>
      </c>
      <c r="C198" s="768"/>
      <c r="D198" s="768" t="s">
        <v>491</v>
      </c>
      <c r="E198" s="768" t="s">
        <v>491</v>
      </c>
      <c r="F198" s="768" t="s">
        <v>491</v>
      </c>
      <c r="G198" s="768" t="s">
        <v>491</v>
      </c>
      <c r="H198" s="768" t="s">
        <v>491</v>
      </c>
      <c r="I198" s="768"/>
      <c r="J198" s="768"/>
      <c r="K198" s="768" t="s">
        <v>491</v>
      </c>
      <c r="L198" s="768" t="s">
        <v>491</v>
      </c>
      <c r="M198" s="768" t="s">
        <v>491</v>
      </c>
      <c r="N198" s="768" t="s">
        <v>491</v>
      </c>
      <c r="O198" s="768" t="s">
        <v>491</v>
      </c>
      <c r="P198" s="768"/>
      <c r="Q198" s="768"/>
      <c r="R198" s="768" t="s">
        <v>491</v>
      </c>
      <c r="S198" s="768" t="s">
        <v>491</v>
      </c>
      <c r="T198" s="768" t="s">
        <v>491</v>
      </c>
      <c r="U198" s="768" t="s">
        <v>491</v>
      </c>
      <c r="V198" s="768" t="s">
        <v>491</v>
      </c>
      <c r="W198" s="768"/>
      <c r="X198" s="768"/>
      <c r="Y198" s="768" t="s">
        <v>491</v>
      </c>
      <c r="Z198" s="768" t="s">
        <v>491</v>
      </c>
      <c r="AA198" s="768" t="s">
        <v>491</v>
      </c>
      <c r="AB198" s="768" t="s">
        <v>491</v>
      </c>
      <c r="AC198" s="768" t="s">
        <v>491</v>
      </c>
      <c r="AD198" s="768"/>
      <c r="AE198" s="768"/>
      <c r="AF198" s="768"/>
      <c r="AG198" s="774"/>
      <c r="AH198" s="597">
        <v>37</v>
      </c>
      <c r="AI198" s="598">
        <v>37</v>
      </c>
    </row>
    <row r="199" spans="1:35" ht="21" customHeight="1">
      <c r="A199" s="442"/>
      <c r="B199" s="789" t="s">
        <v>672</v>
      </c>
      <c r="C199" s="768"/>
      <c r="D199" s="768" t="s">
        <v>491</v>
      </c>
      <c r="E199" s="768" t="s">
        <v>491</v>
      </c>
      <c r="F199" s="768" t="s">
        <v>491</v>
      </c>
      <c r="G199" s="768" t="s">
        <v>491</v>
      </c>
      <c r="H199" s="768" t="s">
        <v>491</v>
      </c>
      <c r="I199" s="768"/>
      <c r="J199" s="768"/>
      <c r="K199" s="768" t="s">
        <v>491</v>
      </c>
      <c r="L199" s="768" t="s">
        <v>491</v>
      </c>
      <c r="M199" s="768" t="s">
        <v>491</v>
      </c>
      <c r="N199" s="768" t="s">
        <v>491</v>
      </c>
      <c r="O199" s="768" t="s">
        <v>491</v>
      </c>
      <c r="P199" s="768"/>
      <c r="Q199" s="768"/>
      <c r="R199" s="768" t="s">
        <v>491</v>
      </c>
      <c r="S199" s="768" t="s">
        <v>491</v>
      </c>
      <c r="T199" s="768" t="s">
        <v>491</v>
      </c>
      <c r="U199" s="768" t="s">
        <v>491</v>
      </c>
      <c r="V199" s="768" t="s">
        <v>491</v>
      </c>
      <c r="W199" s="768"/>
      <c r="X199" s="768"/>
      <c r="Y199" s="768" t="s">
        <v>491</v>
      </c>
      <c r="Z199" s="768" t="s">
        <v>491</v>
      </c>
      <c r="AA199" s="768" t="s">
        <v>491</v>
      </c>
      <c r="AB199" s="768" t="s">
        <v>491</v>
      </c>
      <c r="AC199" s="768" t="s">
        <v>491</v>
      </c>
      <c r="AD199" s="768"/>
      <c r="AE199" s="768"/>
      <c r="AF199" s="768"/>
      <c r="AG199" s="774"/>
      <c r="AH199" s="597">
        <v>67</v>
      </c>
      <c r="AI199" s="598">
        <v>37</v>
      </c>
    </row>
    <row r="200" spans="1:35" ht="21" customHeight="1">
      <c r="A200" s="442">
        <v>8521</v>
      </c>
      <c r="B200" s="789" t="s">
        <v>673</v>
      </c>
      <c r="C200" s="1038"/>
      <c r="D200" s="1038" t="s">
        <v>491</v>
      </c>
      <c r="E200" s="1038" t="s">
        <v>491</v>
      </c>
      <c r="F200" s="1038" t="s">
        <v>491</v>
      </c>
      <c r="G200" s="1038" t="s">
        <v>491</v>
      </c>
      <c r="H200" s="1038" t="s">
        <v>491</v>
      </c>
      <c r="I200" s="1038"/>
      <c r="J200" s="1038"/>
      <c r="K200" s="1038" t="s">
        <v>491</v>
      </c>
      <c r="L200" s="1038" t="s">
        <v>491</v>
      </c>
      <c r="M200" s="1038" t="s">
        <v>491</v>
      </c>
      <c r="N200" s="1038" t="s">
        <v>491</v>
      </c>
      <c r="O200" s="1038" t="s">
        <v>491</v>
      </c>
      <c r="P200" s="1038"/>
      <c r="Q200" s="1038"/>
      <c r="R200" s="1038" t="s">
        <v>491</v>
      </c>
      <c r="S200" s="1038" t="s">
        <v>491</v>
      </c>
      <c r="T200" s="1038" t="s">
        <v>491</v>
      </c>
      <c r="U200" s="1038" t="s">
        <v>491</v>
      </c>
      <c r="V200" s="1038" t="s">
        <v>491</v>
      </c>
      <c r="W200" s="1038"/>
      <c r="X200" s="1038"/>
      <c r="Y200" s="1038" t="s">
        <v>491</v>
      </c>
      <c r="Z200" s="1038" t="s">
        <v>491</v>
      </c>
      <c r="AA200" s="1038" t="s">
        <v>491</v>
      </c>
      <c r="AB200" s="1038" t="s">
        <v>491</v>
      </c>
      <c r="AC200" s="1038" t="s">
        <v>491</v>
      </c>
      <c r="AD200" s="1038"/>
      <c r="AE200" s="768"/>
      <c r="AF200" s="768"/>
      <c r="AG200" s="774"/>
      <c r="AH200" s="597">
        <v>111</v>
      </c>
      <c r="AI200" s="598">
        <v>37</v>
      </c>
    </row>
    <row r="201" spans="1:35" ht="21" customHeight="1">
      <c r="A201" s="442"/>
      <c r="B201" s="791" t="s">
        <v>674</v>
      </c>
      <c r="C201" s="768"/>
      <c r="D201" s="768" t="s">
        <v>491</v>
      </c>
      <c r="E201" s="768" t="s">
        <v>491</v>
      </c>
      <c r="F201" s="768" t="s">
        <v>491</v>
      </c>
      <c r="G201" s="768" t="s">
        <v>491</v>
      </c>
      <c r="H201" s="977" t="s">
        <v>491</v>
      </c>
      <c r="I201" s="768"/>
      <c r="J201" s="768"/>
      <c r="K201" s="768" t="s">
        <v>491</v>
      </c>
      <c r="L201" s="768" t="s">
        <v>491</v>
      </c>
      <c r="M201" s="768" t="s">
        <v>491</v>
      </c>
      <c r="N201" s="970" t="s">
        <v>491</v>
      </c>
      <c r="O201" s="970" t="s">
        <v>491</v>
      </c>
      <c r="P201" s="768"/>
      <c r="Q201" s="768"/>
      <c r="R201" s="768" t="s">
        <v>491</v>
      </c>
      <c r="S201" s="768" t="s">
        <v>491</v>
      </c>
      <c r="T201" s="768" t="s">
        <v>491</v>
      </c>
      <c r="U201" s="768" t="s">
        <v>491</v>
      </c>
      <c r="V201" s="768" t="s">
        <v>491</v>
      </c>
      <c r="W201" s="768"/>
      <c r="X201" s="768"/>
      <c r="Y201" s="768" t="s">
        <v>491</v>
      </c>
      <c r="Z201" s="768" t="s">
        <v>491</v>
      </c>
      <c r="AA201" s="768" t="s">
        <v>491</v>
      </c>
      <c r="AB201" s="768" t="s">
        <v>491</v>
      </c>
      <c r="AC201" s="768" t="s">
        <v>491</v>
      </c>
      <c r="AD201" s="768"/>
      <c r="AE201" s="768"/>
      <c r="AF201" s="768"/>
      <c r="AG201" s="774"/>
      <c r="AH201" s="597">
        <v>24</v>
      </c>
      <c r="AI201" s="598">
        <v>37</v>
      </c>
    </row>
    <row r="202" spans="1:35" ht="21" customHeight="1">
      <c r="A202" s="442">
        <v>8514</v>
      </c>
      <c r="B202" s="542" t="s">
        <v>675</v>
      </c>
      <c r="C202" s="768"/>
      <c r="D202" s="768" t="s">
        <v>491</v>
      </c>
      <c r="E202" s="768" t="s">
        <v>491</v>
      </c>
      <c r="F202" s="768" t="s">
        <v>491</v>
      </c>
      <c r="G202" s="768" t="s">
        <v>491</v>
      </c>
      <c r="H202" s="768" t="s">
        <v>491</v>
      </c>
      <c r="I202" s="768"/>
      <c r="J202" s="768"/>
      <c r="K202" s="768" t="s">
        <v>491</v>
      </c>
      <c r="L202" s="768" t="s">
        <v>491</v>
      </c>
      <c r="M202" s="768" t="s">
        <v>491</v>
      </c>
      <c r="N202" s="768" t="s">
        <v>491</v>
      </c>
      <c r="O202" s="768" t="s">
        <v>491</v>
      </c>
      <c r="P202" s="768"/>
      <c r="Q202" s="768"/>
      <c r="R202" s="980" t="s">
        <v>491</v>
      </c>
      <c r="S202" s="980" t="s">
        <v>491</v>
      </c>
      <c r="T202" s="980" t="s">
        <v>491</v>
      </c>
      <c r="U202" s="980" t="s">
        <v>491</v>
      </c>
      <c r="V202" s="980" t="s">
        <v>491</v>
      </c>
      <c r="W202" s="768"/>
      <c r="X202" s="768"/>
      <c r="Y202" s="768" t="s">
        <v>491</v>
      </c>
      <c r="Z202" s="768" t="s">
        <v>491</v>
      </c>
      <c r="AA202" s="768" t="s">
        <v>491</v>
      </c>
      <c r="AB202" s="768" t="s">
        <v>491</v>
      </c>
      <c r="AC202" s="768" t="s">
        <v>491</v>
      </c>
      <c r="AD202" s="768"/>
      <c r="AE202" s="768"/>
      <c r="AF202" s="768"/>
      <c r="AG202" s="774"/>
      <c r="AH202" s="597">
        <v>38</v>
      </c>
      <c r="AI202" s="598">
        <v>0</v>
      </c>
    </row>
    <row r="203" spans="1:35" ht="21.95" customHeight="1">
      <c r="A203" s="442">
        <v>3701</v>
      </c>
      <c r="B203" s="789" t="s">
        <v>433</v>
      </c>
      <c r="C203" s="768"/>
      <c r="D203" s="768" t="s">
        <v>491</v>
      </c>
      <c r="E203" s="768" t="s">
        <v>491</v>
      </c>
      <c r="F203" s="768" t="s">
        <v>491</v>
      </c>
      <c r="G203" s="768" t="s">
        <v>491</v>
      </c>
      <c r="H203" s="768" t="s">
        <v>491</v>
      </c>
      <c r="I203" s="768"/>
      <c r="J203" s="768"/>
      <c r="K203" s="970" t="s">
        <v>491</v>
      </c>
      <c r="L203" s="970" t="s">
        <v>491</v>
      </c>
      <c r="M203" s="970" t="s">
        <v>491</v>
      </c>
      <c r="N203" s="970" t="s">
        <v>491</v>
      </c>
      <c r="O203" s="988" t="s">
        <v>491</v>
      </c>
      <c r="P203" s="768"/>
      <c r="Q203" s="768"/>
      <c r="R203" s="768" t="s">
        <v>491</v>
      </c>
      <c r="S203" s="768" t="s">
        <v>491</v>
      </c>
      <c r="T203" s="768" t="s">
        <v>491</v>
      </c>
      <c r="U203" s="768" t="s">
        <v>491</v>
      </c>
      <c r="V203" s="768" t="s">
        <v>491</v>
      </c>
      <c r="W203" s="768"/>
      <c r="X203" s="768"/>
      <c r="Y203" s="768" t="s">
        <v>491</v>
      </c>
      <c r="Z203" s="768" t="s">
        <v>491</v>
      </c>
      <c r="AA203" s="768" t="s">
        <v>491</v>
      </c>
      <c r="AB203" s="768" t="s">
        <v>491</v>
      </c>
      <c r="AC203" s="768" t="s">
        <v>491</v>
      </c>
      <c r="AD203" s="768"/>
      <c r="AE203" s="768"/>
      <c r="AF203" s="768"/>
      <c r="AG203" s="774"/>
      <c r="AH203" s="597">
        <v>37</v>
      </c>
      <c r="AI203" s="598">
        <v>37</v>
      </c>
    </row>
    <row r="204" spans="1:35" ht="21.95" customHeight="1">
      <c r="A204" s="442">
        <v>3701</v>
      </c>
      <c r="B204" s="789" t="s">
        <v>786</v>
      </c>
      <c r="C204" s="768"/>
      <c r="D204" s="764">
        <v>19</v>
      </c>
      <c r="E204" s="764">
        <v>19</v>
      </c>
      <c r="F204" s="764">
        <v>19</v>
      </c>
      <c r="G204" s="764">
        <v>19</v>
      </c>
      <c r="H204" s="764">
        <v>19</v>
      </c>
      <c r="I204" s="768"/>
      <c r="J204" s="768"/>
      <c r="K204" s="977" t="s">
        <v>491</v>
      </c>
      <c r="L204" s="977" t="s">
        <v>491</v>
      </c>
      <c r="M204" s="977" t="s">
        <v>491</v>
      </c>
      <c r="N204" s="977" t="s">
        <v>491</v>
      </c>
      <c r="O204" s="977" t="s">
        <v>491</v>
      </c>
      <c r="P204" s="768"/>
      <c r="Q204" s="768"/>
      <c r="R204" s="768" t="s">
        <v>491</v>
      </c>
      <c r="S204" s="977" t="s">
        <v>491</v>
      </c>
      <c r="T204" s="768" t="s">
        <v>491</v>
      </c>
      <c r="U204" s="768" t="s">
        <v>491</v>
      </c>
      <c r="V204" s="768" t="s">
        <v>491</v>
      </c>
      <c r="W204" s="768"/>
      <c r="X204" s="768"/>
      <c r="Y204" s="768" t="s">
        <v>491</v>
      </c>
      <c r="Z204" s="768" t="s">
        <v>491</v>
      </c>
      <c r="AA204" s="768" t="s">
        <v>491</v>
      </c>
      <c r="AB204" s="768" t="s">
        <v>491</v>
      </c>
      <c r="AC204" s="768" t="s">
        <v>491</v>
      </c>
      <c r="AD204" s="768"/>
      <c r="AE204" s="768"/>
      <c r="AF204" s="768"/>
      <c r="AG204" s="774"/>
      <c r="AH204" s="597">
        <v>185</v>
      </c>
      <c r="AI204" s="598">
        <v>37</v>
      </c>
    </row>
    <row r="205" spans="1:35" ht="21.95" customHeight="1">
      <c r="A205" s="442">
        <v>3701</v>
      </c>
      <c r="B205" s="789" t="s">
        <v>438</v>
      </c>
      <c r="C205" s="768"/>
      <c r="D205" s="764" t="s">
        <v>485</v>
      </c>
      <c r="E205" s="764" t="s">
        <v>485</v>
      </c>
      <c r="F205" s="764" t="s">
        <v>485</v>
      </c>
      <c r="G205" s="764" t="s">
        <v>485</v>
      </c>
      <c r="H205" s="764" t="s">
        <v>485</v>
      </c>
      <c r="I205" s="768"/>
      <c r="J205" s="768"/>
      <c r="K205" s="768" t="s">
        <v>491</v>
      </c>
      <c r="L205" s="977" t="s">
        <v>491</v>
      </c>
      <c r="M205" s="768" t="s">
        <v>491</v>
      </c>
      <c r="N205" s="768" t="s">
        <v>491</v>
      </c>
      <c r="O205" s="768" t="s">
        <v>491</v>
      </c>
      <c r="P205" s="768"/>
      <c r="Q205" s="768"/>
      <c r="R205" s="768" t="s">
        <v>491</v>
      </c>
      <c r="S205" s="768" t="s">
        <v>491</v>
      </c>
      <c r="T205" s="987" t="s">
        <v>491</v>
      </c>
      <c r="U205" s="1038" t="s">
        <v>493</v>
      </c>
      <c r="V205" s="987" t="s">
        <v>491</v>
      </c>
      <c r="W205" s="987"/>
      <c r="X205" s="987"/>
      <c r="Y205" s="764">
        <v>19</v>
      </c>
      <c r="Z205" s="764">
        <v>19</v>
      </c>
      <c r="AA205" s="764">
        <v>19</v>
      </c>
      <c r="AB205" s="764">
        <v>19</v>
      </c>
      <c r="AC205" s="764">
        <v>19</v>
      </c>
      <c r="AD205" s="768"/>
      <c r="AE205" s="768"/>
      <c r="AF205" s="768"/>
      <c r="AG205" s="774"/>
      <c r="AH205" s="597">
        <v>2</v>
      </c>
      <c r="AI205" s="598">
        <v>37</v>
      </c>
    </row>
    <row r="206" spans="1:35" ht="21.95" customHeight="1">
      <c r="A206" s="442">
        <v>3701</v>
      </c>
      <c r="B206" s="789" t="s">
        <v>439</v>
      </c>
      <c r="C206" s="768"/>
      <c r="D206" s="768" t="s">
        <v>491</v>
      </c>
      <c r="E206" s="768" t="s">
        <v>491</v>
      </c>
      <c r="F206" s="768" t="s">
        <v>491</v>
      </c>
      <c r="G206" s="768" t="s">
        <v>491</v>
      </c>
      <c r="H206" s="987" t="s">
        <v>491</v>
      </c>
      <c r="I206" s="768"/>
      <c r="J206" s="768"/>
      <c r="K206" s="768" t="s">
        <v>491</v>
      </c>
      <c r="L206" s="768" t="s">
        <v>491</v>
      </c>
      <c r="M206" s="977" t="s">
        <v>491</v>
      </c>
      <c r="N206" s="977" t="s">
        <v>491</v>
      </c>
      <c r="O206" s="980" t="s">
        <v>491</v>
      </c>
      <c r="P206" s="768"/>
      <c r="Q206" s="768"/>
      <c r="R206" s="768" t="s">
        <v>491</v>
      </c>
      <c r="S206" s="768" t="s">
        <v>491</v>
      </c>
      <c r="T206" s="768" t="s">
        <v>491</v>
      </c>
      <c r="U206" s="768" t="s">
        <v>491</v>
      </c>
      <c r="V206" s="768" t="s">
        <v>491</v>
      </c>
      <c r="W206" s="768"/>
      <c r="X206" s="768"/>
      <c r="Y206" s="764" t="s">
        <v>485</v>
      </c>
      <c r="Z206" s="764" t="s">
        <v>485</v>
      </c>
      <c r="AA206" s="764" t="s">
        <v>485</v>
      </c>
      <c r="AB206" s="764" t="s">
        <v>485</v>
      </c>
      <c r="AC206" s="764" t="s">
        <v>485</v>
      </c>
      <c r="AD206" s="768"/>
      <c r="AE206" s="768"/>
      <c r="AF206" s="768"/>
      <c r="AG206" s="774"/>
      <c r="AH206" s="597">
        <v>2.5</v>
      </c>
      <c r="AI206" s="598">
        <v>31</v>
      </c>
    </row>
    <row r="207" spans="1:35" ht="21.95" customHeight="1">
      <c r="A207" s="442">
        <v>3701</v>
      </c>
      <c r="B207" s="789" t="s">
        <v>677</v>
      </c>
      <c r="C207" s="768"/>
      <c r="D207" s="768" t="s">
        <v>491</v>
      </c>
      <c r="E207" s="768" t="s">
        <v>491</v>
      </c>
      <c r="F207" s="768" t="s">
        <v>491</v>
      </c>
      <c r="G207" s="768" t="s">
        <v>491</v>
      </c>
      <c r="H207" s="768" t="s">
        <v>491</v>
      </c>
      <c r="I207" s="768"/>
      <c r="J207" s="768"/>
      <c r="K207" s="768" t="s">
        <v>491</v>
      </c>
      <c r="L207" s="768" t="s">
        <v>491</v>
      </c>
      <c r="M207" s="768" t="s">
        <v>491</v>
      </c>
      <c r="N207" s="977" t="s">
        <v>491</v>
      </c>
      <c r="O207" s="768" t="s">
        <v>491</v>
      </c>
      <c r="P207" s="768"/>
      <c r="Q207" s="768"/>
      <c r="R207" s="768" t="s">
        <v>491</v>
      </c>
      <c r="S207" s="768" t="s">
        <v>491</v>
      </c>
      <c r="T207" s="768" t="s">
        <v>491</v>
      </c>
      <c r="U207" s="768" t="s">
        <v>491</v>
      </c>
      <c r="V207" s="768" t="s">
        <v>491</v>
      </c>
      <c r="W207" s="768"/>
      <c r="X207" s="768"/>
      <c r="Y207" s="764" t="s">
        <v>485</v>
      </c>
      <c r="Z207" s="964" t="s">
        <v>485</v>
      </c>
      <c r="AA207" s="764" t="s">
        <v>485</v>
      </c>
      <c r="AB207" s="764" t="s">
        <v>485</v>
      </c>
      <c r="AC207" s="764" t="s">
        <v>485</v>
      </c>
      <c r="AD207" s="768"/>
      <c r="AE207" s="768"/>
      <c r="AF207" s="768"/>
      <c r="AG207" s="774"/>
      <c r="AH207" s="597">
        <v>84.25</v>
      </c>
      <c r="AI207" s="598">
        <v>37</v>
      </c>
    </row>
    <row r="208" spans="1:35" ht="21.95" customHeight="1">
      <c r="A208" s="442">
        <v>3701</v>
      </c>
      <c r="B208" s="542" t="s">
        <v>678</v>
      </c>
      <c r="C208" s="768"/>
      <c r="D208" s="1296" t="s">
        <v>491</v>
      </c>
      <c r="E208" s="768" t="s">
        <v>491</v>
      </c>
      <c r="F208" s="768" t="s">
        <v>491</v>
      </c>
      <c r="G208" s="768" t="s">
        <v>491</v>
      </c>
      <c r="H208" s="768" t="s">
        <v>491</v>
      </c>
      <c r="I208" s="768"/>
      <c r="J208" s="768"/>
      <c r="K208" s="764">
        <v>19</v>
      </c>
      <c r="L208" s="764">
        <v>19</v>
      </c>
      <c r="M208" s="764">
        <v>19</v>
      </c>
      <c r="N208" s="764">
        <v>19</v>
      </c>
      <c r="O208" s="764">
        <v>19</v>
      </c>
      <c r="P208" s="768"/>
      <c r="Q208" s="768"/>
      <c r="R208" s="768" t="s">
        <v>491</v>
      </c>
      <c r="S208" s="768" t="s">
        <v>491</v>
      </c>
      <c r="T208" s="987" t="s">
        <v>491</v>
      </c>
      <c r="U208" s="768" t="s">
        <v>491</v>
      </c>
      <c r="V208" s="768" t="s">
        <v>491</v>
      </c>
      <c r="W208" s="768"/>
      <c r="X208" s="768"/>
      <c r="Y208" s="768" t="s">
        <v>491</v>
      </c>
      <c r="Z208" s="768" t="s">
        <v>491</v>
      </c>
      <c r="AA208" s="768" t="s">
        <v>491</v>
      </c>
      <c r="AB208" s="768" t="s">
        <v>491</v>
      </c>
      <c r="AC208" s="768" t="s">
        <v>491</v>
      </c>
      <c r="AD208" s="768"/>
      <c r="AE208" s="768"/>
      <c r="AF208" s="768"/>
      <c r="AG208" s="774"/>
      <c r="AH208" s="597">
        <v>23</v>
      </c>
      <c r="AI208" s="598">
        <v>37</v>
      </c>
    </row>
    <row r="209" spans="1:35" ht="21.95" customHeight="1">
      <c r="A209" s="442">
        <v>3701</v>
      </c>
      <c r="B209" s="821" t="s">
        <v>679</v>
      </c>
      <c r="C209" s="768"/>
      <c r="D209" s="768" t="s">
        <v>491</v>
      </c>
      <c r="E209" s="768" t="s">
        <v>491</v>
      </c>
      <c r="F209" s="768" t="s">
        <v>491</v>
      </c>
      <c r="G209" s="768" t="s">
        <v>491</v>
      </c>
      <c r="H209" s="768" t="s">
        <v>491</v>
      </c>
      <c r="I209" s="768"/>
      <c r="J209" s="768"/>
      <c r="K209" s="768" t="s">
        <v>491</v>
      </c>
      <c r="L209" s="977" t="s">
        <v>491</v>
      </c>
      <c r="M209" s="768" t="s">
        <v>491</v>
      </c>
      <c r="N209" s="768" t="s">
        <v>491</v>
      </c>
      <c r="O209" s="768" t="s">
        <v>491</v>
      </c>
      <c r="P209" s="768"/>
      <c r="Q209" s="768"/>
      <c r="R209" s="764">
        <v>19</v>
      </c>
      <c r="S209" s="764">
        <v>19</v>
      </c>
      <c r="T209" s="764">
        <v>19</v>
      </c>
      <c r="U209" s="764">
        <v>19</v>
      </c>
      <c r="V209" s="764">
        <v>19</v>
      </c>
      <c r="W209" s="768"/>
      <c r="X209" s="768"/>
      <c r="Y209" s="768" t="s">
        <v>491</v>
      </c>
      <c r="Z209" s="768" t="s">
        <v>491</v>
      </c>
      <c r="AA209" s="768" t="s">
        <v>491</v>
      </c>
      <c r="AB209" s="768" t="s">
        <v>491</v>
      </c>
      <c r="AC209" s="768" t="s">
        <v>491</v>
      </c>
      <c r="AD209" s="768"/>
      <c r="AE209" s="768"/>
      <c r="AF209" s="768"/>
      <c r="AG209" s="774"/>
      <c r="AH209" s="597">
        <v>78.25</v>
      </c>
      <c r="AI209" s="598">
        <v>37</v>
      </c>
    </row>
    <row r="210" spans="1:35" ht="21.95" customHeight="1">
      <c r="A210" s="820">
        <v>3701</v>
      </c>
      <c r="B210" s="792" t="s">
        <v>680</v>
      </c>
      <c r="C210" s="768"/>
      <c r="D210" s="768" t="s">
        <v>491</v>
      </c>
      <c r="E210" s="768" t="s">
        <v>491</v>
      </c>
      <c r="F210" s="768" t="s">
        <v>491</v>
      </c>
      <c r="G210" s="768" t="s">
        <v>491</v>
      </c>
      <c r="H210" s="768" t="s">
        <v>491</v>
      </c>
      <c r="I210" s="768"/>
      <c r="J210" s="768"/>
      <c r="K210" s="768" t="s">
        <v>491</v>
      </c>
      <c r="L210" s="768" t="s">
        <v>491</v>
      </c>
      <c r="M210" s="768" t="s">
        <v>491</v>
      </c>
      <c r="N210" s="768" t="s">
        <v>491</v>
      </c>
      <c r="O210" s="768" t="s">
        <v>491</v>
      </c>
      <c r="P210" s="768"/>
      <c r="Q210" s="768"/>
      <c r="R210" s="1038" t="s">
        <v>491</v>
      </c>
      <c r="S210" s="1038" t="s">
        <v>493</v>
      </c>
      <c r="T210" s="987" t="s">
        <v>491</v>
      </c>
      <c r="U210" s="987" t="s">
        <v>491</v>
      </c>
      <c r="V210" s="987" t="s">
        <v>491</v>
      </c>
      <c r="W210" s="768"/>
      <c r="X210" s="768"/>
      <c r="Y210" s="768" t="s">
        <v>491</v>
      </c>
      <c r="Z210" s="768" t="s">
        <v>491</v>
      </c>
      <c r="AA210" s="768" t="s">
        <v>491</v>
      </c>
      <c r="AB210" s="768" t="s">
        <v>491</v>
      </c>
      <c r="AC210" s="768" t="s">
        <v>491</v>
      </c>
      <c r="AD210" s="768"/>
      <c r="AE210" s="768"/>
      <c r="AF210" s="768"/>
      <c r="AG210" s="774"/>
      <c r="AH210" s="597">
        <v>74</v>
      </c>
      <c r="AI210" s="598">
        <v>37</v>
      </c>
    </row>
    <row r="211" spans="1:35" ht="21.95" customHeight="1" thickBot="1">
      <c r="A211" s="442">
        <v>3701</v>
      </c>
      <c r="B211" s="904" t="s">
        <v>681</v>
      </c>
      <c r="C211" s="768"/>
      <c r="D211" s="768" t="s">
        <v>491</v>
      </c>
      <c r="E211" s="768" t="s">
        <v>491</v>
      </c>
      <c r="F211" s="768" t="s">
        <v>491</v>
      </c>
      <c r="G211" s="768" t="s">
        <v>491</v>
      </c>
      <c r="H211" s="768" t="s">
        <v>491</v>
      </c>
      <c r="I211" s="768"/>
      <c r="J211" s="768"/>
      <c r="K211" s="768" t="s">
        <v>491</v>
      </c>
      <c r="L211" s="768" t="s">
        <v>491</v>
      </c>
      <c r="M211" s="768" t="s">
        <v>491</v>
      </c>
      <c r="N211" s="768" t="s">
        <v>491</v>
      </c>
      <c r="O211" s="768" t="s">
        <v>491</v>
      </c>
      <c r="P211" s="768"/>
      <c r="Q211" s="768"/>
      <c r="R211" s="768" t="s">
        <v>491</v>
      </c>
      <c r="S211" s="768" t="s">
        <v>491</v>
      </c>
      <c r="T211" s="768" t="s">
        <v>491</v>
      </c>
      <c r="U211" s="768" t="s">
        <v>491</v>
      </c>
      <c r="V211" s="768" t="s">
        <v>491</v>
      </c>
      <c r="W211" s="768"/>
      <c r="X211" s="768"/>
      <c r="Y211" s="768" t="s">
        <v>491</v>
      </c>
      <c r="Z211" s="768" t="s">
        <v>491</v>
      </c>
      <c r="AA211" s="768" t="s">
        <v>491</v>
      </c>
      <c r="AB211" s="768" t="s">
        <v>491</v>
      </c>
      <c r="AC211" s="768" t="s">
        <v>491</v>
      </c>
      <c r="AD211" s="768"/>
      <c r="AE211" s="768"/>
      <c r="AF211" s="768"/>
      <c r="AG211" s="774"/>
      <c r="AH211" s="597">
        <v>96</v>
      </c>
      <c r="AI211" s="598">
        <v>37</v>
      </c>
    </row>
    <row r="212" spans="1:35" ht="21.95" customHeight="1">
      <c r="A212" s="442">
        <v>3701</v>
      </c>
      <c r="B212" s="789" t="s">
        <v>436</v>
      </c>
      <c r="C212" s="768"/>
      <c r="D212" s="768" t="s">
        <v>491</v>
      </c>
      <c r="E212" s="768" t="s">
        <v>491</v>
      </c>
      <c r="F212" s="768" t="s">
        <v>491</v>
      </c>
      <c r="G212" s="768" t="s">
        <v>491</v>
      </c>
      <c r="H212" s="768" t="s">
        <v>491</v>
      </c>
      <c r="I212" s="768"/>
      <c r="J212" s="768"/>
      <c r="K212" s="768" t="s">
        <v>491</v>
      </c>
      <c r="L212" s="768" t="s">
        <v>491</v>
      </c>
      <c r="M212" s="768" t="s">
        <v>491</v>
      </c>
      <c r="N212" s="768" t="s">
        <v>491</v>
      </c>
      <c r="O212" s="768" t="s">
        <v>491</v>
      </c>
      <c r="P212" s="768"/>
      <c r="Q212" s="768"/>
      <c r="R212" s="768" t="s">
        <v>491</v>
      </c>
      <c r="S212" s="768" t="s">
        <v>491</v>
      </c>
      <c r="T212" s="768" t="s">
        <v>491</v>
      </c>
      <c r="U212" s="768" t="s">
        <v>491</v>
      </c>
      <c r="V212" s="768" t="s">
        <v>491</v>
      </c>
      <c r="W212" s="768"/>
      <c r="X212" s="768"/>
      <c r="Y212" s="768" t="s">
        <v>491</v>
      </c>
      <c r="Z212" s="768" t="s">
        <v>491</v>
      </c>
      <c r="AA212" s="768" t="s">
        <v>491</v>
      </c>
      <c r="AB212" s="768" t="s">
        <v>491</v>
      </c>
      <c r="AC212" s="977" t="s">
        <v>491</v>
      </c>
      <c r="AD212" s="768"/>
      <c r="AE212" s="768"/>
      <c r="AF212" s="768"/>
      <c r="AG212" s="774"/>
      <c r="AH212" s="597">
        <v>1.75</v>
      </c>
      <c r="AI212" s="598">
        <v>37</v>
      </c>
    </row>
    <row r="213" spans="1:35" ht="21.95" customHeight="1" thickBot="1">
      <c r="A213" s="442">
        <v>3701</v>
      </c>
      <c r="B213" s="904" t="s">
        <v>787</v>
      </c>
      <c r="C213" s="768"/>
      <c r="D213" s="768" t="s">
        <v>491</v>
      </c>
      <c r="E213" s="768" t="s">
        <v>491</v>
      </c>
      <c r="F213" s="768" t="s">
        <v>491</v>
      </c>
      <c r="G213" s="768" t="s">
        <v>491</v>
      </c>
      <c r="H213" s="768" t="s">
        <v>491</v>
      </c>
      <c r="I213" s="768"/>
      <c r="J213" s="768"/>
      <c r="K213" s="768" t="s">
        <v>491</v>
      </c>
      <c r="L213" s="768" t="s">
        <v>491</v>
      </c>
      <c r="M213" s="768" t="s">
        <v>491</v>
      </c>
      <c r="N213" s="768" t="s">
        <v>491</v>
      </c>
      <c r="O213" s="768" t="s">
        <v>491</v>
      </c>
      <c r="P213" s="768"/>
      <c r="Q213" s="768"/>
      <c r="R213" s="768" t="s">
        <v>491</v>
      </c>
      <c r="S213" s="768" t="s">
        <v>491</v>
      </c>
      <c r="T213" s="768" t="s">
        <v>491</v>
      </c>
      <c r="U213" s="768" t="s">
        <v>491</v>
      </c>
      <c r="V213" s="768" t="s">
        <v>491</v>
      </c>
      <c r="W213" s="768"/>
      <c r="X213" s="768"/>
      <c r="Y213" s="768" t="s">
        <v>491</v>
      </c>
      <c r="Z213" s="768" t="s">
        <v>491</v>
      </c>
      <c r="AA213" s="768" t="s">
        <v>491</v>
      </c>
      <c r="AB213" s="768" t="s">
        <v>491</v>
      </c>
      <c r="AC213" s="768" t="s">
        <v>491</v>
      </c>
      <c r="AD213" s="768"/>
      <c r="AE213" s="768"/>
      <c r="AF213" s="768"/>
      <c r="AG213" s="774"/>
      <c r="AH213" s="597">
        <v>185</v>
      </c>
      <c r="AI213" s="598">
        <v>37</v>
      </c>
    </row>
    <row r="214" spans="1:35" ht="21.95" customHeight="1">
      <c r="A214" s="1298">
        <v>3701</v>
      </c>
      <c r="B214" s="1299" t="s">
        <v>788</v>
      </c>
      <c r="C214" s="772"/>
      <c r="D214" s="772" t="s">
        <v>491</v>
      </c>
      <c r="E214" s="772" t="s">
        <v>491</v>
      </c>
      <c r="F214" s="772" t="s">
        <v>491</v>
      </c>
      <c r="G214" s="772" t="s">
        <v>491</v>
      </c>
      <c r="H214" s="772" t="s">
        <v>491</v>
      </c>
      <c r="I214" s="772"/>
      <c r="J214" s="772"/>
      <c r="K214" s="772" t="s">
        <v>491</v>
      </c>
      <c r="L214" s="772" t="s">
        <v>491</v>
      </c>
      <c r="M214" s="772" t="s">
        <v>491</v>
      </c>
      <c r="N214" s="772" t="s">
        <v>491</v>
      </c>
      <c r="O214" s="772" t="s">
        <v>491</v>
      </c>
      <c r="P214" s="772"/>
      <c r="Q214" s="772"/>
      <c r="R214" s="772" t="s">
        <v>491</v>
      </c>
      <c r="S214" s="772" t="s">
        <v>491</v>
      </c>
      <c r="T214" s="772" t="s">
        <v>491</v>
      </c>
      <c r="U214" s="772" t="s">
        <v>491</v>
      </c>
      <c r="V214" s="772" t="s">
        <v>491</v>
      </c>
      <c r="W214" s="772"/>
      <c r="X214" s="772"/>
      <c r="Y214" s="772" t="s">
        <v>491</v>
      </c>
      <c r="Z214" s="772" t="s">
        <v>491</v>
      </c>
      <c r="AA214" s="772" t="s">
        <v>491</v>
      </c>
      <c r="AB214" s="772" t="s">
        <v>491</v>
      </c>
      <c r="AC214" s="772" t="s">
        <v>491</v>
      </c>
      <c r="AD214" s="772"/>
      <c r="AE214" s="772"/>
      <c r="AF214" s="772"/>
      <c r="AG214" s="958"/>
      <c r="AH214" s="597"/>
      <c r="AI214" s="598"/>
    </row>
    <row r="215" spans="1:35" ht="21.95" customHeight="1">
      <c r="A215" s="1300"/>
      <c r="B215" s="1301" t="s">
        <v>188</v>
      </c>
      <c r="C215" s="851"/>
      <c r="D215" s="782" t="s">
        <v>491</v>
      </c>
      <c r="E215" s="782" t="s">
        <v>491</v>
      </c>
      <c r="F215" s="782" t="s">
        <v>491</v>
      </c>
      <c r="G215" s="782" t="s">
        <v>491</v>
      </c>
      <c r="H215" s="782" t="s">
        <v>491</v>
      </c>
      <c r="I215" s="782"/>
      <c r="J215" s="782"/>
      <c r="K215" s="782" t="s">
        <v>491</v>
      </c>
      <c r="L215" s="782" t="s">
        <v>491</v>
      </c>
      <c r="M215" s="782" t="s">
        <v>491</v>
      </c>
      <c r="N215" s="782" t="s">
        <v>491</v>
      </c>
      <c r="O215" s="782" t="s">
        <v>491</v>
      </c>
      <c r="P215" s="782"/>
      <c r="Q215" s="782"/>
      <c r="R215" s="782" t="s">
        <v>491</v>
      </c>
      <c r="S215" s="782" t="s">
        <v>491</v>
      </c>
      <c r="T215" s="782" t="s">
        <v>491</v>
      </c>
      <c r="U215" s="782" t="s">
        <v>491</v>
      </c>
      <c r="V215" s="782" t="s">
        <v>491</v>
      </c>
      <c r="W215" s="782"/>
      <c r="X215" s="782"/>
      <c r="Y215" s="782" t="s">
        <v>491</v>
      </c>
      <c r="Z215" s="782" t="s">
        <v>491</v>
      </c>
      <c r="AA215" s="782" t="s">
        <v>491</v>
      </c>
      <c r="AB215" s="782" t="s">
        <v>491</v>
      </c>
      <c r="AC215" s="782" t="s">
        <v>491</v>
      </c>
      <c r="AD215" s="851"/>
      <c r="AE215" s="851"/>
      <c r="AF215" s="851"/>
      <c r="AG215" s="851"/>
      <c r="AH215" s="998">
        <v>87</v>
      </c>
      <c r="AI215" s="998">
        <v>21.5</v>
      </c>
    </row>
    <row r="216" spans="1:35" ht="21" customHeight="1" thickBot="1">
      <c r="A216" s="1" t="s">
        <v>682</v>
      </c>
    </row>
    <row r="217" spans="1:35" ht="21" customHeight="1">
      <c r="B217" s="201" t="s">
        <v>664</v>
      </c>
      <c r="C217" s="7"/>
      <c r="D217" s="522" t="s">
        <v>2</v>
      </c>
      <c r="E217" s="51"/>
      <c r="F217" s="548"/>
      <c r="G217" s="7"/>
      <c r="H217" s="522" t="s">
        <v>3</v>
      </c>
      <c r="I217" s="51"/>
      <c r="J217" s="548"/>
      <c r="K217" s="7"/>
      <c r="L217" s="522" t="s">
        <v>4</v>
      </c>
      <c r="M217" s="51"/>
      <c r="N217" s="548"/>
      <c r="O217" s="7"/>
      <c r="P217" s="522" t="s">
        <v>5</v>
      </c>
      <c r="Q217" s="51"/>
      <c r="R217" s="548"/>
      <c r="S217" s="7"/>
      <c r="T217" s="522" t="s">
        <v>6</v>
      </c>
      <c r="U217" s="51"/>
      <c r="V217" s="548"/>
      <c r="W217" s="7"/>
      <c r="X217" s="522" t="s">
        <v>7</v>
      </c>
      <c r="Y217" s="51"/>
      <c r="Z217" s="548"/>
      <c r="AA217" s="7"/>
      <c r="AB217" s="522" t="s">
        <v>8</v>
      </c>
      <c r="AC217" s="51"/>
      <c r="AD217" s="51"/>
      <c r="AE217" s="425" t="s">
        <v>10</v>
      </c>
      <c r="AF217" s="51"/>
      <c r="AG217" s="51"/>
      <c r="AH217" s="51"/>
      <c r="AI217" s="523"/>
    </row>
    <row r="218" spans="1:35" ht="21" customHeight="1">
      <c r="B218" s="9">
        <v>8502</v>
      </c>
      <c r="C218" s="14" t="s">
        <v>11</v>
      </c>
      <c r="D218" s="603"/>
      <c r="E218" s="55"/>
      <c r="F218" s="602"/>
      <c r="G218" s="14" t="s">
        <v>11</v>
      </c>
      <c r="H218" s="603"/>
      <c r="I218" s="55"/>
      <c r="J218" s="602"/>
      <c r="K218" s="14" t="s">
        <v>11</v>
      </c>
      <c r="L218" s="603"/>
      <c r="M218" s="55"/>
      <c r="N218" s="602"/>
      <c r="O218" s="14" t="s">
        <v>11</v>
      </c>
      <c r="P218" s="603"/>
      <c r="Q218" s="55"/>
      <c r="R218" s="602"/>
      <c r="S218" s="14" t="s">
        <v>12</v>
      </c>
      <c r="T218" s="603"/>
      <c r="U218" s="55"/>
      <c r="V218" s="602"/>
      <c r="W218" s="14"/>
      <c r="X218" s="603"/>
      <c r="Y218" s="55"/>
      <c r="Z218" s="602"/>
      <c r="AA218" s="14"/>
      <c r="AB218" s="603"/>
      <c r="AC218" s="55"/>
      <c r="AD218" s="55"/>
      <c r="AE218" s="604"/>
      <c r="AF218" s="55"/>
      <c r="AG218" s="55"/>
      <c r="AH218" s="55"/>
      <c r="AI218" s="605"/>
    </row>
    <row r="219" spans="1:35" ht="21" customHeight="1">
      <c r="B219" s="606">
        <v>3701</v>
      </c>
      <c r="C219" s="121" t="s">
        <v>11</v>
      </c>
      <c r="D219" s="131"/>
      <c r="E219" s="55"/>
      <c r="F219" s="602"/>
      <c r="G219" s="121" t="s">
        <v>11</v>
      </c>
      <c r="H219" s="603"/>
      <c r="I219" s="55"/>
      <c r="J219" s="602"/>
      <c r="K219" s="121" t="s">
        <v>11</v>
      </c>
      <c r="L219" s="603"/>
      <c r="M219" s="55"/>
      <c r="N219" s="602"/>
      <c r="O219" s="121" t="s">
        <v>11</v>
      </c>
      <c r="P219" s="603"/>
      <c r="Q219" s="55"/>
      <c r="R219" s="602"/>
      <c r="S219" s="14" t="s">
        <v>12</v>
      </c>
      <c r="T219" s="603"/>
      <c r="U219" s="55"/>
      <c r="V219" s="602"/>
      <c r="W219" s="14"/>
      <c r="X219" s="603"/>
      <c r="Y219" s="55"/>
      <c r="Z219" s="602"/>
      <c r="AA219" s="14"/>
      <c r="AB219" s="603"/>
      <c r="AC219" s="55"/>
      <c r="AD219" s="55"/>
      <c r="AE219" s="604"/>
      <c r="AF219" s="55"/>
      <c r="AG219" s="55"/>
      <c r="AH219" s="55"/>
      <c r="AI219" s="605"/>
    </row>
    <row r="220" spans="1:35" ht="21" customHeight="1">
      <c r="B220" s="606">
        <v>3705</v>
      </c>
      <c r="C220" s="121" t="s">
        <v>147</v>
      </c>
      <c r="D220" s="131"/>
      <c r="E220" s="55"/>
      <c r="F220" s="602"/>
      <c r="G220" s="121" t="s">
        <v>147</v>
      </c>
      <c r="H220" s="603"/>
      <c r="I220" s="55"/>
      <c r="J220" s="602"/>
      <c r="K220" s="121" t="s">
        <v>147</v>
      </c>
      <c r="L220" s="603"/>
      <c r="M220" s="55"/>
      <c r="N220" s="602"/>
      <c r="O220" s="121" t="s">
        <v>147</v>
      </c>
      <c r="P220" s="603"/>
      <c r="Q220" s="55"/>
      <c r="R220" s="602"/>
      <c r="S220" s="121" t="s">
        <v>537</v>
      </c>
      <c r="T220" s="603"/>
      <c r="U220" s="55"/>
      <c r="V220" s="602"/>
      <c r="W220" s="14"/>
      <c r="X220" s="603"/>
      <c r="Y220" s="55"/>
      <c r="Z220" s="602"/>
      <c r="AA220" s="14"/>
      <c r="AB220" s="603"/>
      <c r="AC220" s="55"/>
      <c r="AD220" s="55"/>
      <c r="AE220" s="604"/>
      <c r="AF220" s="55"/>
      <c r="AG220" s="55"/>
      <c r="AH220" s="55"/>
      <c r="AI220" s="605"/>
    </row>
    <row r="221" spans="1:35" ht="21" customHeight="1">
      <c r="B221" s="606">
        <v>3702</v>
      </c>
      <c r="C221" s="563" t="s">
        <v>683</v>
      </c>
      <c r="D221" s="131"/>
      <c r="E221" s="55"/>
      <c r="F221" s="602"/>
      <c r="G221" s="563" t="s">
        <v>683</v>
      </c>
      <c r="H221" s="131"/>
      <c r="I221" s="55"/>
      <c r="J221" s="602"/>
      <c r="K221" s="563" t="s">
        <v>683</v>
      </c>
      <c r="L221" s="131"/>
      <c r="M221" s="55"/>
      <c r="N221" s="602"/>
      <c r="O221" s="563" t="s">
        <v>683</v>
      </c>
      <c r="P221" s="131"/>
      <c r="Q221" s="55"/>
      <c r="R221" s="602"/>
      <c r="S221" s="563" t="s">
        <v>270</v>
      </c>
      <c r="T221" s="131"/>
      <c r="U221" s="55"/>
      <c r="V221" s="602"/>
      <c r="W221" s="14"/>
      <c r="X221" s="603"/>
      <c r="Y221" s="55"/>
      <c r="Z221" s="602"/>
      <c r="AA221" s="14"/>
      <c r="AB221" s="603"/>
      <c r="AC221" s="55"/>
      <c r="AD221" s="55"/>
      <c r="AE221" s="604"/>
      <c r="AF221" s="55"/>
      <c r="AG221" s="55"/>
      <c r="AH221" s="55"/>
      <c r="AI221" s="605"/>
    </row>
    <row r="222" spans="1:35" ht="21" customHeight="1">
      <c r="B222" s="606"/>
      <c r="C222" s="563"/>
      <c r="D222" s="131"/>
      <c r="E222" s="55"/>
      <c r="F222" s="602"/>
      <c r="G222" s="603"/>
      <c r="H222" s="603"/>
      <c r="I222" s="55"/>
      <c r="J222" s="602"/>
      <c r="K222" s="603"/>
      <c r="L222" s="603"/>
      <c r="M222" s="55"/>
      <c r="N222" s="602"/>
      <c r="O222" s="603"/>
      <c r="P222" s="603"/>
      <c r="Q222" s="55"/>
      <c r="R222" s="602"/>
      <c r="S222" s="603"/>
      <c r="T222" s="603"/>
      <c r="U222" s="55"/>
      <c r="V222" s="602"/>
      <c r="W222" s="14"/>
      <c r="X222" s="603"/>
      <c r="Y222" s="55"/>
      <c r="Z222" s="602"/>
      <c r="AA222" s="14"/>
      <c r="AB222" s="603"/>
      <c r="AC222" s="55"/>
      <c r="AD222" s="55"/>
      <c r="AE222" s="604"/>
      <c r="AF222" s="55"/>
      <c r="AG222" s="55"/>
      <c r="AH222" s="55"/>
      <c r="AI222" s="605"/>
    </row>
    <row r="223" spans="1:35" ht="21" customHeight="1">
      <c r="B223" s="606" t="s">
        <v>324</v>
      </c>
      <c r="C223" s="563" t="s">
        <v>684</v>
      </c>
      <c r="D223" s="131"/>
      <c r="E223" s="55"/>
      <c r="F223" s="602"/>
      <c r="G223" s="563" t="s">
        <v>684</v>
      </c>
      <c r="H223" s="131"/>
      <c r="I223" s="55"/>
      <c r="J223" s="602"/>
      <c r="K223" s="563" t="s">
        <v>684</v>
      </c>
      <c r="L223" s="131"/>
      <c r="M223" s="55"/>
      <c r="N223" s="602"/>
      <c r="O223" s="563" t="s">
        <v>684</v>
      </c>
      <c r="P223" s="131"/>
      <c r="Q223" s="55"/>
      <c r="R223" s="602"/>
      <c r="S223" s="603" t="s">
        <v>685</v>
      </c>
      <c r="T223" s="603"/>
      <c r="U223" s="55"/>
      <c r="V223" s="602"/>
      <c r="W223" s="14"/>
      <c r="X223" s="603"/>
      <c r="Y223" s="55"/>
      <c r="Z223" s="602"/>
      <c r="AA223" s="14"/>
      <c r="AB223" s="603"/>
      <c r="AC223" s="55"/>
      <c r="AD223" s="55"/>
      <c r="AE223" s="604"/>
      <c r="AF223" s="55"/>
      <c r="AG223" s="55"/>
      <c r="AH223" s="55"/>
      <c r="AI223" s="605"/>
    </row>
    <row r="224" spans="1:35" ht="21" customHeight="1">
      <c r="B224" s="606" t="s">
        <v>325</v>
      </c>
      <c r="C224" s="563" t="s">
        <v>686</v>
      </c>
      <c r="D224" s="131"/>
      <c r="E224" s="55"/>
      <c r="F224" s="602"/>
      <c r="G224" s="563" t="s">
        <v>686</v>
      </c>
      <c r="H224" s="131"/>
      <c r="I224" s="55"/>
      <c r="J224" s="602"/>
      <c r="K224" s="563" t="s">
        <v>686</v>
      </c>
      <c r="L224" s="131"/>
      <c r="M224" s="55"/>
      <c r="N224" s="602"/>
      <c r="O224" s="563" t="s">
        <v>686</v>
      </c>
      <c r="P224" s="131"/>
      <c r="Q224" s="55"/>
      <c r="R224" s="602"/>
      <c r="S224" s="603" t="s">
        <v>687</v>
      </c>
      <c r="T224" s="603"/>
      <c r="U224" s="55"/>
      <c r="V224" s="602"/>
      <c r="W224" s="14"/>
      <c r="X224" s="603"/>
      <c r="Y224" s="55"/>
      <c r="Z224" s="602"/>
      <c r="AA224" s="14"/>
      <c r="AB224" s="603"/>
      <c r="AC224" s="55"/>
      <c r="AD224" s="55"/>
      <c r="AE224" s="604"/>
      <c r="AF224" s="55"/>
      <c r="AG224" s="55"/>
      <c r="AH224" s="55"/>
      <c r="AI224" s="605"/>
    </row>
    <row r="225" spans="1:35" ht="21" customHeight="1" thickBot="1">
      <c r="B225" s="611" t="s">
        <v>326</v>
      </c>
      <c r="C225" s="570" t="s">
        <v>688</v>
      </c>
      <c r="D225" s="48"/>
      <c r="E225" s="616"/>
      <c r="F225" s="240"/>
      <c r="G225" s="570" t="s">
        <v>688</v>
      </c>
      <c r="H225" s="48"/>
      <c r="I225" s="616"/>
      <c r="J225" s="240"/>
      <c r="K225" s="570" t="s">
        <v>688</v>
      </c>
      <c r="L225" s="48"/>
      <c r="M225" s="616"/>
      <c r="N225" s="240"/>
      <c r="O225" s="570" t="s">
        <v>688</v>
      </c>
      <c r="P225" s="48"/>
      <c r="Q225" s="616"/>
      <c r="R225" s="240"/>
      <c r="S225" s="149" t="s">
        <v>689</v>
      </c>
      <c r="T225" s="149"/>
      <c r="U225" s="616"/>
      <c r="V225" s="240"/>
      <c r="W225" s="617"/>
      <c r="X225" s="149"/>
      <c r="Y225" s="616"/>
      <c r="Z225" s="240"/>
      <c r="AA225" s="617"/>
      <c r="AB225" s="149"/>
      <c r="AC225" s="616"/>
      <c r="AD225" s="616"/>
      <c r="AE225" s="618"/>
      <c r="AF225" s="616"/>
      <c r="AG225" s="616"/>
      <c r="AH225" s="616"/>
      <c r="AI225" s="619"/>
    </row>
    <row r="226" spans="1:35" ht="21" customHeight="1">
      <c r="B226" s="274"/>
      <c r="C226" s="312"/>
      <c r="D226" s="72"/>
      <c r="G226" s="312"/>
      <c r="H226" s="72"/>
      <c r="K226" s="312"/>
      <c r="L226" s="72"/>
      <c r="O226" s="312"/>
      <c r="P226" s="72"/>
      <c r="S226" s="312"/>
      <c r="T226" s="312"/>
      <c r="X226" s="312"/>
      <c r="AB226" s="312"/>
      <c r="AE226" s="312"/>
    </row>
    <row r="227" spans="1:35" ht="21" customHeight="1" thickBot="1">
      <c r="A227" s="620" t="s">
        <v>789</v>
      </c>
    </row>
    <row r="228" spans="1:35" ht="21" customHeight="1" thickBot="1">
      <c r="A228" s="861"/>
      <c r="B228" s="862" t="s">
        <v>476</v>
      </c>
      <c r="C228" s="880">
        <v>1</v>
      </c>
      <c r="D228" s="863">
        <v>2</v>
      </c>
      <c r="E228" s="863">
        <v>3</v>
      </c>
      <c r="F228" s="863">
        <v>4</v>
      </c>
      <c r="G228" s="863">
        <v>5</v>
      </c>
      <c r="H228" s="863">
        <v>6</v>
      </c>
      <c r="I228" s="880">
        <v>7</v>
      </c>
      <c r="J228" s="880">
        <v>8</v>
      </c>
      <c r="K228" s="863">
        <v>9</v>
      </c>
      <c r="L228" s="863">
        <v>10</v>
      </c>
      <c r="M228" s="863">
        <v>11</v>
      </c>
      <c r="N228" s="863">
        <v>12</v>
      </c>
      <c r="O228" s="863">
        <v>13</v>
      </c>
      <c r="P228" s="880">
        <v>14</v>
      </c>
      <c r="Q228" s="880">
        <v>15</v>
      </c>
      <c r="R228" s="863">
        <v>16</v>
      </c>
      <c r="S228" s="863">
        <v>17</v>
      </c>
      <c r="T228" s="863">
        <v>18</v>
      </c>
      <c r="U228" s="863">
        <v>19</v>
      </c>
      <c r="V228" s="863">
        <v>20</v>
      </c>
      <c r="W228" s="880">
        <v>21</v>
      </c>
      <c r="X228" s="880">
        <v>22</v>
      </c>
      <c r="Y228" s="863">
        <v>23</v>
      </c>
      <c r="Z228" s="863">
        <v>24</v>
      </c>
      <c r="AA228" s="863">
        <v>25</v>
      </c>
      <c r="AB228" s="863">
        <v>26</v>
      </c>
      <c r="AC228" s="863">
        <v>27</v>
      </c>
      <c r="AD228" s="880">
        <v>28</v>
      </c>
      <c r="AE228" s="863"/>
      <c r="AF228" s="863"/>
      <c r="AG228" s="943"/>
      <c r="AH228" s="864" t="s">
        <v>477</v>
      </c>
      <c r="AI228" s="865" t="s">
        <v>478</v>
      </c>
    </row>
    <row r="229" spans="1:35" ht="21" customHeight="1">
      <c r="A229" s="438">
        <v>3702</v>
      </c>
      <c r="B229" s="54" t="s">
        <v>691</v>
      </c>
      <c r="C229" s="871"/>
      <c r="D229" s="764">
        <v>1</v>
      </c>
      <c r="E229" s="764">
        <v>1</v>
      </c>
      <c r="F229" s="871">
        <v>1</v>
      </c>
      <c r="G229" s="871">
        <v>1</v>
      </c>
      <c r="H229" s="871">
        <v>1</v>
      </c>
      <c r="I229" s="871"/>
      <c r="J229" s="871"/>
      <c r="K229" s="871">
        <v>2</v>
      </c>
      <c r="L229" s="871">
        <v>2</v>
      </c>
      <c r="M229" s="871">
        <v>2</v>
      </c>
      <c r="N229" s="871">
        <v>2</v>
      </c>
      <c r="O229" s="871">
        <v>2</v>
      </c>
      <c r="P229" s="871"/>
      <c r="Q229" s="871"/>
      <c r="R229" s="764">
        <v>1</v>
      </c>
      <c r="S229" s="764">
        <v>1</v>
      </c>
      <c r="T229" s="871">
        <v>1</v>
      </c>
      <c r="U229" s="871">
        <v>1</v>
      </c>
      <c r="V229" s="871">
        <v>1</v>
      </c>
      <c r="W229" s="871"/>
      <c r="X229" s="871"/>
      <c r="Y229" s="871">
        <v>2</v>
      </c>
      <c r="Z229" s="871">
        <v>2</v>
      </c>
      <c r="AA229" s="871">
        <v>2</v>
      </c>
      <c r="AB229" s="871">
        <v>2</v>
      </c>
      <c r="AC229" s="871">
        <v>2</v>
      </c>
      <c r="AD229" s="871"/>
      <c r="AE229" s="871"/>
      <c r="AF229" s="871"/>
      <c r="AG229" s="871"/>
      <c r="AH229" s="510">
        <v>0</v>
      </c>
      <c r="AI229" s="511">
        <v>0</v>
      </c>
    </row>
    <row r="230" spans="1:35" ht="21" customHeight="1">
      <c r="A230" s="442">
        <v>3701</v>
      </c>
      <c r="B230" s="153" t="s">
        <v>692</v>
      </c>
      <c r="C230" s="762"/>
      <c r="D230" s="768" t="s">
        <v>491</v>
      </c>
      <c r="E230" s="768" t="s">
        <v>491</v>
      </c>
      <c r="F230" s="762" t="s">
        <v>491</v>
      </c>
      <c r="G230" s="762" t="s">
        <v>491</v>
      </c>
      <c r="H230" s="762" t="s">
        <v>491</v>
      </c>
      <c r="I230" s="762"/>
      <c r="J230" s="762"/>
      <c r="K230" s="762" t="s">
        <v>491</v>
      </c>
      <c r="L230" s="762" t="s">
        <v>491</v>
      </c>
      <c r="M230" s="762" t="s">
        <v>491</v>
      </c>
      <c r="N230" s="762" t="s">
        <v>491</v>
      </c>
      <c r="O230" s="762" t="s">
        <v>491</v>
      </c>
      <c r="P230" s="762"/>
      <c r="Q230" s="762"/>
      <c r="R230" s="768" t="s">
        <v>491</v>
      </c>
      <c r="S230" s="768" t="s">
        <v>491</v>
      </c>
      <c r="T230" s="762" t="s">
        <v>491</v>
      </c>
      <c r="U230" s="762" t="s">
        <v>491</v>
      </c>
      <c r="V230" s="762" t="s">
        <v>491</v>
      </c>
      <c r="W230" s="762"/>
      <c r="X230" s="762"/>
      <c r="Y230" s="762" t="s">
        <v>491</v>
      </c>
      <c r="Z230" s="762" t="s">
        <v>491</v>
      </c>
      <c r="AA230" s="762" t="s">
        <v>491</v>
      </c>
      <c r="AB230" s="762" t="s">
        <v>491</v>
      </c>
      <c r="AC230" s="978" t="s">
        <v>491</v>
      </c>
      <c r="AD230" s="762"/>
      <c r="AE230" s="762"/>
      <c r="AF230" s="762"/>
      <c r="AG230" s="762"/>
      <c r="AH230" s="924">
        <v>0</v>
      </c>
      <c r="AI230" s="925">
        <v>37</v>
      </c>
    </row>
    <row r="231" spans="1:35" ht="21" customHeight="1">
      <c r="A231" s="442">
        <v>3702</v>
      </c>
      <c r="B231" s="153" t="s">
        <v>693</v>
      </c>
      <c r="C231" s="762"/>
      <c r="D231" s="768">
        <v>2</v>
      </c>
      <c r="E231" s="768">
        <v>2</v>
      </c>
      <c r="F231" s="762">
        <v>2</v>
      </c>
      <c r="G231" s="762">
        <v>2</v>
      </c>
      <c r="H231" s="762">
        <v>2</v>
      </c>
      <c r="I231" s="762"/>
      <c r="J231" s="762"/>
      <c r="K231" s="762">
        <v>1</v>
      </c>
      <c r="L231" s="762">
        <v>1</v>
      </c>
      <c r="M231" s="762">
        <v>1</v>
      </c>
      <c r="N231" s="762">
        <v>1</v>
      </c>
      <c r="O231" s="762">
        <v>1</v>
      </c>
      <c r="P231" s="762"/>
      <c r="Q231" s="762"/>
      <c r="R231" s="768">
        <v>2</v>
      </c>
      <c r="S231" s="768">
        <v>2</v>
      </c>
      <c r="T231" s="762">
        <v>2</v>
      </c>
      <c r="U231" s="762">
        <v>2</v>
      </c>
      <c r="V231" s="762">
        <v>2</v>
      </c>
      <c r="W231" s="762"/>
      <c r="X231" s="762"/>
      <c r="Y231" s="762">
        <v>1</v>
      </c>
      <c r="Z231" s="762">
        <v>1</v>
      </c>
      <c r="AA231" s="762">
        <v>1</v>
      </c>
      <c r="AB231" s="762">
        <v>1</v>
      </c>
      <c r="AC231" s="762">
        <v>1</v>
      </c>
      <c r="AD231" s="762"/>
      <c r="AE231" s="762"/>
      <c r="AF231" s="762"/>
      <c r="AG231" s="762"/>
      <c r="AH231" s="924">
        <v>140.5</v>
      </c>
      <c r="AI231" s="925">
        <v>7.5</v>
      </c>
    </row>
    <row r="232" spans="1:35" ht="21" customHeight="1">
      <c r="A232" s="621">
        <v>3706</v>
      </c>
      <c r="B232" s="854"/>
      <c r="C232" s="768"/>
      <c r="D232" s="768"/>
      <c r="E232" s="768"/>
      <c r="F232" s="768"/>
      <c r="G232" s="768"/>
      <c r="H232" s="768"/>
      <c r="I232" s="768"/>
      <c r="J232" s="768"/>
      <c r="K232" s="768"/>
      <c r="L232" s="768"/>
      <c r="M232" s="768"/>
      <c r="N232" s="768"/>
      <c r="O232" s="768"/>
      <c r="P232" s="768"/>
      <c r="Q232" s="768"/>
      <c r="R232" s="768"/>
      <c r="S232" s="768"/>
      <c r="T232" s="768"/>
      <c r="U232" s="768"/>
      <c r="V232" s="768"/>
      <c r="W232" s="768"/>
      <c r="X232" s="768"/>
      <c r="Y232" s="768"/>
      <c r="Z232" s="768"/>
      <c r="AA232" s="768"/>
      <c r="AB232" s="768"/>
      <c r="AC232" s="768"/>
      <c r="AD232" s="768"/>
      <c r="AE232" s="768"/>
      <c r="AF232" s="768"/>
      <c r="AG232" s="768"/>
      <c r="AH232" s="924">
        <v>111</v>
      </c>
      <c r="AI232" s="925">
        <v>37</v>
      </c>
    </row>
    <row r="233" spans="1:35" ht="21" customHeight="1">
      <c r="A233" s="622"/>
      <c r="B233" s="623" t="s">
        <v>695</v>
      </c>
      <c r="C233" s="940"/>
      <c r="D233" s="940"/>
      <c r="E233" s="940"/>
      <c r="F233" s="940"/>
      <c r="G233" s="940"/>
      <c r="H233" s="940"/>
      <c r="I233" s="940"/>
      <c r="J233" s="940"/>
      <c r="K233" s="940"/>
      <c r="L233" s="940"/>
      <c r="M233" s="940"/>
      <c r="N233" s="940"/>
      <c r="O233" s="940"/>
      <c r="P233" s="940"/>
      <c r="Q233" s="940"/>
      <c r="R233" s="940"/>
      <c r="S233" s="940"/>
      <c r="T233" s="940"/>
      <c r="U233" s="940"/>
      <c r="V233" s="940"/>
      <c r="W233" s="940"/>
      <c r="X233" s="940"/>
      <c r="Y233" s="940"/>
      <c r="Z233" s="940"/>
      <c r="AA233" s="940"/>
      <c r="AB233" s="940"/>
      <c r="AC233" s="940"/>
      <c r="AD233" s="940"/>
      <c r="AE233" s="940"/>
      <c r="AF233" s="940"/>
      <c r="AG233" s="922"/>
      <c r="AH233" s="624"/>
      <c r="AI233" s="625"/>
    </row>
    <row r="234" spans="1:35" ht="21" customHeight="1">
      <c r="A234" s="442">
        <v>3702</v>
      </c>
      <c r="B234" s="793" t="s">
        <v>696</v>
      </c>
      <c r="C234" s="762"/>
      <c r="D234" s="762" t="s">
        <v>697</v>
      </c>
      <c r="E234" s="762" t="s">
        <v>697</v>
      </c>
      <c r="F234" s="762" t="s">
        <v>697</v>
      </c>
      <c r="G234" s="762" t="s">
        <v>697</v>
      </c>
      <c r="H234" s="762" t="s">
        <v>697</v>
      </c>
      <c r="I234" s="762"/>
      <c r="J234" s="762"/>
      <c r="K234" s="762" t="s">
        <v>697</v>
      </c>
      <c r="L234" s="762" t="s">
        <v>697</v>
      </c>
      <c r="M234" s="762" t="s">
        <v>697</v>
      </c>
      <c r="N234" s="762" t="s">
        <v>697</v>
      </c>
      <c r="O234" s="762" t="s">
        <v>697</v>
      </c>
      <c r="P234" s="762"/>
      <c r="Q234" s="762"/>
      <c r="R234" s="762" t="s">
        <v>697</v>
      </c>
      <c r="S234" s="762" t="s">
        <v>697</v>
      </c>
      <c r="T234" s="762" t="s">
        <v>697</v>
      </c>
      <c r="U234" s="762" t="s">
        <v>697</v>
      </c>
      <c r="V234" s="762" t="s">
        <v>697</v>
      </c>
      <c r="W234" s="762"/>
      <c r="X234" s="762"/>
      <c r="Y234" s="762" t="s">
        <v>697</v>
      </c>
      <c r="Z234" s="762" t="s">
        <v>697</v>
      </c>
      <c r="AA234" s="762" t="s">
        <v>697</v>
      </c>
      <c r="AB234" s="762" t="s">
        <v>697</v>
      </c>
      <c r="AC234" s="762" t="s">
        <v>697</v>
      </c>
      <c r="AD234" s="762"/>
      <c r="AE234" s="762"/>
      <c r="AF234" s="762"/>
      <c r="AG234" s="762"/>
      <c r="AH234" s="924">
        <v>52</v>
      </c>
      <c r="AI234" s="925">
        <v>37</v>
      </c>
    </row>
    <row r="235" spans="1:35" ht="21" customHeight="1">
      <c r="A235" s="442"/>
      <c r="B235" s="153" t="s">
        <v>698</v>
      </c>
      <c r="C235" s="762"/>
      <c r="D235" s="762" t="s">
        <v>699</v>
      </c>
      <c r="E235" s="762" t="s">
        <v>699</v>
      </c>
      <c r="F235" s="762" t="s">
        <v>699</v>
      </c>
      <c r="G235" s="762" t="s">
        <v>699</v>
      </c>
      <c r="H235" s="762" t="s">
        <v>699</v>
      </c>
      <c r="I235" s="762"/>
      <c r="J235" s="762"/>
      <c r="K235" s="979" t="s">
        <v>699</v>
      </c>
      <c r="L235" s="979" t="s">
        <v>699</v>
      </c>
      <c r="M235" s="979" t="s">
        <v>699</v>
      </c>
      <c r="N235" s="979" t="s">
        <v>699</v>
      </c>
      <c r="O235" s="979" t="s">
        <v>699</v>
      </c>
      <c r="P235" s="979"/>
      <c r="Q235" s="979"/>
      <c r="R235" s="762" t="s">
        <v>699</v>
      </c>
      <c r="S235" s="762" t="s">
        <v>699</v>
      </c>
      <c r="T235" s="762" t="s">
        <v>699</v>
      </c>
      <c r="U235" s="762" t="s">
        <v>699</v>
      </c>
      <c r="V235" s="762" t="s">
        <v>699</v>
      </c>
      <c r="W235" s="762"/>
      <c r="X235" s="762"/>
      <c r="Y235" s="762" t="s">
        <v>699</v>
      </c>
      <c r="Z235" s="762" t="s">
        <v>699</v>
      </c>
      <c r="AA235" s="762" t="s">
        <v>699</v>
      </c>
      <c r="AB235" s="762" t="s">
        <v>699</v>
      </c>
      <c r="AC235" s="762" t="s">
        <v>699</v>
      </c>
      <c r="AD235" s="762"/>
      <c r="AE235" s="762"/>
      <c r="AF235" s="762"/>
      <c r="AG235" s="762"/>
      <c r="AH235" s="924">
        <v>18</v>
      </c>
      <c r="AI235" s="925">
        <v>0</v>
      </c>
    </row>
    <row r="236" spans="1:35" ht="21" customHeight="1" thickBot="1">
      <c r="A236" s="906"/>
      <c r="B236" s="895" t="s">
        <v>700</v>
      </c>
      <c r="C236" s="875"/>
      <c r="D236" s="875" t="s">
        <v>701</v>
      </c>
      <c r="E236" s="875" t="s">
        <v>701</v>
      </c>
      <c r="F236" s="875" t="s">
        <v>701</v>
      </c>
      <c r="G236" s="875" t="s">
        <v>701</v>
      </c>
      <c r="H236" s="875" t="s">
        <v>701</v>
      </c>
      <c r="I236" s="875"/>
      <c r="J236" s="875"/>
      <c r="K236" s="875" t="s">
        <v>701</v>
      </c>
      <c r="L236" s="875" t="s">
        <v>701</v>
      </c>
      <c r="M236" s="875" t="s">
        <v>701</v>
      </c>
      <c r="N236" s="875" t="s">
        <v>701</v>
      </c>
      <c r="O236" s="875" t="s">
        <v>701</v>
      </c>
      <c r="P236" s="875"/>
      <c r="Q236" s="875"/>
      <c r="R236" s="990" t="s">
        <v>701</v>
      </c>
      <c r="S236" s="990" t="s">
        <v>701</v>
      </c>
      <c r="T236" s="990" t="s">
        <v>701</v>
      </c>
      <c r="U236" s="990" t="s">
        <v>701</v>
      </c>
      <c r="V236" s="990" t="s">
        <v>701</v>
      </c>
      <c r="W236" s="990"/>
      <c r="X236" s="990"/>
      <c r="Y236" s="875" t="s">
        <v>701</v>
      </c>
      <c r="Z236" s="875" t="s">
        <v>701</v>
      </c>
      <c r="AA236" s="875" t="s">
        <v>701</v>
      </c>
      <c r="AB236" s="875" t="s">
        <v>701</v>
      </c>
      <c r="AC236" s="875" t="s">
        <v>701</v>
      </c>
      <c r="AD236" s="875"/>
      <c r="AE236" s="875"/>
      <c r="AF236" s="875"/>
      <c r="AG236" s="875"/>
      <c r="AH236" s="868">
        <v>22</v>
      </c>
      <c r="AI236" s="869">
        <v>37</v>
      </c>
    </row>
    <row r="237" spans="1:35" ht="21" customHeight="1"/>
    <row r="238" spans="1:35" ht="21" customHeight="1"/>
    <row r="239" spans="1:35" ht="21" customHeight="1" thickBot="1">
      <c r="A239" s="1" t="s">
        <v>702</v>
      </c>
    </row>
    <row r="240" spans="1:35" ht="21" customHeight="1">
      <c r="B240" s="201" t="s">
        <v>664</v>
      </c>
      <c r="C240" s="7"/>
      <c r="D240" s="522" t="s">
        <v>2</v>
      </c>
      <c r="E240" s="51"/>
      <c r="F240" s="548"/>
      <c r="G240" s="7"/>
      <c r="H240" s="522" t="s">
        <v>3</v>
      </c>
      <c r="I240" s="51"/>
      <c r="J240" s="548"/>
      <c r="K240" s="7"/>
      <c r="L240" s="522" t="s">
        <v>4</v>
      </c>
      <c r="M240" s="51"/>
      <c r="N240" s="548"/>
      <c r="O240" s="7"/>
      <c r="P240" s="522" t="s">
        <v>5</v>
      </c>
      <c r="Q240" s="51"/>
      <c r="R240" s="548"/>
      <c r="S240" s="7"/>
      <c r="T240" s="522" t="s">
        <v>6</v>
      </c>
      <c r="U240" s="51"/>
      <c r="V240" s="548"/>
      <c r="W240" s="7"/>
      <c r="X240" s="522" t="s">
        <v>7</v>
      </c>
      <c r="Y240" s="51"/>
      <c r="Z240" s="548"/>
      <c r="AA240" s="7"/>
      <c r="AB240" s="522" t="s">
        <v>8</v>
      </c>
      <c r="AC240" s="51"/>
      <c r="AD240" s="51"/>
      <c r="AE240" s="425" t="s">
        <v>10</v>
      </c>
      <c r="AF240" s="51"/>
      <c r="AG240" s="51"/>
      <c r="AH240" s="51"/>
      <c r="AI240" s="523"/>
    </row>
    <row r="241" spans="1:35" ht="21" customHeight="1">
      <c r="B241" s="9">
        <v>8500</v>
      </c>
      <c r="C241" s="121" t="s">
        <v>33</v>
      </c>
      <c r="D241" s="603"/>
      <c r="E241" s="55"/>
      <c r="F241" s="602"/>
      <c r="G241" s="121" t="s">
        <v>33</v>
      </c>
      <c r="H241" s="603"/>
      <c r="I241" s="55"/>
      <c r="J241" s="602"/>
      <c r="K241" s="121" t="s">
        <v>33</v>
      </c>
      <c r="L241" s="603"/>
      <c r="M241" s="55"/>
      <c r="N241" s="602"/>
      <c r="O241" s="121" t="s">
        <v>33</v>
      </c>
      <c r="P241" s="603"/>
      <c r="Q241" s="55"/>
      <c r="R241" s="602"/>
      <c r="S241" s="121" t="s">
        <v>34</v>
      </c>
      <c r="T241" s="603"/>
      <c r="U241" s="55"/>
      <c r="V241" s="602"/>
      <c r="W241" s="14"/>
      <c r="X241" s="603"/>
      <c r="Y241" s="55"/>
      <c r="Z241" s="602"/>
      <c r="AA241" s="14"/>
      <c r="AB241" s="603"/>
      <c r="AC241" s="55"/>
      <c r="AD241" s="55"/>
      <c r="AE241" s="604"/>
      <c r="AF241" s="55"/>
      <c r="AG241" s="55"/>
      <c r="AH241" s="55"/>
      <c r="AI241" s="605"/>
    </row>
    <row r="242" spans="1:35" ht="21" customHeight="1" thickBot="1">
      <c r="B242" s="163" t="s">
        <v>703</v>
      </c>
      <c r="C242" s="626" t="s">
        <v>704</v>
      </c>
      <c r="D242" s="627"/>
      <c r="E242" s="616"/>
      <c r="F242" s="240"/>
      <c r="G242" s="626" t="s">
        <v>704</v>
      </c>
      <c r="H242" s="149"/>
      <c r="I242" s="616"/>
      <c r="J242" s="240"/>
      <c r="K242" s="626" t="s">
        <v>704</v>
      </c>
      <c r="L242" s="149"/>
      <c r="M242" s="616"/>
      <c r="N242" s="240"/>
      <c r="O242" s="626" t="s">
        <v>705</v>
      </c>
      <c r="P242" s="149"/>
      <c r="Q242" s="616"/>
      <c r="R242" s="240"/>
      <c r="S242" s="626" t="s">
        <v>16</v>
      </c>
      <c r="T242" s="149"/>
      <c r="U242" s="616"/>
      <c r="V242" s="240"/>
      <c r="W242" s="617"/>
      <c r="X242" s="149"/>
      <c r="Y242" s="616"/>
      <c r="Z242" s="240"/>
      <c r="AA242" s="617"/>
      <c r="AB242" s="149"/>
      <c r="AC242" s="616"/>
      <c r="AD242" s="616"/>
      <c r="AE242" s="618"/>
      <c r="AF242" s="616"/>
      <c r="AG242" s="616"/>
      <c r="AH242" s="616"/>
      <c r="AI242" s="619"/>
    </row>
    <row r="243" spans="1:35" ht="21" customHeight="1" thickBot="1">
      <c r="A243" s="60" t="s">
        <v>789</v>
      </c>
    </row>
    <row r="244" spans="1:35" ht="21" customHeight="1" thickBot="1">
      <c r="A244" s="911"/>
      <c r="B244" s="862" t="s">
        <v>476</v>
      </c>
      <c r="C244" s="880">
        <v>1</v>
      </c>
      <c r="D244" s="863">
        <v>2</v>
      </c>
      <c r="E244" s="863">
        <v>3</v>
      </c>
      <c r="F244" s="863">
        <v>4</v>
      </c>
      <c r="G244" s="863">
        <v>5</v>
      </c>
      <c r="H244" s="863">
        <v>6</v>
      </c>
      <c r="I244" s="880">
        <v>7</v>
      </c>
      <c r="J244" s="880">
        <v>8</v>
      </c>
      <c r="K244" s="863">
        <v>9</v>
      </c>
      <c r="L244" s="863">
        <v>10</v>
      </c>
      <c r="M244" s="863">
        <v>11</v>
      </c>
      <c r="N244" s="863">
        <v>12</v>
      </c>
      <c r="O244" s="863">
        <v>13</v>
      </c>
      <c r="P244" s="880">
        <v>14</v>
      </c>
      <c r="Q244" s="880">
        <v>15</v>
      </c>
      <c r="R244" s="863">
        <v>16</v>
      </c>
      <c r="S244" s="863">
        <v>17</v>
      </c>
      <c r="T244" s="863">
        <v>18</v>
      </c>
      <c r="U244" s="863">
        <v>19</v>
      </c>
      <c r="V244" s="863">
        <v>20</v>
      </c>
      <c r="W244" s="880">
        <v>21</v>
      </c>
      <c r="X244" s="880">
        <v>22</v>
      </c>
      <c r="Y244" s="863">
        <v>23</v>
      </c>
      <c r="Z244" s="863">
        <v>24</v>
      </c>
      <c r="AA244" s="863">
        <v>25</v>
      </c>
      <c r="AB244" s="863">
        <v>26</v>
      </c>
      <c r="AC244" s="863">
        <v>27</v>
      </c>
      <c r="AD244" s="880">
        <v>28</v>
      </c>
      <c r="AE244" s="863"/>
      <c r="AF244" s="863"/>
      <c r="AG244" s="943"/>
      <c r="AH244" s="864" t="s">
        <v>477</v>
      </c>
      <c r="AI244" s="865" t="s">
        <v>478</v>
      </c>
    </row>
    <row r="245" spans="1:35" ht="21" customHeight="1">
      <c r="A245" s="14">
        <v>8500</v>
      </c>
      <c r="B245" s="908" t="s">
        <v>707</v>
      </c>
      <c r="C245" s="955"/>
      <c r="D245" s="955" t="s">
        <v>491</v>
      </c>
      <c r="E245" s="955" t="s">
        <v>491</v>
      </c>
      <c r="F245" s="955" t="s">
        <v>491</v>
      </c>
      <c r="G245" s="955" t="s">
        <v>491</v>
      </c>
      <c r="H245" s="955" t="s">
        <v>491</v>
      </c>
      <c r="I245" s="955"/>
      <c r="J245" s="955"/>
      <c r="K245" s="955" t="s">
        <v>491</v>
      </c>
      <c r="L245" s="955" t="s">
        <v>491</v>
      </c>
      <c r="M245" s="955" t="s">
        <v>491</v>
      </c>
      <c r="N245" s="955" t="s">
        <v>491</v>
      </c>
      <c r="O245" s="955" t="s">
        <v>491</v>
      </c>
      <c r="P245" s="955"/>
      <c r="Q245" s="955"/>
      <c r="R245" s="955" t="s">
        <v>491</v>
      </c>
      <c r="S245" s="955" t="s">
        <v>491</v>
      </c>
      <c r="T245" s="1231" t="s">
        <v>491</v>
      </c>
      <c r="U245" s="1231" t="s">
        <v>491</v>
      </c>
      <c r="V245" s="1231" t="s">
        <v>491</v>
      </c>
      <c r="W245" s="1231"/>
      <c r="X245" s="1231"/>
      <c r="Y245" s="1231" t="s">
        <v>491</v>
      </c>
      <c r="Z245" s="1231" t="s">
        <v>491</v>
      </c>
      <c r="AA245" s="1231" t="s">
        <v>493</v>
      </c>
      <c r="AB245" s="1287" t="s">
        <v>491</v>
      </c>
      <c r="AC245" s="1287" t="s">
        <v>491</v>
      </c>
      <c r="AD245" s="955"/>
      <c r="AE245" s="955"/>
      <c r="AF245" s="955"/>
      <c r="AG245" s="956"/>
      <c r="AH245" s="909">
        <v>76</v>
      </c>
      <c r="AI245" s="910">
        <v>37</v>
      </c>
    </row>
    <row r="246" spans="1:35" ht="21" customHeight="1">
      <c r="A246" s="500" t="s">
        <v>708</v>
      </c>
      <c r="B246" s="153" t="s">
        <v>709</v>
      </c>
      <c r="C246" s="768"/>
      <c r="D246" s="970" t="s">
        <v>491</v>
      </c>
      <c r="E246" s="970" t="s">
        <v>491</v>
      </c>
      <c r="F246" s="970" t="s">
        <v>491</v>
      </c>
      <c r="G246" s="970" t="s">
        <v>491</v>
      </c>
      <c r="H246" s="768" t="s">
        <v>481</v>
      </c>
      <c r="I246" s="768"/>
      <c r="J246" s="768"/>
      <c r="K246" s="1030" t="s">
        <v>491</v>
      </c>
      <c r="L246" s="1030" t="s">
        <v>491</v>
      </c>
      <c r="M246" s="1030" t="s">
        <v>491</v>
      </c>
      <c r="N246" s="1030" t="s">
        <v>491</v>
      </c>
      <c r="O246" s="1030" t="s">
        <v>491</v>
      </c>
      <c r="P246" s="768"/>
      <c r="Q246" s="768"/>
      <c r="R246" s="768" t="s">
        <v>491</v>
      </c>
      <c r="S246" s="768" t="s">
        <v>491</v>
      </c>
      <c r="T246" s="768" t="s">
        <v>491</v>
      </c>
      <c r="U246" s="768" t="s">
        <v>491</v>
      </c>
      <c r="V246" s="768" t="s">
        <v>481</v>
      </c>
      <c r="W246" s="768"/>
      <c r="X246" s="768"/>
      <c r="Y246" s="768" t="s">
        <v>491</v>
      </c>
      <c r="Z246" s="768" t="s">
        <v>491</v>
      </c>
      <c r="AA246" s="768" t="s">
        <v>491</v>
      </c>
      <c r="AB246" s="768" t="s">
        <v>491</v>
      </c>
      <c r="AC246" s="768" t="s">
        <v>491</v>
      </c>
      <c r="AD246" s="768"/>
      <c r="AE246" s="768"/>
      <c r="AF246" s="768"/>
      <c r="AG246" s="774"/>
      <c r="AH246" s="628">
        <v>10</v>
      </c>
      <c r="AI246" s="629">
        <v>37</v>
      </c>
    </row>
    <row r="247" spans="1:35" ht="21.95" customHeight="1">
      <c r="A247" s="442"/>
      <c r="B247" s="153" t="s">
        <v>710</v>
      </c>
      <c r="C247" s="768"/>
      <c r="D247" s="768" t="s">
        <v>491</v>
      </c>
      <c r="E247" s="768" t="s">
        <v>491</v>
      </c>
      <c r="F247" s="768" t="s">
        <v>491</v>
      </c>
      <c r="G247" s="768" t="s">
        <v>491</v>
      </c>
      <c r="H247" s="768" t="s">
        <v>491</v>
      </c>
      <c r="I247" s="768"/>
      <c r="J247" s="768"/>
      <c r="K247" s="768" t="s">
        <v>491</v>
      </c>
      <c r="L247" s="768" t="s">
        <v>491</v>
      </c>
      <c r="M247" s="768" t="s">
        <v>491</v>
      </c>
      <c r="N247" s="768" t="s">
        <v>491</v>
      </c>
      <c r="O247" s="768" t="s">
        <v>491</v>
      </c>
      <c r="P247" s="768"/>
      <c r="Q247" s="768"/>
      <c r="R247" s="768" t="s">
        <v>491</v>
      </c>
      <c r="S247" s="768" t="s">
        <v>491</v>
      </c>
      <c r="T247" s="768" t="s">
        <v>491</v>
      </c>
      <c r="U247" s="768" t="s">
        <v>491</v>
      </c>
      <c r="V247" s="768" t="s">
        <v>491</v>
      </c>
      <c r="W247" s="768"/>
      <c r="X247" s="768"/>
      <c r="Y247" s="970" t="s">
        <v>491</v>
      </c>
      <c r="Z247" s="970" t="s">
        <v>491</v>
      </c>
      <c r="AA247" s="970" t="s">
        <v>491</v>
      </c>
      <c r="AB247" s="970" t="s">
        <v>491</v>
      </c>
      <c r="AC247" s="970" t="s">
        <v>491</v>
      </c>
      <c r="AD247" s="970"/>
      <c r="AE247" s="768"/>
      <c r="AF247" s="768"/>
      <c r="AG247" s="774"/>
      <c r="AH247" s="628">
        <v>74</v>
      </c>
      <c r="AI247" s="629">
        <v>37</v>
      </c>
    </row>
    <row r="248" spans="1:35" ht="21.95" customHeight="1">
      <c r="A248" s="516">
        <v>3701</v>
      </c>
      <c r="B248" s="134" t="s">
        <v>711</v>
      </c>
      <c r="C248" s="970"/>
      <c r="D248" s="970" t="s">
        <v>491</v>
      </c>
      <c r="E248" s="970" t="s">
        <v>491</v>
      </c>
      <c r="F248" s="970" t="s">
        <v>491</v>
      </c>
      <c r="G248" s="970" t="s">
        <v>491</v>
      </c>
      <c r="H248" s="970" t="s">
        <v>491</v>
      </c>
      <c r="I248" s="970"/>
      <c r="J248" s="970"/>
      <c r="K248" s="1007" t="s">
        <v>491</v>
      </c>
      <c r="L248" s="1007" t="s">
        <v>491</v>
      </c>
      <c r="M248" s="1007" t="s">
        <v>491</v>
      </c>
      <c r="N248" s="1007" t="s">
        <v>491</v>
      </c>
      <c r="O248" s="1007" t="s">
        <v>491</v>
      </c>
      <c r="P248" s="1007"/>
      <c r="Q248" s="1007"/>
      <c r="R248" s="1007" t="s">
        <v>491</v>
      </c>
      <c r="S248" s="1007" t="s">
        <v>491</v>
      </c>
      <c r="T248" s="1007" t="s">
        <v>491</v>
      </c>
      <c r="U248" s="1007" t="s">
        <v>491</v>
      </c>
      <c r="V248" s="1007" t="s">
        <v>491</v>
      </c>
      <c r="W248" s="768"/>
      <c r="X248" s="768"/>
      <c r="Y248" s="768" t="s">
        <v>491</v>
      </c>
      <c r="Z248" s="768" t="s">
        <v>491</v>
      </c>
      <c r="AA248" s="768" t="s">
        <v>491</v>
      </c>
      <c r="AB248" s="768" t="s">
        <v>491</v>
      </c>
      <c r="AC248" s="768" t="s">
        <v>491</v>
      </c>
      <c r="AD248" s="768"/>
      <c r="AE248" s="768"/>
      <c r="AF248" s="768"/>
      <c r="AG248" s="774"/>
      <c r="AH248" s="849">
        <v>0</v>
      </c>
      <c r="AI248" s="850">
        <v>37</v>
      </c>
    </row>
    <row r="249" spans="1:35" ht="21" customHeight="1">
      <c r="A249" s="793">
        <v>8500</v>
      </c>
      <c r="B249" s="227" t="s">
        <v>712</v>
      </c>
      <c r="C249" s="768"/>
      <c r="D249" s="768" t="s">
        <v>491</v>
      </c>
      <c r="E249" s="768" t="s">
        <v>491</v>
      </c>
      <c r="F249" s="768" t="s">
        <v>491</v>
      </c>
      <c r="G249" s="768" t="s">
        <v>491</v>
      </c>
      <c r="H249" s="768" t="s">
        <v>491</v>
      </c>
      <c r="I249" s="768"/>
      <c r="J249" s="768"/>
      <c r="K249" s="768" t="s">
        <v>491</v>
      </c>
      <c r="L249" s="768" t="s">
        <v>491</v>
      </c>
      <c r="M249" s="768" t="s">
        <v>491</v>
      </c>
      <c r="N249" s="768" t="s">
        <v>491</v>
      </c>
      <c r="O249" s="768" t="s">
        <v>491</v>
      </c>
      <c r="P249" s="768"/>
      <c r="Q249" s="768"/>
      <c r="R249" s="768" t="s">
        <v>491</v>
      </c>
      <c r="S249" s="768" t="s">
        <v>491</v>
      </c>
      <c r="T249" s="768" t="s">
        <v>491</v>
      </c>
      <c r="U249" s="768" t="s">
        <v>491</v>
      </c>
      <c r="V249" s="1038" t="s">
        <v>493</v>
      </c>
      <c r="W249" s="987"/>
      <c r="X249" s="987"/>
      <c r="Y249" s="987" t="s">
        <v>491</v>
      </c>
      <c r="Z249" s="768" t="s">
        <v>491</v>
      </c>
      <c r="AA249" s="768" t="s">
        <v>491</v>
      </c>
      <c r="AB249" s="768" t="s">
        <v>491</v>
      </c>
      <c r="AC249" s="768" t="s">
        <v>491</v>
      </c>
      <c r="AD249" s="768"/>
      <c r="AE249" s="768"/>
      <c r="AF249" s="768"/>
      <c r="AG249" s="774"/>
      <c r="AH249" s="849">
        <v>185</v>
      </c>
      <c r="AI249" s="850">
        <v>37</v>
      </c>
    </row>
    <row r="250" spans="1:35" ht="21.95" customHeight="1">
      <c r="A250" s="856">
        <v>3350</v>
      </c>
      <c r="B250" s="855"/>
      <c r="C250" s="768"/>
      <c r="D250" s="768"/>
      <c r="E250" s="768"/>
      <c r="F250" s="768"/>
      <c r="G250" s="768"/>
      <c r="H250" s="768"/>
      <c r="I250" s="768"/>
      <c r="J250" s="768"/>
      <c r="K250" s="768"/>
      <c r="L250" s="768"/>
      <c r="M250" s="768"/>
      <c r="N250" s="768"/>
      <c r="O250" s="768"/>
      <c r="P250" s="768"/>
      <c r="Q250" s="768"/>
      <c r="R250" s="768"/>
      <c r="S250" s="768"/>
      <c r="T250" s="768"/>
      <c r="U250" s="768"/>
      <c r="V250" s="768"/>
      <c r="W250" s="768"/>
      <c r="X250" s="768"/>
      <c r="Y250" s="768"/>
      <c r="Z250" s="768"/>
      <c r="AA250" s="768"/>
      <c r="AB250" s="768"/>
      <c r="AC250" s="768"/>
      <c r="AD250" s="768"/>
      <c r="AE250" s="768"/>
      <c r="AF250" s="768"/>
      <c r="AG250" s="774"/>
      <c r="AH250" s="849">
        <v>185</v>
      </c>
      <c r="AI250" s="850">
        <v>37</v>
      </c>
    </row>
    <row r="251" spans="1:35" ht="21.95" customHeight="1">
      <c r="A251" s="1136"/>
      <c r="B251" s="1137"/>
      <c r="C251" s="772"/>
      <c r="D251" s="772"/>
      <c r="E251" s="772"/>
      <c r="F251" s="772"/>
      <c r="G251" s="772"/>
      <c r="H251" s="772"/>
      <c r="I251" s="772"/>
      <c r="J251" s="772"/>
      <c r="K251" s="772"/>
      <c r="L251" s="772"/>
      <c r="M251" s="772"/>
      <c r="N251" s="772"/>
      <c r="O251" s="772"/>
      <c r="P251" s="772"/>
      <c r="Q251" s="772"/>
      <c r="R251" s="772"/>
      <c r="S251" s="772"/>
      <c r="T251" s="772"/>
      <c r="U251" s="772"/>
      <c r="V251" s="772"/>
      <c r="W251" s="772"/>
      <c r="X251" s="772"/>
      <c r="Y251" s="772"/>
      <c r="Z251" s="772"/>
      <c r="AA251" s="772"/>
      <c r="AB251" s="772"/>
      <c r="AC251" s="772"/>
      <c r="AD251" s="772"/>
      <c r="AE251" s="772"/>
      <c r="AF251" s="772"/>
      <c r="AG251" s="958"/>
      <c r="AH251" s="849"/>
      <c r="AI251" s="850"/>
    </row>
    <row r="252" spans="1:35" ht="21.95" customHeight="1">
      <c r="A252" s="856"/>
      <c r="B252" s="1142"/>
      <c r="C252" s="782"/>
      <c r="D252" s="782"/>
      <c r="E252" s="782"/>
      <c r="F252" s="782"/>
      <c r="G252" s="782"/>
      <c r="H252" s="782"/>
      <c r="I252" s="782"/>
      <c r="J252" s="782"/>
      <c r="K252" s="782"/>
      <c r="L252" s="782"/>
      <c r="M252" s="782"/>
      <c r="N252" s="782"/>
      <c r="O252" s="782"/>
      <c r="P252" s="782"/>
      <c r="Q252" s="782"/>
      <c r="R252" s="782"/>
      <c r="S252" s="782"/>
      <c r="T252" s="782"/>
      <c r="U252" s="782"/>
      <c r="V252" s="782"/>
      <c r="W252" s="782"/>
      <c r="X252" s="782"/>
      <c r="Y252" s="782"/>
      <c r="Z252" s="782"/>
      <c r="AA252" s="782"/>
      <c r="AB252" s="782"/>
      <c r="AC252" s="782"/>
      <c r="AD252" s="782"/>
      <c r="AE252" s="782"/>
      <c r="AF252" s="782"/>
      <c r="AG252" s="782"/>
      <c r="AH252" s="1141"/>
      <c r="AI252" s="1141"/>
    </row>
    <row r="253" spans="1:35" ht="21.95" customHeight="1">
      <c r="A253" s="793"/>
      <c r="B253" s="1142"/>
      <c r="C253" s="793"/>
      <c r="D253" s="793"/>
      <c r="E253" s="793"/>
      <c r="F253" s="793"/>
      <c r="G253" s="793"/>
      <c r="H253" s="793"/>
      <c r="I253" s="793"/>
      <c r="J253" s="793"/>
      <c r="K253" s="793"/>
      <c r="L253" s="793"/>
      <c r="M253" s="793"/>
      <c r="N253" s="793"/>
      <c r="O253" s="793"/>
      <c r="P253" s="793"/>
      <c r="Q253" s="793"/>
      <c r="R253" s="793"/>
      <c r="S253" s="793"/>
      <c r="T253" s="793"/>
      <c r="U253" s="793"/>
      <c r="V253" s="793"/>
      <c r="W253" s="793"/>
      <c r="X253" s="793"/>
      <c r="Y253" s="793"/>
      <c r="Z253" s="793"/>
      <c r="AA253" s="793"/>
      <c r="AB253" s="793"/>
      <c r="AC253" s="793"/>
      <c r="AD253" s="793"/>
      <c r="AE253" s="793"/>
      <c r="AF253" s="793"/>
      <c r="AG253" s="782"/>
      <c r="AH253" s="1141"/>
      <c r="AI253" s="793"/>
    </row>
    <row r="255" spans="1:35" ht="25.5" customHeight="1" thickBot="1">
      <c r="A255" s="1" t="s">
        <v>716</v>
      </c>
    </row>
    <row r="256" spans="1:35" ht="21" customHeight="1">
      <c r="A256" s="1"/>
      <c r="B256" s="201" t="s">
        <v>664</v>
      </c>
      <c r="C256" s="7"/>
      <c r="D256" s="522" t="s">
        <v>2</v>
      </c>
      <c r="E256" s="51"/>
      <c r="F256" s="548"/>
      <c r="G256" s="7"/>
      <c r="H256" s="522" t="s">
        <v>3</v>
      </c>
      <c r="I256" s="51"/>
      <c r="J256" s="548"/>
      <c r="K256" s="7"/>
      <c r="L256" s="522" t="s">
        <v>4</v>
      </c>
      <c r="M256" s="51"/>
      <c r="N256" s="548"/>
      <c r="O256" s="7"/>
      <c r="P256" s="522" t="s">
        <v>5</v>
      </c>
      <c r="Q256" s="51"/>
      <c r="R256" s="548"/>
      <c r="S256" s="7"/>
      <c r="T256" s="522" t="s">
        <v>6</v>
      </c>
      <c r="U256" s="51"/>
      <c r="V256" s="548"/>
      <c r="W256" s="7"/>
      <c r="X256" s="522" t="s">
        <v>7</v>
      </c>
      <c r="Y256" s="51"/>
      <c r="Z256" s="548"/>
      <c r="AA256" s="7"/>
      <c r="AB256" s="522" t="s">
        <v>8</v>
      </c>
      <c r="AC256" s="51"/>
      <c r="AD256" s="51"/>
      <c r="AE256" s="425" t="s">
        <v>10</v>
      </c>
      <c r="AF256" s="51"/>
      <c r="AG256" s="51"/>
      <c r="AH256" s="51"/>
      <c r="AI256" s="523"/>
    </row>
    <row r="257" spans="1:35" ht="21" customHeight="1">
      <c r="A257" s="1"/>
      <c r="B257" s="9"/>
      <c r="C257" s="14"/>
      <c r="D257" s="603"/>
      <c r="E257" s="55"/>
      <c r="F257" s="602"/>
      <c r="G257" s="14"/>
      <c r="H257" s="603"/>
      <c r="I257" s="55"/>
      <c r="J257" s="602"/>
      <c r="K257" s="14"/>
      <c r="L257" s="603"/>
      <c r="M257" s="55"/>
      <c r="N257" s="602"/>
      <c r="O257" s="14"/>
      <c r="P257" s="603"/>
      <c r="Q257" s="55"/>
      <c r="R257" s="602"/>
      <c r="S257" s="14"/>
      <c r="T257" s="603"/>
      <c r="U257" s="55"/>
      <c r="V257" s="602"/>
      <c r="W257" s="14"/>
      <c r="X257" s="603"/>
      <c r="Y257" s="55"/>
      <c r="Z257" s="602"/>
      <c r="AA257" s="14"/>
      <c r="AB257" s="603"/>
      <c r="AC257" s="55"/>
      <c r="AD257" s="55"/>
      <c r="AE257" s="604"/>
      <c r="AF257" s="55"/>
      <c r="AG257" s="55"/>
      <c r="AH257" s="55"/>
      <c r="AI257" s="605"/>
    </row>
    <row r="258" spans="1:35" ht="21" customHeight="1">
      <c r="B258" s="606"/>
      <c r="C258" s="121"/>
      <c r="D258" s="157"/>
      <c r="E258" s="157"/>
      <c r="F258" s="564"/>
      <c r="G258" s="121"/>
      <c r="H258" s="157"/>
      <c r="I258" s="157"/>
      <c r="J258" s="564"/>
      <c r="K258" s="121"/>
      <c r="L258" s="157"/>
      <c r="M258" s="157"/>
      <c r="N258" s="564"/>
      <c r="O258" s="121"/>
      <c r="P258" s="157"/>
      <c r="Q258" s="157"/>
      <c r="R258" s="564"/>
      <c r="S258" s="121"/>
      <c r="T258" s="157"/>
      <c r="U258" s="157"/>
      <c r="V258" s="564"/>
      <c r="W258" s="121"/>
      <c r="X258" s="157"/>
      <c r="Y258" s="157"/>
      <c r="Z258" s="564"/>
      <c r="AA258" s="563"/>
      <c r="AB258" s="157"/>
      <c r="AC258" s="157"/>
      <c r="AD258" s="565"/>
      <c r="AE258" s="607"/>
      <c r="AF258" s="157"/>
      <c r="AG258" s="157" t="s">
        <v>28</v>
      </c>
      <c r="AH258" s="565"/>
      <c r="AI258" s="490"/>
    </row>
    <row r="259" spans="1:35" ht="21" customHeight="1" thickBot="1">
      <c r="A259" s="1"/>
      <c r="B259" s="47"/>
      <c r="C259" s="570"/>
      <c r="D259" s="53"/>
      <c r="E259" s="53"/>
      <c r="F259" s="571"/>
      <c r="G259" s="570"/>
      <c r="H259" s="53"/>
      <c r="I259" s="53"/>
      <c r="J259" s="571"/>
      <c r="K259" s="570"/>
      <c r="L259" s="53"/>
      <c r="M259" s="53"/>
      <c r="N259" s="571"/>
      <c r="O259" s="570"/>
      <c r="P259" s="53"/>
      <c r="Q259" s="53"/>
      <c r="R259" s="571"/>
      <c r="S259" s="570"/>
      <c r="T259" s="53"/>
      <c r="U259" s="53"/>
      <c r="V259" s="571"/>
      <c r="W259" s="57"/>
      <c r="X259" s="53"/>
      <c r="Y259" s="53"/>
      <c r="Z259" s="571"/>
      <c r="AA259" s="57"/>
      <c r="AB259" s="53"/>
      <c r="AC259" s="53"/>
      <c r="AD259" s="573"/>
      <c r="AE259" s="57"/>
      <c r="AF259" s="53"/>
      <c r="AG259" s="53"/>
      <c r="AH259" s="573"/>
      <c r="AI259" s="536"/>
    </row>
    <row r="260" spans="1:35" ht="33" customHeight="1" thickBot="1">
      <c r="A260" s="1" t="s">
        <v>790</v>
      </c>
      <c r="B260" s="72"/>
      <c r="C260" s="312"/>
      <c r="F260" s="354"/>
      <c r="G260" s="312"/>
      <c r="J260" s="354"/>
      <c r="K260" s="312"/>
      <c r="N260" s="354"/>
      <c r="O260" s="312"/>
      <c r="R260" s="354"/>
      <c r="S260" s="312"/>
      <c r="V260" s="354"/>
      <c r="W260" s="354"/>
      <c r="Z260" s="354"/>
      <c r="AA260" s="354"/>
      <c r="AD260" s="354"/>
      <c r="AE260" s="354"/>
      <c r="AH260" s="354"/>
    </row>
    <row r="261" spans="1:35" ht="21" customHeight="1" thickBot="1">
      <c r="A261" s="861" t="s">
        <v>475</v>
      </c>
      <c r="B261" s="862" t="s">
        <v>476</v>
      </c>
      <c r="C261" s="880">
        <v>1</v>
      </c>
      <c r="D261" s="863">
        <v>2</v>
      </c>
      <c r="E261" s="863">
        <v>3</v>
      </c>
      <c r="F261" s="863">
        <v>4</v>
      </c>
      <c r="G261" s="863">
        <v>5</v>
      </c>
      <c r="H261" s="863">
        <v>6</v>
      </c>
      <c r="I261" s="880">
        <v>7</v>
      </c>
      <c r="J261" s="880">
        <v>8</v>
      </c>
      <c r="K261" s="863">
        <v>9</v>
      </c>
      <c r="L261" s="863">
        <v>10</v>
      </c>
      <c r="M261" s="863">
        <v>11</v>
      </c>
      <c r="N261" s="863">
        <v>12</v>
      </c>
      <c r="O261" s="863">
        <v>13</v>
      </c>
      <c r="P261" s="880">
        <v>14</v>
      </c>
      <c r="Q261" s="880">
        <v>15</v>
      </c>
      <c r="R261" s="863">
        <v>16</v>
      </c>
      <c r="S261" s="863">
        <v>17</v>
      </c>
      <c r="T261" s="863">
        <v>18</v>
      </c>
      <c r="U261" s="863">
        <v>19</v>
      </c>
      <c r="V261" s="863">
        <v>20</v>
      </c>
      <c r="W261" s="880">
        <v>21</v>
      </c>
      <c r="X261" s="880">
        <v>22</v>
      </c>
      <c r="Y261" s="863">
        <v>23</v>
      </c>
      <c r="Z261" s="863">
        <v>24</v>
      </c>
      <c r="AA261" s="863">
        <v>25</v>
      </c>
      <c r="AB261" s="863">
        <v>26</v>
      </c>
      <c r="AC261" s="863">
        <v>27</v>
      </c>
      <c r="AD261" s="880">
        <v>28</v>
      </c>
      <c r="AE261" s="863"/>
      <c r="AF261" s="863"/>
      <c r="AG261" s="943"/>
      <c r="AH261" s="864" t="s">
        <v>477</v>
      </c>
      <c r="AI261" s="865" t="s">
        <v>478</v>
      </c>
    </row>
    <row r="262" spans="1:35" ht="21" customHeight="1">
      <c r="A262" s="438"/>
      <c r="B262" s="916" t="s">
        <v>718</v>
      </c>
      <c r="C262" s="955"/>
      <c r="D262" s="1231" t="s">
        <v>491</v>
      </c>
      <c r="E262" s="1231" t="s">
        <v>491</v>
      </c>
      <c r="F262" s="1231" t="s">
        <v>493</v>
      </c>
      <c r="G262" s="1287" t="s">
        <v>491</v>
      </c>
      <c r="H262" s="1287" t="s">
        <v>491</v>
      </c>
      <c r="I262" s="955"/>
      <c r="J262" s="955"/>
      <c r="K262" s="955" t="s">
        <v>491</v>
      </c>
      <c r="L262" s="1231" t="s">
        <v>491</v>
      </c>
      <c r="M262" s="1231" t="s">
        <v>491</v>
      </c>
      <c r="N262" s="1231" t="s">
        <v>491</v>
      </c>
      <c r="O262" s="1231" t="s">
        <v>493</v>
      </c>
      <c r="P262" s="955"/>
      <c r="Q262" s="955"/>
      <c r="R262" s="955" t="s">
        <v>491</v>
      </c>
      <c r="S262" s="955" t="s">
        <v>491</v>
      </c>
      <c r="T262" s="955" t="s">
        <v>491</v>
      </c>
      <c r="U262" s="955" t="s">
        <v>491</v>
      </c>
      <c r="V262" s="955" t="s">
        <v>491</v>
      </c>
      <c r="W262" s="955"/>
      <c r="X262" s="955"/>
      <c r="Y262" s="955" t="s">
        <v>491</v>
      </c>
      <c r="Z262" s="955" t="s">
        <v>491</v>
      </c>
      <c r="AA262" s="955" t="s">
        <v>491</v>
      </c>
      <c r="AB262" s="955" t="s">
        <v>491</v>
      </c>
      <c r="AC262" s="955" t="s">
        <v>491</v>
      </c>
      <c r="AD262" s="955"/>
      <c r="AE262" s="955"/>
      <c r="AF262" s="955"/>
      <c r="AG262" s="956"/>
      <c r="AH262" s="909">
        <v>52</v>
      </c>
      <c r="AI262" s="910">
        <v>37</v>
      </c>
    </row>
    <row r="263" spans="1:35" ht="21" customHeight="1">
      <c r="A263" s="442"/>
      <c r="B263" s="613" t="s">
        <v>719</v>
      </c>
      <c r="C263" s="768"/>
      <c r="D263" s="768" t="s">
        <v>491</v>
      </c>
      <c r="E263" s="768" t="s">
        <v>491</v>
      </c>
      <c r="F263" s="768" t="s">
        <v>491</v>
      </c>
      <c r="G263" s="768" t="s">
        <v>491</v>
      </c>
      <c r="H263" s="768" t="s">
        <v>491</v>
      </c>
      <c r="I263" s="768"/>
      <c r="J263" s="768"/>
      <c r="K263" s="768" t="s">
        <v>491</v>
      </c>
      <c r="L263" s="768" t="s">
        <v>491</v>
      </c>
      <c r="M263" s="768" t="s">
        <v>491</v>
      </c>
      <c r="N263" s="768" t="s">
        <v>491</v>
      </c>
      <c r="O263" s="768" t="s">
        <v>491</v>
      </c>
      <c r="P263" s="768"/>
      <c r="Q263" s="768"/>
      <c r="R263" s="768" t="s">
        <v>491</v>
      </c>
      <c r="S263" s="768" t="s">
        <v>491</v>
      </c>
      <c r="T263" s="768" t="s">
        <v>491</v>
      </c>
      <c r="U263" s="768" t="s">
        <v>491</v>
      </c>
      <c r="V263" s="768" t="s">
        <v>491</v>
      </c>
      <c r="W263" s="768"/>
      <c r="X263" s="768"/>
      <c r="Y263" s="980" t="s">
        <v>491</v>
      </c>
      <c r="Z263" s="980" t="s">
        <v>491</v>
      </c>
      <c r="AA263" s="980" t="s">
        <v>491</v>
      </c>
      <c r="AB263" s="980" t="s">
        <v>491</v>
      </c>
      <c r="AC263" s="980" t="s">
        <v>491</v>
      </c>
      <c r="AD263" s="980"/>
      <c r="AE263" s="768"/>
      <c r="AF263" s="768"/>
      <c r="AG263" s="774"/>
      <c r="AH263" s="628">
        <v>1</v>
      </c>
      <c r="AI263" s="629">
        <v>0</v>
      </c>
    </row>
    <row r="264" spans="1:35" ht="21" customHeight="1">
      <c r="A264" s="442"/>
      <c r="B264" s="613" t="s">
        <v>720</v>
      </c>
      <c r="C264" s="768"/>
      <c r="D264" s="768" t="s">
        <v>491</v>
      </c>
      <c r="E264" s="768" t="s">
        <v>491</v>
      </c>
      <c r="F264" s="768" t="s">
        <v>491</v>
      </c>
      <c r="G264" s="768" t="s">
        <v>491</v>
      </c>
      <c r="H264" s="768" t="s">
        <v>491</v>
      </c>
      <c r="I264" s="768"/>
      <c r="J264" s="768"/>
      <c r="K264" s="768" t="s">
        <v>491</v>
      </c>
      <c r="L264" s="768" t="s">
        <v>491</v>
      </c>
      <c r="M264" s="768" t="s">
        <v>491</v>
      </c>
      <c r="N264" s="768" t="s">
        <v>491</v>
      </c>
      <c r="O264" s="768" t="s">
        <v>491</v>
      </c>
      <c r="P264" s="768"/>
      <c r="Q264" s="768"/>
      <c r="R264" s="768" t="s">
        <v>491</v>
      </c>
      <c r="S264" s="768" t="s">
        <v>491</v>
      </c>
      <c r="T264" s="768" t="s">
        <v>491</v>
      </c>
      <c r="U264" s="768" t="s">
        <v>491</v>
      </c>
      <c r="V264" s="768" t="s">
        <v>491</v>
      </c>
      <c r="W264" s="768"/>
      <c r="X264" s="768"/>
      <c r="Y264" s="768" t="s">
        <v>491</v>
      </c>
      <c r="Z264" s="768" t="s">
        <v>491</v>
      </c>
      <c r="AA264" s="768" t="s">
        <v>491</v>
      </c>
      <c r="AB264" s="768" t="s">
        <v>491</v>
      </c>
      <c r="AC264" s="768" t="s">
        <v>491</v>
      </c>
      <c r="AD264" s="768"/>
      <c r="AE264" s="768"/>
      <c r="AF264" s="768"/>
      <c r="AG264" s="774"/>
      <c r="AH264" s="628">
        <v>28</v>
      </c>
      <c r="AI264" s="629">
        <v>30</v>
      </c>
    </row>
    <row r="265" spans="1:35" ht="21" customHeight="1">
      <c r="A265" s="442"/>
      <c r="B265" s="613" t="s">
        <v>721</v>
      </c>
      <c r="C265" s="768"/>
      <c r="D265" s="768" t="s">
        <v>491</v>
      </c>
      <c r="E265" s="768" t="s">
        <v>491</v>
      </c>
      <c r="F265" s="768" t="s">
        <v>491</v>
      </c>
      <c r="G265" s="768" t="s">
        <v>491</v>
      </c>
      <c r="H265" s="970" t="s">
        <v>491</v>
      </c>
      <c r="I265" s="768"/>
      <c r="J265" s="768"/>
      <c r="K265" s="768" t="s">
        <v>491</v>
      </c>
      <c r="L265" s="768" t="s">
        <v>491</v>
      </c>
      <c r="M265" s="768" t="s">
        <v>491</v>
      </c>
      <c r="N265" s="768" t="s">
        <v>491</v>
      </c>
      <c r="O265" s="970" t="s">
        <v>491</v>
      </c>
      <c r="P265" s="768"/>
      <c r="Q265" s="768"/>
      <c r="R265" s="768" t="s">
        <v>491</v>
      </c>
      <c r="S265" s="768" t="s">
        <v>491</v>
      </c>
      <c r="T265" s="768" t="s">
        <v>491</v>
      </c>
      <c r="U265" s="768" t="s">
        <v>491</v>
      </c>
      <c r="V265" s="970" t="s">
        <v>491</v>
      </c>
      <c r="W265" s="768"/>
      <c r="X265" s="768"/>
      <c r="Y265" s="768" t="s">
        <v>491</v>
      </c>
      <c r="Z265" s="768" t="s">
        <v>491</v>
      </c>
      <c r="AA265" s="768" t="s">
        <v>491</v>
      </c>
      <c r="AB265" s="768" t="s">
        <v>491</v>
      </c>
      <c r="AC265" s="970" t="s">
        <v>491</v>
      </c>
      <c r="AD265" s="768"/>
      <c r="AE265" s="768"/>
      <c r="AF265" s="768"/>
      <c r="AG265" s="774"/>
      <c r="AH265" s="628">
        <v>106</v>
      </c>
      <c r="AI265" s="629">
        <v>0</v>
      </c>
    </row>
    <row r="266" spans="1:35" ht="21" customHeight="1">
      <c r="A266" s="442"/>
      <c r="B266" s="613" t="s">
        <v>722</v>
      </c>
      <c r="C266" s="768"/>
      <c r="D266" s="768" t="s">
        <v>491</v>
      </c>
      <c r="E266" s="768" t="s">
        <v>491</v>
      </c>
      <c r="F266" s="768" t="s">
        <v>491</v>
      </c>
      <c r="G266" s="768" t="s">
        <v>491</v>
      </c>
      <c r="H266" s="768" t="s">
        <v>491</v>
      </c>
      <c r="I266" s="768"/>
      <c r="J266" s="768"/>
      <c r="K266" s="1038" t="s">
        <v>491</v>
      </c>
      <c r="L266" s="1038" t="s">
        <v>491</v>
      </c>
      <c r="M266" s="1038" t="s">
        <v>491</v>
      </c>
      <c r="N266" s="1038" t="s">
        <v>491</v>
      </c>
      <c r="O266" s="1038" t="s">
        <v>491</v>
      </c>
      <c r="P266" s="768"/>
      <c r="Q266" s="768"/>
      <c r="R266" s="970" t="s">
        <v>491</v>
      </c>
      <c r="S266" s="970" t="s">
        <v>491</v>
      </c>
      <c r="T266" s="970" t="s">
        <v>491</v>
      </c>
      <c r="U266" s="970" t="s">
        <v>491</v>
      </c>
      <c r="V266" s="970" t="s">
        <v>491</v>
      </c>
      <c r="W266" s="970"/>
      <c r="X266" s="970"/>
      <c r="Y266" s="768" t="s">
        <v>491</v>
      </c>
      <c r="Z266" s="768" t="s">
        <v>491</v>
      </c>
      <c r="AA266" s="768" t="s">
        <v>491</v>
      </c>
      <c r="AB266" s="768" t="s">
        <v>491</v>
      </c>
      <c r="AC266" s="768" t="s">
        <v>491</v>
      </c>
      <c r="AD266" s="768"/>
      <c r="AE266" s="768"/>
      <c r="AF266" s="768"/>
      <c r="AG266" s="774"/>
      <c r="AH266" s="628">
        <v>55</v>
      </c>
      <c r="AI266" s="629">
        <v>5</v>
      </c>
    </row>
    <row r="267" spans="1:35" ht="21" customHeight="1">
      <c r="A267" s="442"/>
      <c r="B267" s="613" t="s">
        <v>723</v>
      </c>
      <c r="C267" s="768"/>
      <c r="D267" s="768" t="s">
        <v>491</v>
      </c>
      <c r="E267" s="768" t="s">
        <v>491</v>
      </c>
      <c r="F267" s="768" t="s">
        <v>491</v>
      </c>
      <c r="G267" s="768" t="s">
        <v>491</v>
      </c>
      <c r="H267" s="768" t="s">
        <v>491</v>
      </c>
      <c r="I267" s="768"/>
      <c r="J267" s="768"/>
      <c r="K267" s="768" t="s">
        <v>491</v>
      </c>
      <c r="L267" s="768" t="s">
        <v>491</v>
      </c>
      <c r="M267" s="768" t="s">
        <v>491</v>
      </c>
      <c r="N267" s="768" t="s">
        <v>491</v>
      </c>
      <c r="O267" s="768" t="s">
        <v>491</v>
      </c>
      <c r="P267" s="768"/>
      <c r="Q267" s="768"/>
      <c r="R267" s="768" t="s">
        <v>491</v>
      </c>
      <c r="S267" s="768" t="s">
        <v>491</v>
      </c>
      <c r="T267" s="768" t="s">
        <v>491</v>
      </c>
      <c r="U267" s="768" t="s">
        <v>491</v>
      </c>
      <c r="V267" s="768" t="s">
        <v>491</v>
      </c>
      <c r="W267" s="768"/>
      <c r="X267" s="768"/>
      <c r="Y267" s="768" t="s">
        <v>491</v>
      </c>
      <c r="Z267" s="768" t="s">
        <v>491</v>
      </c>
      <c r="AA267" s="768" t="s">
        <v>491</v>
      </c>
      <c r="AB267" s="768" t="s">
        <v>491</v>
      </c>
      <c r="AC267" s="768" t="s">
        <v>491</v>
      </c>
      <c r="AD267" s="768"/>
      <c r="AE267" s="768"/>
      <c r="AF267" s="768"/>
      <c r="AG267" s="774"/>
      <c r="AH267" s="628">
        <v>4</v>
      </c>
      <c r="AI267" s="629">
        <v>37</v>
      </c>
    </row>
    <row r="268" spans="1:35" ht="21" customHeight="1">
      <c r="A268" s="442"/>
      <c r="B268" s="613" t="s">
        <v>724</v>
      </c>
      <c r="C268" s="768"/>
      <c r="D268" s="768" t="s">
        <v>491</v>
      </c>
      <c r="E268" s="1038" t="s">
        <v>491</v>
      </c>
      <c r="F268" s="1038" t="s">
        <v>493</v>
      </c>
      <c r="G268" s="987" t="s">
        <v>491</v>
      </c>
      <c r="H268" s="987" t="s">
        <v>491</v>
      </c>
      <c r="I268" s="768"/>
      <c r="J268" s="768"/>
      <c r="K268" s="768" t="s">
        <v>491</v>
      </c>
      <c r="L268" s="768" t="s">
        <v>491</v>
      </c>
      <c r="M268" s="768" t="s">
        <v>491</v>
      </c>
      <c r="N268" s="768" t="s">
        <v>491</v>
      </c>
      <c r="O268" s="768" t="s">
        <v>491</v>
      </c>
      <c r="P268" s="768"/>
      <c r="Q268" s="768"/>
      <c r="R268" s="768" t="s">
        <v>491</v>
      </c>
      <c r="S268" s="768" t="s">
        <v>491</v>
      </c>
      <c r="T268" s="768" t="s">
        <v>491</v>
      </c>
      <c r="U268" s="768" t="s">
        <v>491</v>
      </c>
      <c r="V268" s="768" t="s">
        <v>491</v>
      </c>
      <c r="W268" s="768"/>
      <c r="X268" s="768"/>
      <c r="Y268" s="768" t="s">
        <v>491</v>
      </c>
      <c r="Z268" s="768" t="s">
        <v>491</v>
      </c>
      <c r="AA268" s="768" t="s">
        <v>491</v>
      </c>
      <c r="AB268" s="768" t="s">
        <v>491</v>
      </c>
      <c r="AC268" s="768" t="s">
        <v>491</v>
      </c>
      <c r="AD268" s="768"/>
      <c r="AE268" s="768"/>
      <c r="AF268" s="768"/>
      <c r="AG268" s="774"/>
      <c r="AH268" s="628">
        <v>8</v>
      </c>
      <c r="AI268" s="629">
        <v>25</v>
      </c>
    </row>
    <row r="269" spans="1:35" ht="21" customHeight="1">
      <c r="A269" s="442"/>
      <c r="B269" s="613" t="s">
        <v>725</v>
      </c>
      <c r="C269" s="768"/>
      <c r="D269" s="768" t="s">
        <v>491</v>
      </c>
      <c r="E269" s="768" t="s">
        <v>491</v>
      </c>
      <c r="F269" s="768" t="s">
        <v>491</v>
      </c>
      <c r="G269" s="768" t="s">
        <v>491</v>
      </c>
      <c r="H269" s="768" t="s">
        <v>491</v>
      </c>
      <c r="I269" s="768"/>
      <c r="J269" s="768"/>
      <c r="K269" s="768" t="s">
        <v>491</v>
      </c>
      <c r="L269" s="768" t="s">
        <v>491</v>
      </c>
      <c r="M269" s="1038" t="s">
        <v>491</v>
      </c>
      <c r="N269" s="1038" t="s">
        <v>491</v>
      </c>
      <c r="O269" s="1038" t="s">
        <v>493</v>
      </c>
      <c r="P269" s="768"/>
      <c r="Q269" s="768"/>
      <c r="R269" s="768" t="s">
        <v>491</v>
      </c>
      <c r="S269" s="768" t="s">
        <v>491</v>
      </c>
      <c r="T269" s="768" t="s">
        <v>491</v>
      </c>
      <c r="U269" s="768" t="s">
        <v>491</v>
      </c>
      <c r="V269" s="768" t="s">
        <v>491</v>
      </c>
      <c r="W269" s="768"/>
      <c r="X269" s="768"/>
      <c r="Y269" s="768" t="s">
        <v>491</v>
      </c>
      <c r="Z269" s="768" t="s">
        <v>491</v>
      </c>
      <c r="AA269" s="768" t="s">
        <v>491</v>
      </c>
      <c r="AB269" s="768" t="s">
        <v>491</v>
      </c>
      <c r="AC269" s="768" t="s">
        <v>491</v>
      </c>
      <c r="AD269" s="768"/>
      <c r="AE269" s="768"/>
      <c r="AF269" s="768"/>
      <c r="AG269" s="774"/>
      <c r="AH269" s="628">
        <v>59</v>
      </c>
      <c r="AI269" s="629">
        <v>37</v>
      </c>
    </row>
    <row r="270" spans="1:35" ht="21" customHeight="1">
      <c r="A270" s="442"/>
      <c r="B270" s="613" t="s">
        <v>726</v>
      </c>
      <c r="C270" s="1038"/>
      <c r="D270" s="1038" t="s">
        <v>491</v>
      </c>
      <c r="E270" s="1038" t="s">
        <v>491</v>
      </c>
      <c r="F270" s="1038" t="s">
        <v>491</v>
      </c>
      <c r="G270" s="1038" t="s">
        <v>491</v>
      </c>
      <c r="H270" s="1038" t="s">
        <v>491</v>
      </c>
      <c r="I270" s="1038"/>
      <c r="J270" s="1038"/>
      <c r="K270" s="1038" t="s">
        <v>491</v>
      </c>
      <c r="L270" s="1038" t="s">
        <v>491</v>
      </c>
      <c r="M270" s="1038" t="s">
        <v>491</v>
      </c>
      <c r="N270" s="1038" t="s">
        <v>491</v>
      </c>
      <c r="O270" s="1038" t="s">
        <v>491</v>
      </c>
      <c r="P270" s="1038"/>
      <c r="Q270" s="1038"/>
      <c r="R270" s="1038" t="s">
        <v>491</v>
      </c>
      <c r="S270" s="1038" t="s">
        <v>491</v>
      </c>
      <c r="T270" s="1038" t="s">
        <v>491</v>
      </c>
      <c r="U270" s="1038" t="s">
        <v>491</v>
      </c>
      <c r="V270" s="1038" t="s">
        <v>491</v>
      </c>
      <c r="W270" s="1038"/>
      <c r="X270" s="1038"/>
      <c r="Y270" s="1038" t="s">
        <v>491</v>
      </c>
      <c r="Z270" s="1038" t="s">
        <v>491</v>
      </c>
      <c r="AA270" s="1038" t="s">
        <v>491</v>
      </c>
      <c r="AB270" s="1038" t="s">
        <v>491</v>
      </c>
      <c r="AC270" s="1038" t="s">
        <v>491</v>
      </c>
      <c r="AD270" s="1038"/>
      <c r="AE270" s="768"/>
      <c r="AF270" s="768"/>
      <c r="AG270" s="774"/>
      <c r="AH270" s="628">
        <v>98</v>
      </c>
      <c r="AI270" s="629">
        <v>37</v>
      </c>
    </row>
    <row r="271" spans="1:35" ht="21" customHeight="1">
      <c r="A271" s="442"/>
      <c r="B271" s="613" t="s">
        <v>727</v>
      </c>
      <c r="C271" s="768"/>
      <c r="D271" s="768" t="s">
        <v>491</v>
      </c>
      <c r="E271" s="768" t="s">
        <v>491</v>
      </c>
      <c r="F271" s="970" t="s">
        <v>491</v>
      </c>
      <c r="G271" s="768" t="s">
        <v>491</v>
      </c>
      <c r="H271" s="768" t="s">
        <v>491</v>
      </c>
      <c r="I271" s="768"/>
      <c r="J271" s="768"/>
      <c r="K271" s="768" t="s">
        <v>491</v>
      </c>
      <c r="L271" s="768" t="s">
        <v>491</v>
      </c>
      <c r="M271" s="768" t="s">
        <v>491</v>
      </c>
      <c r="N271" s="768" t="s">
        <v>491</v>
      </c>
      <c r="O271" s="768" t="s">
        <v>491</v>
      </c>
      <c r="P271" s="768"/>
      <c r="Q271" s="768"/>
      <c r="R271" s="768" t="s">
        <v>491</v>
      </c>
      <c r="S271" s="768" t="s">
        <v>491</v>
      </c>
      <c r="T271" s="768" t="s">
        <v>491</v>
      </c>
      <c r="U271" s="768" t="s">
        <v>491</v>
      </c>
      <c r="V271" s="768" t="s">
        <v>491</v>
      </c>
      <c r="W271" s="768"/>
      <c r="X271" s="768"/>
      <c r="Y271" s="768" t="s">
        <v>491</v>
      </c>
      <c r="Z271" s="768" t="s">
        <v>491</v>
      </c>
      <c r="AA271" s="768" t="s">
        <v>491</v>
      </c>
      <c r="AB271" s="768" t="s">
        <v>491</v>
      </c>
      <c r="AC271" s="768" t="s">
        <v>491</v>
      </c>
      <c r="AD271" s="768"/>
      <c r="AE271" s="768"/>
      <c r="AF271" s="768"/>
      <c r="AG271" s="774"/>
      <c r="AH271" s="628">
        <v>55</v>
      </c>
      <c r="AI271" s="629">
        <v>1</v>
      </c>
    </row>
    <row r="272" spans="1:35" ht="21" customHeight="1">
      <c r="A272" s="442"/>
      <c r="B272" s="153" t="s">
        <v>728</v>
      </c>
      <c r="C272" s="1038"/>
      <c r="D272" s="1038" t="s">
        <v>491</v>
      </c>
      <c r="E272" s="1038" t="s">
        <v>491</v>
      </c>
      <c r="F272" s="1038" t="s">
        <v>491</v>
      </c>
      <c r="G272" s="1038" t="s">
        <v>491</v>
      </c>
      <c r="H272" s="1038" t="s">
        <v>493</v>
      </c>
      <c r="I272" s="987"/>
      <c r="J272" s="987"/>
      <c r="K272" s="768" t="s">
        <v>491</v>
      </c>
      <c r="L272" s="768" t="s">
        <v>491</v>
      </c>
      <c r="M272" s="768" t="s">
        <v>491</v>
      </c>
      <c r="N272" s="768" t="s">
        <v>491</v>
      </c>
      <c r="O272" s="768" t="s">
        <v>491</v>
      </c>
      <c r="P272" s="768"/>
      <c r="Q272" s="768"/>
      <c r="R272" s="768" t="s">
        <v>491</v>
      </c>
      <c r="S272" s="768" t="s">
        <v>491</v>
      </c>
      <c r="T272" s="768" t="s">
        <v>491</v>
      </c>
      <c r="U272" s="768" t="s">
        <v>491</v>
      </c>
      <c r="V272" s="768" t="s">
        <v>491</v>
      </c>
      <c r="W272" s="768"/>
      <c r="X272" s="768"/>
      <c r="Y272" s="768" t="s">
        <v>491</v>
      </c>
      <c r="Z272" s="768" t="s">
        <v>491</v>
      </c>
      <c r="AA272" s="768" t="s">
        <v>491</v>
      </c>
      <c r="AB272" s="768" t="s">
        <v>491</v>
      </c>
      <c r="AC272" s="768" t="s">
        <v>491</v>
      </c>
      <c r="AD272" s="768"/>
      <c r="AE272" s="768"/>
      <c r="AF272" s="768"/>
      <c r="AG272" s="774"/>
      <c r="AH272" s="628">
        <v>38</v>
      </c>
      <c r="AI272" s="629">
        <v>0</v>
      </c>
    </row>
    <row r="273" spans="1:35" ht="21" customHeight="1">
      <c r="A273" s="442"/>
      <c r="B273" s="153" t="s">
        <v>729</v>
      </c>
      <c r="C273" s="768"/>
      <c r="D273" s="768" t="s">
        <v>491</v>
      </c>
      <c r="E273" s="768" t="s">
        <v>491</v>
      </c>
      <c r="F273" s="768" t="s">
        <v>491</v>
      </c>
      <c r="G273" s="768" t="s">
        <v>491</v>
      </c>
      <c r="H273" s="768" t="s">
        <v>491</v>
      </c>
      <c r="I273" s="768"/>
      <c r="J273" s="768"/>
      <c r="K273" s="768" t="s">
        <v>491</v>
      </c>
      <c r="L273" s="768" t="s">
        <v>491</v>
      </c>
      <c r="M273" s="768" t="s">
        <v>491</v>
      </c>
      <c r="N273" s="768" t="s">
        <v>491</v>
      </c>
      <c r="O273" s="768" t="s">
        <v>491</v>
      </c>
      <c r="P273" s="768"/>
      <c r="Q273" s="768"/>
      <c r="R273" s="768" t="s">
        <v>491</v>
      </c>
      <c r="S273" s="768" t="s">
        <v>491</v>
      </c>
      <c r="T273" s="768" t="s">
        <v>491</v>
      </c>
      <c r="U273" s="768" t="s">
        <v>491</v>
      </c>
      <c r="V273" s="1312" t="s">
        <v>491</v>
      </c>
      <c r="W273" s="768"/>
      <c r="X273" s="768"/>
      <c r="Y273" s="768" t="s">
        <v>491</v>
      </c>
      <c r="Z273" s="768" t="s">
        <v>491</v>
      </c>
      <c r="AA273" s="768" t="s">
        <v>491</v>
      </c>
      <c r="AB273" s="768" t="s">
        <v>491</v>
      </c>
      <c r="AC273" s="768" t="s">
        <v>491</v>
      </c>
      <c r="AD273" s="768"/>
      <c r="AE273" s="768"/>
      <c r="AF273" s="768"/>
      <c r="AG273" s="774"/>
      <c r="AH273" s="628">
        <v>54</v>
      </c>
      <c r="AI273" s="629">
        <v>0</v>
      </c>
    </row>
    <row r="274" spans="1:35" ht="21" customHeight="1">
      <c r="A274" s="134"/>
      <c r="B274" s="134" t="s">
        <v>730</v>
      </c>
      <c r="C274" s="768"/>
      <c r="D274" s="768" t="s">
        <v>491</v>
      </c>
      <c r="E274" s="768" t="s">
        <v>491</v>
      </c>
      <c r="F274" s="768" t="s">
        <v>491</v>
      </c>
      <c r="G274" s="768" t="s">
        <v>491</v>
      </c>
      <c r="H274" s="768" t="s">
        <v>491</v>
      </c>
      <c r="I274" s="768"/>
      <c r="J274" s="768"/>
      <c r="K274" s="768" t="s">
        <v>491</v>
      </c>
      <c r="L274" s="768" t="s">
        <v>491</v>
      </c>
      <c r="M274" s="768" t="s">
        <v>491</v>
      </c>
      <c r="N274" s="768" t="s">
        <v>491</v>
      </c>
      <c r="O274" s="768" t="s">
        <v>491</v>
      </c>
      <c r="P274" s="768"/>
      <c r="Q274" s="768"/>
      <c r="R274" s="768" t="s">
        <v>491</v>
      </c>
      <c r="S274" s="768" t="s">
        <v>491</v>
      </c>
      <c r="T274" s="768" t="s">
        <v>491</v>
      </c>
      <c r="U274" s="768" t="s">
        <v>491</v>
      </c>
      <c r="V274" s="768" t="s">
        <v>491</v>
      </c>
      <c r="W274" s="768"/>
      <c r="X274" s="768"/>
      <c r="Y274" s="768" t="s">
        <v>491</v>
      </c>
      <c r="Z274" s="768" t="s">
        <v>491</v>
      </c>
      <c r="AA274" s="768" t="s">
        <v>491</v>
      </c>
      <c r="AB274" s="768" t="s">
        <v>491</v>
      </c>
      <c r="AC274" s="768" t="s">
        <v>491</v>
      </c>
      <c r="AD274" s="768"/>
      <c r="AE274" s="768"/>
      <c r="AF274" s="768"/>
      <c r="AG274" s="774"/>
      <c r="AH274" s="849">
        <v>24</v>
      </c>
      <c r="AI274" s="850">
        <v>2</v>
      </c>
    </row>
    <row r="275" spans="1:35" ht="21" customHeight="1" thickBot="1">
      <c r="A275" s="917"/>
      <c r="B275" s="917" t="s">
        <v>731</v>
      </c>
      <c r="C275" s="1205"/>
      <c r="D275" s="1205" t="s">
        <v>491</v>
      </c>
      <c r="E275" s="1205" t="s">
        <v>491</v>
      </c>
      <c r="F275" s="1205" t="s">
        <v>491</v>
      </c>
      <c r="G275" s="1205" t="s">
        <v>491</v>
      </c>
      <c r="H275" s="1205" t="s">
        <v>491</v>
      </c>
      <c r="I275" s="1205"/>
      <c r="J275" s="1205"/>
      <c r="K275" s="1205" t="s">
        <v>491</v>
      </c>
      <c r="L275" s="1205" t="s">
        <v>491</v>
      </c>
      <c r="M275" s="1205" t="s">
        <v>491</v>
      </c>
      <c r="N275" s="1205" t="s">
        <v>491</v>
      </c>
      <c r="O275" s="1205" t="s">
        <v>491</v>
      </c>
      <c r="P275" s="1205"/>
      <c r="Q275" s="1205"/>
      <c r="R275" s="1205" t="s">
        <v>491</v>
      </c>
      <c r="S275" s="1205" t="s">
        <v>491</v>
      </c>
      <c r="T275" s="1205" t="s">
        <v>491</v>
      </c>
      <c r="U275" s="1205" t="s">
        <v>491</v>
      </c>
      <c r="V275" s="1205" t="s">
        <v>491</v>
      </c>
      <c r="W275" s="1205"/>
      <c r="X275" s="1205"/>
      <c r="Y275" s="1205" t="s">
        <v>491</v>
      </c>
      <c r="Z275" s="1205" t="s">
        <v>491</v>
      </c>
      <c r="AA275" s="1205" t="s">
        <v>491</v>
      </c>
      <c r="AB275" s="1205" t="s">
        <v>491</v>
      </c>
      <c r="AC275" s="1205" t="s">
        <v>491</v>
      </c>
      <c r="AD275" s="1205"/>
      <c r="AE275" s="867"/>
      <c r="AF275" s="867"/>
      <c r="AG275" s="951"/>
      <c r="AH275" s="914">
        <v>185</v>
      </c>
      <c r="AI275" s="915">
        <v>37</v>
      </c>
    </row>
  </sheetData>
  <sheetProtection password="CC44" sheet="1" objects="1" scenarios="1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59" max="16383" man="1"/>
  </rowBreaks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41"/>
  <dimension ref="A1:AL275"/>
  <sheetViews>
    <sheetView zoomScale="70" zoomScaleNormal="70" workbookViewId="0">
      <selection activeCell="AO15" sqref="AO15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449</v>
      </c>
    </row>
    <row r="2" spans="1:35" ht="13.35" customHeight="1">
      <c r="B2" s="443" t="s">
        <v>450</v>
      </c>
      <c r="C2" s="444" t="s">
        <v>451</v>
      </c>
      <c r="D2" s="445"/>
      <c r="E2" s="446" t="s">
        <v>452</v>
      </c>
      <c r="F2" s="447"/>
      <c r="G2" s="448"/>
      <c r="H2" s="448"/>
      <c r="I2" s="448"/>
      <c r="J2" s="448"/>
      <c r="K2" s="449"/>
      <c r="L2" s="450" t="s">
        <v>453</v>
      </c>
      <c r="M2" s="451"/>
      <c r="N2" s="380"/>
      <c r="O2" s="452" t="s">
        <v>454</v>
      </c>
      <c r="P2" s="453"/>
      <c r="Q2" s="454"/>
      <c r="R2" s="455"/>
      <c r="S2" s="456" t="s">
        <v>455</v>
      </c>
      <c r="T2" s="457"/>
      <c r="U2" s="458"/>
      <c r="V2" s="457"/>
      <c r="W2" s="459" t="s">
        <v>456</v>
      </c>
      <c r="X2" s="368"/>
      <c r="Y2" s="460"/>
      <c r="Z2" s="461" t="s">
        <v>457</v>
      </c>
      <c r="AA2" s="462"/>
      <c r="AB2" s="463"/>
      <c r="AC2" s="464"/>
      <c r="AD2" s="465" t="s">
        <v>458</v>
      </c>
      <c r="AE2" s="466"/>
      <c r="AF2" s="466"/>
      <c r="AG2" s="467"/>
    </row>
    <row r="3" spans="1:35" ht="13.35" customHeight="1">
      <c r="A3" s="1"/>
      <c r="B3" s="468" t="s">
        <v>459</v>
      </c>
      <c r="C3" s="469" t="s">
        <v>460</v>
      </c>
      <c r="D3" s="470"/>
      <c r="E3" s="471"/>
      <c r="F3" s="472"/>
      <c r="G3" s="472"/>
      <c r="H3" s="473" t="s">
        <v>461</v>
      </c>
      <c r="I3" s="474"/>
      <c r="J3" s="474"/>
      <c r="K3" s="475"/>
      <c r="L3" s="476" t="s">
        <v>462</v>
      </c>
      <c r="M3" s="157"/>
      <c r="N3" s="477"/>
      <c r="O3" s="474"/>
      <c r="P3" s="474"/>
      <c r="Q3" s="474"/>
      <c r="R3" s="474"/>
      <c r="S3" s="55"/>
      <c r="T3" s="478" t="s">
        <v>463</v>
      </c>
      <c r="U3" s="479"/>
      <c r="V3" s="480"/>
      <c r="W3" s="481"/>
      <c r="X3" s="482"/>
      <c r="Y3" s="473" t="s">
        <v>464</v>
      </c>
      <c r="Z3" s="157"/>
      <c r="AA3" s="157"/>
      <c r="AB3" s="483"/>
      <c r="AC3" s="484"/>
      <c r="AD3" s="485" t="s">
        <v>465</v>
      </c>
      <c r="AE3" s="486"/>
      <c r="AF3" s="486"/>
      <c r="AG3" s="487"/>
    </row>
    <row r="4" spans="1:35" ht="13.35" customHeight="1">
      <c r="A4" s="1" t="s">
        <v>776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 t="s">
        <v>14</v>
      </c>
      <c r="B5" s="1"/>
    </row>
    <row r="6" spans="1:35" ht="21.95" customHeight="1">
      <c r="A6" s="488" t="s">
        <v>467</v>
      </c>
      <c r="B6" s="157"/>
      <c r="C6" s="489"/>
      <c r="D6" s="488" t="s">
        <v>468</v>
      </c>
      <c r="E6" s="157"/>
      <c r="F6" s="157"/>
      <c r="G6" s="157"/>
      <c r="H6" s="490"/>
      <c r="I6" s="157"/>
      <c r="J6" s="157"/>
      <c r="K6" s="157"/>
      <c r="L6" s="488" t="s">
        <v>769</v>
      </c>
      <c r="M6" s="157"/>
      <c r="N6" s="157"/>
      <c r="O6" s="157"/>
      <c r="P6" s="157"/>
      <c r="Q6" s="157"/>
      <c r="R6" s="157"/>
      <c r="S6" s="489"/>
      <c r="T6" s="491" t="s">
        <v>470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35" ht="21.95" customHeight="1">
      <c r="A7" s="488" t="s">
        <v>471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472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35" ht="21.95" customHeight="1">
      <c r="A8" s="496" t="s">
        <v>473</v>
      </c>
      <c r="L8" s="496"/>
      <c r="AB8" s="1"/>
    </row>
    <row r="9" spans="1:35" ht="21.95" customHeight="1" thickBot="1">
      <c r="B9" s="497" t="s">
        <v>474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35" ht="21.95" customHeight="1" thickBot="1">
      <c r="A10" s="442" t="s">
        <v>475</v>
      </c>
      <c r="B10" s="297" t="s">
        <v>476</v>
      </c>
      <c r="C10" s="880">
        <v>1</v>
      </c>
      <c r="D10" s="863">
        <v>2</v>
      </c>
      <c r="E10" s="863">
        <v>3</v>
      </c>
      <c r="F10" s="863">
        <v>4</v>
      </c>
      <c r="G10" s="863">
        <v>5</v>
      </c>
      <c r="H10" s="863">
        <v>6</v>
      </c>
      <c r="I10" s="880">
        <v>7</v>
      </c>
      <c r="J10" s="880">
        <v>8</v>
      </c>
      <c r="K10" s="863">
        <v>9</v>
      </c>
      <c r="L10" s="863">
        <v>10</v>
      </c>
      <c r="M10" s="863">
        <v>11</v>
      </c>
      <c r="N10" s="863">
        <v>12</v>
      </c>
      <c r="O10" s="863">
        <v>13</v>
      </c>
      <c r="P10" s="880">
        <v>14</v>
      </c>
      <c r="Q10" s="880">
        <v>15</v>
      </c>
      <c r="R10" s="863">
        <v>16</v>
      </c>
      <c r="S10" s="863">
        <v>17</v>
      </c>
      <c r="T10" s="863">
        <v>18</v>
      </c>
      <c r="U10" s="863">
        <v>19</v>
      </c>
      <c r="V10" s="863">
        <v>20</v>
      </c>
      <c r="W10" s="880">
        <v>21</v>
      </c>
      <c r="X10" s="880">
        <v>22</v>
      </c>
      <c r="Y10" s="863">
        <v>23</v>
      </c>
      <c r="Z10" s="863">
        <v>24</v>
      </c>
      <c r="AA10" s="863">
        <v>25</v>
      </c>
      <c r="AB10" s="863">
        <v>26</v>
      </c>
      <c r="AC10" s="863">
        <v>27</v>
      </c>
      <c r="AD10" s="880">
        <v>28</v>
      </c>
      <c r="AE10" s="880">
        <v>29</v>
      </c>
      <c r="AF10" s="863">
        <v>30</v>
      </c>
      <c r="AG10" s="943">
        <v>31</v>
      </c>
      <c r="AH10" s="498" t="s">
        <v>477</v>
      </c>
      <c r="AI10" s="499" t="s">
        <v>478</v>
      </c>
    </row>
    <row r="11" spans="1:35" ht="21.95" customHeight="1">
      <c r="A11" s="500"/>
      <c r="B11" s="501"/>
      <c r="C11" s="764"/>
      <c r="D11" s="764"/>
      <c r="E11" s="764"/>
      <c r="F11" s="764"/>
      <c r="G11" s="764"/>
      <c r="H11" s="764"/>
      <c r="I11" s="764"/>
      <c r="J11" s="764"/>
      <c r="K11" s="764"/>
      <c r="L11" s="764"/>
      <c r="M11" s="764"/>
      <c r="N11" s="764"/>
      <c r="O11" s="764"/>
      <c r="P11" s="764"/>
      <c r="Q11" s="764"/>
      <c r="R11" s="764"/>
      <c r="S11" s="764"/>
      <c r="T11" s="764"/>
      <c r="U11" s="764"/>
      <c r="V11" s="764"/>
      <c r="W11" s="764"/>
      <c r="X11" s="764"/>
      <c r="Y11" s="764"/>
      <c r="Z11" s="764"/>
      <c r="AA11" s="764"/>
      <c r="AB11" s="764"/>
      <c r="AC11" s="764"/>
      <c r="AD11" s="764"/>
      <c r="AE11" s="764"/>
      <c r="AF11" s="764"/>
      <c r="AG11" s="948"/>
      <c r="AH11" s="924"/>
      <c r="AI11" s="925"/>
    </row>
    <row r="12" spans="1:35" ht="21.95" customHeight="1">
      <c r="A12" s="503" t="s">
        <v>479</v>
      </c>
      <c r="B12" s="457"/>
      <c r="C12" s="504"/>
      <c r="D12" s="504"/>
      <c r="E12" s="504"/>
      <c r="F12" s="504"/>
      <c r="G12" s="504"/>
      <c r="H12" s="504"/>
      <c r="I12" s="504"/>
      <c r="J12" s="504"/>
      <c r="K12" s="504"/>
      <c r="L12" s="504"/>
      <c r="M12" s="504"/>
      <c r="N12" s="504"/>
      <c r="O12" s="504"/>
      <c r="P12" s="504"/>
      <c r="Q12" s="504"/>
      <c r="R12" s="504"/>
      <c r="S12" s="504"/>
      <c r="T12" s="504"/>
      <c r="U12" s="504"/>
      <c r="V12" s="504"/>
      <c r="W12" s="504"/>
      <c r="X12" s="504"/>
      <c r="Y12" s="504"/>
      <c r="Z12" s="504"/>
      <c r="AA12" s="504"/>
      <c r="AB12" s="504"/>
      <c r="AC12" s="504"/>
      <c r="AD12" s="504"/>
      <c r="AE12" s="504"/>
      <c r="AF12" s="504"/>
      <c r="AG12" s="505"/>
      <c r="AH12" s="506"/>
      <c r="AI12" s="507"/>
    </row>
    <row r="13" spans="1:35" ht="21.95" customHeight="1">
      <c r="A13" s="508">
        <v>8546</v>
      </c>
      <c r="B13" s="509" t="s">
        <v>480</v>
      </c>
      <c r="C13" s="764"/>
      <c r="D13" s="764">
        <v>4</v>
      </c>
      <c r="E13" s="764">
        <v>4</v>
      </c>
      <c r="F13" s="764">
        <v>4</v>
      </c>
      <c r="G13" s="764">
        <v>4</v>
      </c>
      <c r="H13" s="768">
        <v>4</v>
      </c>
      <c r="I13" s="764" t="s">
        <v>482</v>
      </c>
      <c r="J13" s="764" t="s">
        <v>482</v>
      </c>
      <c r="K13" s="764" t="s">
        <v>481</v>
      </c>
      <c r="L13" s="764" t="s">
        <v>481</v>
      </c>
      <c r="M13" s="764" t="s">
        <v>481</v>
      </c>
      <c r="N13" s="764" t="s">
        <v>481</v>
      </c>
      <c r="O13" s="764" t="s">
        <v>481</v>
      </c>
      <c r="P13" s="764"/>
      <c r="Q13" s="764"/>
      <c r="R13" s="965">
        <v>1</v>
      </c>
      <c r="S13" s="965">
        <v>1</v>
      </c>
      <c r="T13" s="965">
        <v>1</v>
      </c>
      <c r="U13" s="965">
        <v>1</v>
      </c>
      <c r="V13" s="965">
        <v>1</v>
      </c>
      <c r="W13" s="764"/>
      <c r="X13" s="764"/>
      <c r="Y13" s="972">
        <v>2</v>
      </c>
      <c r="Z13" s="1213">
        <v>2</v>
      </c>
      <c r="AA13" s="1213">
        <v>2</v>
      </c>
      <c r="AB13" s="1213">
        <v>2</v>
      </c>
      <c r="AC13" s="1213">
        <v>2</v>
      </c>
      <c r="AD13" s="1032" t="s">
        <v>484</v>
      </c>
      <c r="AE13" s="1032" t="s">
        <v>484</v>
      </c>
      <c r="AF13" s="764" t="s">
        <v>481</v>
      </c>
      <c r="AG13" s="771" t="s">
        <v>481</v>
      </c>
      <c r="AH13" s="924">
        <v>0</v>
      </c>
      <c r="AI13" s="925">
        <v>19</v>
      </c>
    </row>
    <row r="14" spans="1:35" ht="21.95" customHeight="1">
      <c r="A14" s="500">
        <v>8546</v>
      </c>
      <c r="B14" s="347" t="s">
        <v>483</v>
      </c>
      <c r="C14" s="768" t="s">
        <v>484</v>
      </c>
      <c r="D14" s="768" t="s">
        <v>481</v>
      </c>
      <c r="E14" s="768" t="s">
        <v>481</v>
      </c>
      <c r="F14" s="768" t="s">
        <v>481</v>
      </c>
      <c r="G14" s="768" t="s">
        <v>481</v>
      </c>
      <c r="H14" s="768" t="s">
        <v>481</v>
      </c>
      <c r="I14" s="768"/>
      <c r="J14" s="768"/>
      <c r="K14" s="768">
        <v>3</v>
      </c>
      <c r="L14" s="768">
        <v>3</v>
      </c>
      <c r="M14" s="768">
        <v>3</v>
      </c>
      <c r="N14" s="768">
        <v>3</v>
      </c>
      <c r="O14" s="768">
        <v>3</v>
      </c>
      <c r="P14" s="768"/>
      <c r="Q14" s="768"/>
      <c r="R14" s="970">
        <v>4</v>
      </c>
      <c r="S14" s="970">
        <v>4</v>
      </c>
      <c r="T14" s="970">
        <v>4</v>
      </c>
      <c r="U14" s="970">
        <v>4</v>
      </c>
      <c r="V14" s="970">
        <v>4</v>
      </c>
      <c r="W14" s="970" t="s">
        <v>482</v>
      </c>
      <c r="X14" s="970" t="s">
        <v>482</v>
      </c>
      <c r="Y14" s="768" t="s">
        <v>481</v>
      </c>
      <c r="Z14" s="768" t="s">
        <v>481</v>
      </c>
      <c r="AA14" s="768" t="s">
        <v>481</v>
      </c>
      <c r="AB14" s="768" t="s">
        <v>481</v>
      </c>
      <c r="AC14" s="768" t="s">
        <v>481</v>
      </c>
      <c r="AD14" s="768"/>
      <c r="AE14" s="768"/>
      <c r="AF14" s="970">
        <v>1</v>
      </c>
      <c r="AG14" s="971">
        <v>1</v>
      </c>
      <c r="AH14" s="924">
        <v>16.75</v>
      </c>
      <c r="AI14" s="925">
        <v>37</v>
      </c>
    </row>
    <row r="15" spans="1:35" ht="21.95" customHeight="1">
      <c r="A15" s="500">
        <v>8546</v>
      </c>
      <c r="B15" s="347" t="s">
        <v>174</v>
      </c>
      <c r="C15" s="768"/>
      <c r="D15" s="768">
        <v>3</v>
      </c>
      <c r="E15" s="768">
        <v>3</v>
      </c>
      <c r="F15" s="768">
        <v>3</v>
      </c>
      <c r="G15" s="977">
        <v>3</v>
      </c>
      <c r="H15" s="977">
        <v>3</v>
      </c>
      <c r="I15" s="768"/>
      <c r="J15" s="768"/>
      <c r="K15" s="768">
        <v>4</v>
      </c>
      <c r="L15" s="768">
        <v>4</v>
      </c>
      <c r="M15" s="768">
        <v>4</v>
      </c>
      <c r="N15" s="768">
        <v>4</v>
      </c>
      <c r="O15" s="768">
        <v>4</v>
      </c>
      <c r="P15" s="768" t="s">
        <v>482</v>
      </c>
      <c r="Q15" s="768" t="s">
        <v>482</v>
      </c>
      <c r="R15" s="768" t="s">
        <v>481</v>
      </c>
      <c r="S15" s="768" t="s">
        <v>481</v>
      </c>
      <c r="T15" s="768" t="s">
        <v>481</v>
      </c>
      <c r="U15" s="768" t="s">
        <v>481</v>
      </c>
      <c r="V15" s="768" t="s">
        <v>481</v>
      </c>
      <c r="W15" s="768"/>
      <c r="X15" s="768"/>
      <c r="Y15" s="768">
        <v>1</v>
      </c>
      <c r="Z15" s="768">
        <v>1</v>
      </c>
      <c r="AA15" s="768">
        <v>1</v>
      </c>
      <c r="AB15" s="977">
        <v>1</v>
      </c>
      <c r="AC15" s="977">
        <v>1</v>
      </c>
      <c r="AD15" s="768"/>
      <c r="AE15" s="768"/>
      <c r="AF15" s="768">
        <v>2</v>
      </c>
      <c r="AG15" s="769">
        <v>2</v>
      </c>
      <c r="AH15" s="924">
        <v>0</v>
      </c>
      <c r="AI15" s="925">
        <v>0</v>
      </c>
    </row>
    <row r="16" spans="1:35" ht="21.95" customHeight="1">
      <c r="A16" s="500">
        <v>8546</v>
      </c>
      <c r="B16" s="347" t="s">
        <v>486</v>
      </c>
      <c r="C16" s="768"/>
      <c r="D16" s="768">
        <v>1</v>
      </c>
      <c r="E16" s="768">
        <v>1</v>
      </c>
      <c r="F16" s="768">
        <v>1</v>
      </c>
      <c r="G16" s="768">
        <v>1</v>
      </c>
      <c r="H16" s="768">
        <v>1</v>
      </c>
      <c r="I16" s="768"/>
      <c r="J16" s="768"/>
      <c r="K16" s="768">
        <v>2</v>
      </c>
      <c r="L16" s="768">
        <v>2</v>
      </c>
      <c r="M16" s="768">
        <v>2</v>
      </c>
      <c r="N16" s="768">
        <v>2</v>
      </c>
      <c r="O16" s="768">
        <v>2</v>
      </c>
      <c r="P16" s="768" t="s">
        <v>484</v>
      </c>
      <c r="Q16" s="768" t="s">
        <v>484</v>
      </c>
      <c r="R16" s="768" t="s">
        <v>481</v>
      </c>
      <c r="S16" s="1044" t="s">
        <v>481</v>
      </c>
      <c r="T16" s="1044" t="s">
        <v>481</v>
      </c>
      <c r="U16" s="768" t="s">
        <v>481</v>
      </c>
      <c r="V16" s="768" t="s">
        <v>481</v>
      </c>
      <c r="W16" s="768"/>
      <c r="X16" s="768"/>
      <c r="Y16" s="768">
        <v>2</v>
      </c>
      <c r="Z16" s="768">
        <v>2</v>
      </c>
      <c r="AA16" s="768">
        <v>2</v>
      </c>
      <c r="AB16" s="768">
        <v>2</v>
      </c>
      <c r="AC16" s="977">
        <v>3</v>
      </c>
      <c r="AD16" s="768"/>
      <c r="AE16" s="768"/>
      <c r="AF16" s="768">
        <v>4</v>
      </c>
      <c r="AG16" s="769">
        <v>4</v>
      </c>
      <c r="AH16" s="924">
        <v>1.5</v>
      </c>
      <c r="AI16" s="925">
        <v>37</v>
      </c>
    </row>
    <row r="17" spans="1:37" ht="21.95" customHeight="1">
      <c r="A17" s="500">
        <v>8546</v>
      </c>
      <c r="B17" s="347" t="s">
        <v>487</v>
      </c>
      <c r="C17" s="768" t="s">
        <v>482</v>
      </c>
      <c r="D17" s="768" t="s">
        <v>481</v>
      </c>
      <c r="E17" s="768" t="s">
        <v>481</v>
      </c>
      <c r="F17" s="768" t="s">
        <v>481</v>
      </c>
      <c r="G17" s="768" t="s">
        <v>481</v>
      </c>
      <c r="H17" s="768" t="s">
        <v>481</v>
      </c>
      <c r="I17" s="768"/>
      <c r="J17" s="768"/>
      <c r="K17" s="768">
        <v>1</v>
      </c>
      <c r="L17" s="768">
        <v>1</v>
      </c>
      <c r="M17" s="768">
        <v>1</v>
      </c>
      <c r="N17" s="768">
        <v>1</v>
      </c>
      <c r="O17" s="768">
        <v>1</v>
      </c>
      <c r="P17" s="768"/>
      <c r="Q17" s="768"/>
      <c r="R17" s="768">
        <v>2</v>
      </c>
      <c r="S17" s="768">
        <v>2</v>
      </c>
      <c r="T17" s="1044">
        <v>2</v>
      </c>
      <c r="U17" s="1044">
        <v>2</v>
      </c>
      <c r="V17" s="1044">
        <v>2</v>
      </c>
      <c r="W17" s="768" t="s">
        <v>484</v>
      </c>
      <c r="X17" s="768" t="s">
        <v>484</v>
      </c>
      <c r="Y17" s="1044" t="s">
        <v>481</v>
      </c>
      <c r="Z17" s="1044" t="s">
        <v>481</v>
      </c>
      <c r="AA17" s="1044" t="s">
        <v>481</v>
      </c>
      <c r="AB17" s="1044" t="s">
        <v>481</v>
      </c>
      <c r="AC17" s="768" t="s">
        <v>481</v>
      </c>
      <c r="AD17" s="768"/>
      <c r="AE17" s="768"/>
      <c r="AF17" s="1044">
        <v>3</v>
      </c>
      <c r="AG17" s="1044">
        <v>3</v>
      </c>
      <c r="AH17" s="924">
        <v>0</v>
      </c>
      <c r="AI17" s="925">
        <v>5.75</v>
      </c>
    </row>
    <row r="18" spans="1:37" ht="21.95" customHeight="1">
      <c r="A18" s="500">
        <v>8546</v>
      </c>
      <c r="B18" s="347" t="s">
        <v>488</v>
      </c>
      <c r="C18" s="970"/>
      <c r="D18" s="768">
        <v>2</v>
      </c>
      <c r="E18" s="768">
        <v>2</v>
      </c>
      <c r="F18" s="768">
        <v>2</v>
      </c>
      <c r="G18" s="768">
        <v>2</v>
      </c>
      <c r="H18" s="768">
        <v>2</v>
      </c>
      <c r="I18" s="768" t="s">
        <v>484</v>
      </c>
      <c r="J18" s="768" t="s">
        <v>484</v>
      </c>
      <c r="K18" s="768" t="s">
        <v>481</v>
      </c>
      <c r="L18" s="768" t="s">
        <v>481</v>
      </c>
      <c r="M18" s="768" t="s">
        <v>481</v>
      </c>
      <c r="N18" s="768" t="s">
        <v>481</v>
      </c>
      <c r="O18" s="768" t="s">
        <v>481</v>
      </c>
      <c r="P18" s="768"/>
      <c r="Q18" s="768"/>
      <c r="R18" s="768">
        <v>3</v>
      </c>
      <c r="S18" s="768">
        <v>3</v>
      </c>
      <c r="T18" s="768">
        <v>3</v>
      </c>
      <c r="U18" s="768">
        <v>3</v>
      </c>
      <c r="V18" s="977">
        <v>3</v>
      </c>
      <c r="W18" s="768"/>
      <c r="X18" s="768"/>
      <c r="Y18" s="768">
        <v>4</v>
      </c>
      <c r="Z18" s="768">
        <v>4</v>
      </c>
      <c r="AA18" s="768">
        <v>4</v>
      </c>
      <c r="AB18" s="768">
        <v>4</v>
      </c>
      <c r="AC18" s="768">
        <v>4</v>
      </c>
      <c r="AD18" s="768" t="s">
        <v>482</v>
      </c>
      <c r="AE18" s="768" t="s">
        <v>482</v>
      </c>
      <c r="AF18" s="768" t="s">
        <v>481</v>
      </c>
      <c r="AG18" s="769" t="s">
        <v>481</v>
      </c>
      <c r="AH18" s="924">
        <v>0</v>
      </c>
      <c r="AI18" s="925">
        <v>9</v>
      </c>
    </row>
    <row r="19" spans="1:37" ht="21.95" customHeight="1">
      <c r="A19" s="512" t="s">
        <v>489</v>
      </c>
      <c r="B19" s="513"/>
      <c r="C19" s="504"/>
      <c r="D19" s="504"/>
      <c r="E19" s="504"/>
      <c r="F19" s="504"/>
      <c r="G19" s="504"/>
      <c r="H19" s="504"/>
      <c r="I19" s="504"/>
      <c r="J19" s="504"/>
      <c r="K19" s="504"/>
      <c r="L19" s="504"/>
      <c r="M19" s="504"/>
      <c r="N19" s="504"/>
      <c r="O19" s="504"/>
      <c r="P19" s="504"/>
      <c r="Q19" s="504"/>
      <c r="R19" s="504"/>
      <c r="S19" s="504"/>
      <c r="T19" s="504"/>
      <c r="U19" s="504"/>
      <c r="V19" s="504"/>
      <c r="W19" s="504"/>
      <c r="X19" s="504"/>
      <c r="Y19" s="504"/>
      <c r="Z19" s="504"/>
      <c r="AA19" s="504"/>
      <c r="AB19" s="504"/>
      <c r="AC19" s="504"/>
      <c r="AD19" s="504"/>
      <c r="AE19" s="504"/>
      <c r="AF19" s="504"/>
      <c r="AG19" s="505"/>
      <c r="AH19" s="506"/>
      <c r="AI19" s="507"/>
    </row>
    <row r="20" spans="1:37" ht="21.95" customHeight="1">
      <c r="A20" s="500">
        <v>8500</v>
      </c>
      <c r="B20" s="153" t="s">
        <v>492</v>
      </c>
      <c r="C20" s="768"/>
      <c r="D20" s="768" t="s">
        <v>491</v>
      </c>
      <c r="E20" s="768" t="s">
        <v>491</v>
      </c>
      <c r="F20" s="768" t="s">
        <v>491</v>
      </c>
      <c r="G20" s="768" t="s">
        <v>491</v>
      </c>
      <c r="H20" s="768" t="s">
        <v>491</v>
      </c>
      <c r="I20" s="768"/>
      <c r="J20" s="768"/>
      <c r="K20" s="768" t="s">
        <v>491</v>
      </c>
      <c r="L20" s="768" t="s">
        <v>491</v>
      </c>
      <c r="M20" s="768">
        <v>1</v>
      </c>
      <c r="N20" s="768">
        <v>1</v>
      </c>
      <c r="O20" s="768" t="s">
        <v>491</v>
      </c>
      <c r="P20" s="768"/>
      <c r="Q20" s="768"/>
      <c r="R20" s="768">
        <v>1</v>
      </c>
      <c r="S20" s="768">
        <v>1</v>
      </c>
      <c r="T20" s="768">
        <v>1</v>
      </c>
      <c r="U20" s="768">
        <v>1</v>
      </c>
      <c r="V20" s="768">
        <v>1</v>
      </c>
      <c r="W20" s="768"/>
      <c r="X20" s="768"/>
      <c r="Y20" s="768" t="s">
        <v>485</v>
      </c>
      <c r="Z20" s="768" t="s">
        <v>490</v>
      </c>
      <c r="AA20" s="768" t="s">
        <v>490</v>
      </c>
      <c r="AB20" s="768">
        <v>1</v>
      </c>
      <c r="AC20" s="768">
        <v>2</v>
      </c>
      <c r="AD20" s="768" t="s">
        <v>484</v>
      </c>
      <c r="AE20" s="768"/>
      <c r="AF20" s="768">
        <v>1</v>
      </c>
      <c r="AG20" s="768">
        <v>1</v>
      </c>
      <c r="AH20" s="924">
        <v>6</v>
      </c>
      <c r="AI20" s="925">
        <v>37</v>
      </c>
    </row>
    <row r="21" spans="1:37" ht="21.95" customHeight="1">
      <c r="A21" s="500">
        <v>8500</v>
      </c>
      <c r="B21" s="319" t="s">
        <v>527</v>
      </c>
      <c r="C21" s="768"/>
      <c r="D21" s="768" t="s">
        <v>491</v>
      </c>
      <c r="E21" s="768" t="s">
        <v>491</v>
      </c>
      <c r="F21" s="768" t="s">
        <v>481</v>
      </c>
      <c r="G21" s="768">
        <v>3</v>
      </c>
      <c r="H21" s="768">
        <v>3</v>
      </c>
      <c r="I21" s="768"/>
      <c r="J21" s="768"/>
      <c r="K21" s="970" t="s">
        <v>491</v>
      </c>
      <c r="L21" s="970" t="s">
        <v>491</v>
      </c>
      <c r="M21" s="970" t="s">
        <v>491</v>
      </c>
      <c r="N21" s="970" t="s">
        <v>491</v>
      </c>
      <c r="O21" s="970" t="s">
        <v>491</v>
      </c>
      <c r="P21" s="970"/>
      <c r="Q21" s="970"/>
      <c r="R21" s="768">
        <v>4</v>
      </c>
      <c r="S21" s="768">
        <v>4</v>
      </c>
      <c r="T21" s="768">
        <v>4</v>
      </c>
      <c r="U21" s="768">
        <v>4</v>
      </c>
      <c r="V21" s="768">
        <v>4</v>
      </c>
      <c r="W21" s="768" t="s">
        <v>482</v>
      </c>
      <c r="X21" s="768" t="s">
        <v>482</v>
      </c>
      <c r="Y21" s="768" t="s">
        <v>481</v>
      </c>
      <c r="Z21" s="768" t="s">
        <v>481</v>
      </c>
      <c r="AA21" s="768" t="s">
        <v>481</v>
      </c>
      <c r="AB21" s="768" t="s">
        <v>481</v>
      </c>
      <c r="AC21" s="768">
        <v>1</v>
      </c>
      <c r="AD21" s="768"/>
      <c r="AE21" s="768" t="s">
        <v>484</v>
      </c>
      <c r="AF21" s="768" t="s">
        <v>481</v>
      </c>
      <c r="AG21" s="768" t="s">
        <v>481</v>
      </c>
      <c r="AH21" s="924">
        <v>43</v>
      </c>
      <c r="AI21" s="925">
        <v>37</v>
      </c>
    </row>
    <row r="22" spans="1:37" ht="21.95" customHeight="1" thickBot="1">
      <c r="A22" s="500"/>
      <c r="B22" s="319"/>
      <c r="C22" s="768"/>
      <c r="D22" s="768"/>
      <c r="E22" s="768"/>
      <c r="F22" s="768"/>
      <c r="G22" s="768"/>
      <c r="H22" s="768"/>
      <c r="I22" s="768"/>
      <c r="J22" s="768"/>
      <c r="K22" s="768"/>
      <c r="L22" s="768"/>
      <c r="M22" s="768"/>
      <c r="N22" s="768"/>
      <c r="O22" s="768"/>
      <c r="P22" s="768"/>
      <c r="Q22" s="768"/>
      <c r="R22" s="768"/>
      <c r="S22" s="768"/>
      <c r="T22" s="768"/>
      <c r="U22" s="768"/>
      <c r="V22" s="768"/>
      <c r="W22" s="768"/>
      <c r="X22" s="768"/>
      <c r="Y22" s="768"/>
      <c r="Z22" s="768"/>
      <c r="AA22" s="768"/>
      <c r="AB22" s="768"/>
      <c r="AC22" s="768"/>
      <c r="AD22" s="768"/>
      <c r="AE22" s="768"/>
      <c r="AF22" s="768"/>
      <c r="AG22" s="768"/>
      <c r="AH22" s="514"/>
      <c r="AI22" s="515"/>
    </row>
    <row r="23" spans="1:37" ht="21.95" customHeight="1">
      <c r="A23" s="516"/>
      <c r="C23" s="517"/>
      <c r="D23" s="517"/>
      <c r="E23" s="517"/>
      <c r="F23" s="517"/>
      <c r="G23" s="517"/>
      <c r="H23" s="517"/>
      <c r="I23" s="517"/>
      <c r="J23" s="517"/>
      <c r="K23" s="517"/>
      <c r="L23" s="517"/>
      <c r="M23" s="517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17"/>
      <c r="Y23" s="517"/>
      <c r="Z23" s="517"/>
      <c r="AA23" s="517"/>
      <c r="AB23" s="517"/>
      <c r="AC23" s="517"/>
      <c r="AD23" s="517"/>
      <c r="AE23" s="517"/>
      <c r="AF23" s="517"/>
      <c r="AG23" s="517"/>
    </row>
    <row r="24" spans="1:37" ht="21.95" customHeight="1">
      <c r="A24" s="516"/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</row>
    <row r="25" spans="1:37" ht="21.95" customHeight="1">
      <c r="A25" s="516"/>
      <c r="C25" s="517"/>
      <c r="D25" s="517"/>
      <c r="E25" s="517"/>
      <c r="F25" s="517"/>
      <c r="G25" s="517"/>
      <c r="H25" s="517"/>
      <c r="I25" s="517"/>
      <c r="J25" s="517"/>
      <c r="K25" s="517"/>
      <c r="L25" s="517"/>
      <c r="M25" s="517"/>
      <c r="N25" s="517"/>
      <c r="O25" s="517"/>
      <c r="P25" s="517"/>
      <c r="Q25" s="517"/>
      <c r="R25" s="517"/>
      <c r="S25" s="517"/>
      <c r="T25" s="517"/>
      <c r="U25" s="517"/>
      <c r="V25" s="517"/>
      <c r="W25" s="517"/>
      <c r="X25" s="517"/>
      <c r="Y25" s="517"/>
      <c r="Z25" s="517"/>
      <c r="AA25" s="517"/>
      <c r="AB25" s="517"/>
      <c r="AC25" s="517"/>
      <c r="AD25" s="517"/>
      <c r="AE25" s="517"/>
      <c r="AF25" s="517"/>
      <c r="AG25" s="517"/>
    </row>
    <row r="26" spans="1:37" ht="21.95" customHeight="1">
      <c r="A26" s="516"/>
      <c r="C26" s="517"/>
      <c r="D26" s="517"/>
      <c r="E26" s="517"/>
      <c r="F26" s="517"/>
      <c r="G26" s="517"/>
      <c r="H26" s="517"/>
      <c r="I26" s="517"/>
      <c r="J26" s="517"/>
      <c r="K26" s="517"/>
      <c r="L26" s="517"/>
      <c r="M26" s="517"/>
      <c r="N26" s="517"/>
      <c r="O26" s="517"/>
      <c r="P26" s="517"/>
      <c r="Q26" s="517"/>
      <c r="R26" s="517"/>
      <c r="S26" s="517"/>
      <c r="T26" s="517"/>
      <c r="U26" s="517"/>
      <c r="V26" s="517"/>
      <c r="W26" s="517"/>
      <c r="X26" s="517"/>
      <c r="Y26" s="517"/>
      <c r="Z26" s="517"/>
      <c r="AA26" s="517"/>
      <c r="AB26" s="517"/>
      <c r="AC26" s="517"/>
      <c r="AD26" s="517"/>
      <c r="AE26" s="517"/>
      <c r="AF26" s="517"/>
      <c r="AG26" s="517"/>
    </row>
    <row r="27" spans="1:37" ht="21.95" customHeight="1">
      <c r="A27" s="516"/>
      <c r="C27" s="517"/>
      <c r="D27" s="517"/>
      <c r="E27" s="517"/>
      <c r="F27" s="517"/>
      <c r="G27" s="517"/>
      <c r="H27" s="517"/>
      <c r="I27" s="517"/>
      <c r="J27" s="517"/>
      <c r="K27" s="517"/>
      <c r="L27" s="517"/>
      <c r="M27" s="517"/>
      <c r="N27" s="517"/>
      <c r="O27" s="517"/>
      <c r="P27" s="517"/>
      <c r="Q27" s="517"/>
      <c r="R27" s="517"/>
      <c r="S27" s="517"/>
      <c r="T27" s="517"/>
      <c r="U27" s="517"/>
      <c r="V27" s="517"/>
      <c r="W27" s="517"/>
      <c r="X27" s="517"/>
      <c r="Y27" s="517"/>
      <c r="Z27" s="517"/>
      <c r="AA27" s="517"/>
      <c r="AB27" s="517"/>
      <c r="AC27" s="517"/>
      <c r="AD27" s="517"/>
      <c r="AE27" s="517"/>
      <c r="AF27" s="517"/>
      <c r="AG27" s="517"/>
    </row>
    <row r="28" spans="1:37" ht="21.95" customHeight="1">
      <c r="A28" s="516"/>
      <c r="C28" s="517"/>
      <c r="D28" s="517"/>
      <c r="E28" s="517"/>
      <c r="F28" s="517"/>
      <c r="G28" s="517"/>
      <c r="H28" s="517"/>
      <c r="I28" s="517"/>
      <c r="J28" s="517"/>
      <c r="K28" s="517"/>
      <c r="L28" s="517"/>
      <c r="M28" s="517"/>
      <c r="N28" s="517"/>
      <c r="O28" s="517"/>
      <c r="P28" s="517"/>
      <c r="Q28" s="517"/>
      <c r="R28" s="517"/>
      <c r="S28" s="517"/>
      <c r="T28" s="517"/>
      <c r="U28" s="517"/>
      <c r="V28" s="517"/>
      <c r="W28" s="517"/>
      <c r="X28" s="517"/>
      <c r="Y28" s="517"/>
      <c r="Z28" s="517"/>
      <c r="AA28" s="517"/>
      <c r="AB28" s="517"/>
      <c r="AC28" s="517"/>
      <c r="AD28" s="517"/>
      <c r="AE28" s="517"/>
      <c r="AF28" s="517"/>
      <c r="AG28" s="517"/>
    </row>
    <row r="29" spans="1:37" ht="21.95" customHeight="1">
      <c r="A29" s="516"/>
      <c r="C29" s="517"/>
      <c r="D29" s="517"/>
      <c r="E29" s="517"/>
      <c r="F29" s="517"/>
      <c r="G29" s="517"/>
      <c r="H29" s="517"/>
      <c r="I29" s="517"/>
      <c r="J29" s="517"/>
      <c r="K29" s="517"/>
      <c r="L29" s="517"/>
      <c r="M29" s="517"/>
      <c r="N29" s="517"/>
      <c r="O29" s="517"/>
      <c r="P29" s="517"/>
      <c r="Q29" s="517"/>
      <c r="R29" s="517"/>
      <c r="S29" s="517"/>
      <c r="T29" s="517"/>
      <c r="U29" s="517"/>
      <c r="V29" s="517"/>
      <c r="W29" s="517"/>
      <c r="X29" s="517"/>
      <c r="Y29" s="517"/>
      <c r="Z29" s="517"/>
      <c r="AA29" s="517"/>
      <c r="AB29" s="517"/>
      <c r="AC29" s="517"/>
      <c r="AD29" s="517"/>
      <c r="AE29" s="517"/>
      <c r="AF29" s="517"/>
      <c r="AG29" s="517"/>
    </row>
    <row r="30" spans="1:37" ht="21.95" customHeight="1" thickBot="1">
      <c r="A30" s="1" t="s">
        <v>494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495</v>
      </c>
      <c r="B31" s="518"/>
      <c r="C31" s="518"/>
      <c r="D31" s="425" t="s">
        <v>496</v>
      </c>
      <c r="E31" s="519"/>
      <c r="F31" s="519"/>
      <c r="G31" s="519"/>
      <c r="H31" s="519"/>
      <c r="I31" s="519"/>
      <c r="J31" s="519"/>
      <c r="K31" s="519"/>
      <c r="L31" s="519"/>
      <c r="M31" s="520" t="s">
        <v>497</v>
      </c>
      <c r="N31" s="519"/>
      <c r="O31" s="519"/>
      <c r="P31" s="519"/>
      <c r="Q31" s="519"/>
      <c r="R31" s="519"/>
      <c r="S31" s="521"/>
      <c r="T31" s="521" t="s">
        <v>770</v>
      </c>
      <c r="U31" s="519"/>
      <c r="V31" s="519"/>
      <c r="W31" s="519"/>
      <c r="X31" s="519"/>
      <c r="Y31" s="519"/>
      <c r="Z31" s="238"/>
      <c r="AA31" s="522" t="s">
        <v>499</v>
      </c>
      <c r="AB31" s="51"/>
      <c r="AC31" s="51"/>
      <c r="AD31" s="51"/>
      <c r="AE31" s="51"/>
      <c r="AF31" s="51"/>
      <c r="AG31" s="523"/>
      <c r="AK31" s="1"/>
    </row>
    <row r="32" spans="1:37" ht="21.95" customHeight="1">
      <c r="A32" s="524" t="s">
        <v>500</v>
      </c>
      <c r="B32" s="135"/>
      <c r="C32" s="135"/>
      <c r="D32" s="495" t="s">
        <v>501</v>
      </c>
      <c r="E32" s="491"/>
      <c r="F32" s="157"/>
      <c r="G32" s="157"/>
      <c r="H32" s="157"/>
      <c r="I32" s="157"/>
      <c r="J32" s="157"/>
      <c r="K32" s="157"/>
      <c r="L32" s="489"/>
      <c r="M32" s="525" t="s">
        <v>502</v>
      </c>
      <c r="N32" s="135"/>
      <c r="O32" s="526"/>
      <c r="P32" s="135"/>
      <c r="Q32" s="135"/>
      <c r="R32" s="135"/>
      <c r="S32" s="527"/>
      <c r="T32" s="495" t="s">
        <v>503</v>
      </c>
      <c r="U32" s="157"/>
      <c r="V32" s="491"/>
      <c r="W32" s="157"/>
      <c r="X32" s="157"/>
      <c r="Y32" s="157"/>
      <c r="Z32" s="489"/>
      <c r="AA32" s="1" t="s">
        <v>504</v>
      </c>
      <c r="AD32" s="496"/>
      <c r="AG32" s="528"/>
      <c r="AK32" s="1"/>
    </row>
    <row r="33" spans="1:38" ht="21.95" customHeight="1">
      <c r="A33" s="529" t="s">
        <v>505</v>
      </c>
      <c r="B33" s="157"/>
      <c r="C33" s="157"/>
      <c r="D33" s="157"/>
      <c r="E33" s="157"/>
      <c r="F33" s="157"/>
      <c r="G33" s="489"/>
      <c r="H33" s="495" t="s">
        <v>506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0" t="s">
        <v>507</v>
      </c>
      <c r="AA33" s="526"/>
      <c r="AB33" s="135"/>
      <c r="AC33" s="135"/>
      <c r="AD33" s="135"/>
      <c r="AE33" s="135"/>
      <c r="AF33" s="135"/>
      <c r="AG33" s="531"/>
      <c r="AK33" s="312"/>
    </row>
    <row r="34" spans="1:38" ht="21.95" customHeight="1" thickBot="1">
      <c r="A34" s="532" t="s">
        <v>508</v>
      </c>
      <c r="B34" s="53"/>
      <c r="C34" s="53"/>
      <c r="D34" s="53"/>
      <c r="E34" s="53"/>
      <c r="F34" s="53"/>
      <c r="G34" s="533"/>
      <c r="H34" s="534" t="s">
        <v>509</v>
      </c>
      <c r="I34" s="533"/>
      <c r="J34" s="53"/>
      <c r="K34" s="53"/>
      <c r="L34" s="53"/>
      <c r="M34" s="53"/>
      <c r="N34" s="53"/>
      <c r="O34" s="53"/>
      <c r="P34" s="53"/>
      <c r="Q34" s="535"/>
      <c r="R34" s="535"/>
      <c r="S34" s="535"/>
      <c r="T34" s="53"/>
      <c r="U34" s="534" t="s">
        <v>510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6"/>
      <c r="AK34" s="1"/>
    </row>
    <row r="35" spans="1:38" ht="21.95" customHeight="1" thickBot="1">
      <c r="B35" s="537" t="s">
        <v>474</v>
      </c>
      <c r="C35" s="538"/>
      <c r="D35" s="538"/>
      <c r="E35" s="538"/>
      <c r="F35" s="538"/>
      <c r="G35" s="538"/>
      <c r="H35" s="538"/>
      <c r="I35" s="538"/>
      <c r="J35" s="538"/>
      <c r="K35" s="538"/>
      <c r="L35" s="538"/>
      <c r="M35" s="538"/>
      <c r="N35" s="538"/>
      <c r="O35" s="538"/>
      <c r="P35" s="538"/>
      <c r="Q35" s="538"/>
      <c r="R35" s="538"/>
      <c r="S35" s="538"/>
      <c r="T35" s="538"/>
      <c r="U35" s="538"/>
      <c r="V35" s="538"/>
      <c r="W35" s="538"/>
      <c r="X35" s="538"/>
      <c r="Y35" s="538"/>
      <c r="Z35" s="538"/>
      <c r="AA35" s="538"/>
      <c r="AB35" s="538"/>
      <c r="AC35" s="538"/>
      <c r="AD35" s="538"/>
      <c r="AE35" s="538"/>
      <c r="AF35" s="538"/>
      <c r="AG35" s="538"/>
      <c r="AH35" s="1"/>
    </row>
    <row r="36" spans="1:38" ht="21.95" customHeight="1" thickBot="1">
      <c r="A36" s="539" t="s">
        <v>475</v>
      </c>
      <c r="B36" s="182" t="s">
        <v>476</v>
      </c>
      <c r="C36" s="788">
        <v>1</v>
      </c>
      <c r="D36" s="787">
        <v>2</v>
      </c>
      <c r="E36" s="787">
        <v>3</v>
      </c>
      <c r="F36" s="787">
        <v>4</v>
      </c>
      <c r="G36" s="787">
        <v>5</v>
      </c>
      <c r="H36" s="787">
        <v>6</v>
      </c>
      <c r="I36" s="830">
        <v>7</v>
      </c>
      <c r="J36" s="830">
        <v>8</v>
      </c>
      <c r="K36" s="787">
        <v>9</v>
      </c>
      <c r="L36" s="787">
        <v>10</v>
      </c>
      <c r="M36" s="787">
        <v>11</v>
      </c>
      <c r="N36" s="787">
        <v>12</v>
      </c>
      <c r="O36" s="787">
        <v>13</v>
      </c>
      <c r="P36" s="830">
        <v>14</v>
      </c>
      <c r="Q36" s="830">
        <v>15</v>
      </c>
      <c r="R36" s="787">
        <v>16</v>
      </c>
      <c r="S36" s="787">
        <v>17</v>
      </c>
      <c r="T36" s="787">
        <v>18</v>
      </c>
      <c r="U36" s="787">
        <v>19</v>
      </c>
      <c r="V36" s="766">
        <v>20</v>
      </c>
      <c r="W36" s="830">
        <v>21</v>
      </c>
      <c r="X36" s="830">
        <v>22</v>
      </c>
      <c r="Y36" s="787">
        <v>23</v>
      </c>
      <c r="Z36" s="787">
        <v>24</v>
      </c>
      <c r="AA36" s="787">
        <v>25</v>
      </c>
      <c r="AB36" s="787">
        <v>26</v>
      </c>
      <c r="AC36" s="787">
        <v>27</v>
      </c>
      <c r="AD36" s="830">
        <v>28</v>
      </c>
      <c r="AE36" s="830">
        <v>29</v>
      </c>
      <c r="AF36" s="787">
        <v>30</v>
      </c>
      <c r="AG36" s="787">
        <v>31</v>
      </c>
      <c r="AH36" s="498" t="s">
        <v>477</v>
      </c>
      <c r="AI36" s="499" t="s">
        <v>478</v>
      </c>
      <c r="AL36" t="s">
        <v>28</v>
      </c>
    </row>
    <row r="37" spans="1:38" ht="21.95" customHeight="1">
      <c r="A37" s="540">
        <v>1</v>
      </c>
      <c r="B37" s="45" t="s">
        <v>511</v>
      </c>
      <c r="C37" s="763" t="s">
        <v>514</v>
      </c>
      <c r="D37" s="763" t="s">
        <v>481</v>
      </c>
      <c r="E37" s="763" t="s">
        <v>481</v>
      </c>
      <c r="F37" s="763" t="s">
        <v>481</v>
      </c>
      <c r="G37" s="763" t="s">
        <v>481</v>
      </c>
      <c r="H37" s="763" t="s">
        <v>481</v>
      </c>
      <c r="I37" s="763"/>
      <c r="J37" s="763"/>
      <c r="K37" s="763">
        <v>6</v>
      </c>
      <c r="L37" s="763">
        <v>6</v>
      </c>
      <c r="M37" s="763">
        <v>6</v>
      </c>
      <c r="N37" s="763">
        <v>6</v>
      </c>
      <c r="O37" s="974">
        <v>6</v>
      </c>
      <c r="P37" s="1314" t="s">
        <v>512</v>
      </c>
      <c r="Q37" s="1314" t="s">
        <v>513</v>
      </c>
      <c r="R37" s="1069" t="s">
        <v>481</v>
      </c>
      <c r="S37" s="1069" t="s">
        <v>481</v>
      </c>
      <c r="T37" s="1069" t="s">
        <v>481</v>
      </c>
      <c r="U37" s="1069">
        <v>11</v>
      </c>
      <c r="V37" s="1069">
        <v>11</v>
      </c>
      <c r="W37" s="1069" t="s">
        <v>517</v>
      </c>
      <c r="X37" s="1069" t="s">
        <v>517</v>
      </c>
      <c r="Y37" s="974">
        <v>5</v>
      </c>
      <c r="Z37" s="974">
        <v>5</v>
      </c>
      <c r="AA37" s="974">
        <v>5</v>
      </c>
      <c r="AB37" s="974">
        <v>5</v>
      </c>
      <c r="AC37" s="974">
        <v>5</v>
      </c>
      <c r="AD37" s="974"/>
      <c r="AE37" s="974"/>
      <c r="AF37" s="763">
        <v>10</v>
      </c>
      <c r="AG37" s="773">
        <v>10</v>
      </c>
      <c r="AH37" s="924">
        <v>19</v>
      </c>
      <c r="AI37" s="925">
        <v>37</v>
      </c>
    </row>
    <row r="38" spans="1:38" ht="21.95" customHeight="1">
      <c r="A38" s="541">
        <v>6</v>
      </c>
      <c r="B38" s="153" t="s">
        <v>794</v>
      </c>
      <c r="C38" s="768" t="s">
        <v>514</v>
      </c>
      <c r="D38" s="768" t="s">
        <v>481</v>
      </c>
      <c r="E38" s="768" t="s">
        <v>481</v>
      </c>
      <c r="F38" s="768" t="s">
        <v>481</v>
      </c>
      <c r="G38" s="768" t="s">
        <v>481</v>
      </c>
      <c r="H38" s="768" t="s">
        <v>481</v>
      </c>
      <c r="I38" s="768" t="s">
        <v>515</v>
      </c>
      <c r="J38" s="768" t="s">
        <v>515</v>
      </c>
      <c r="K38" s="768">
        <v>7</v>
      </c>
      <c r="L38" s="768">
        <v>7</v>
      </c>
      <c r="M38" s="768">
        <v>7</v>
      </c>
      <c r="N38" s="1007">
        <v>7</v>
      </c>
      <c r="O38" s="977">
        <v>7</v>
      </c>
      <c r="P38" s="768"/>
      <c r="Q38" s="768"/>
      <c r="R38" s="768">
        <v>4</v>
      </c>
      <c r="S38" s="768">
        <v>4</v>
      </c>
      <c r="T38" s="768">
        <v>4</v>
      </c>
      <c r="U38" s="1007">
        <v>4</v>
      </c>
      <c r="V38" s="768">
        <v>4</v>
      </c>
      <c r="W38" s="768"/>
      <c r="X38" s="768"/>
      <c r="Y38" s="1044">
        <v>3</v>
      </c>
      <c r="Z38" s="768">
        <v>3</v>
      </c>
      <c r="AA38" s="768">
        <v>3</v>
      </c>
      <c r="AB38" s="768">
        <v>3</v>
      </c>
      <c r="AC38" s="768">
        <v>3</v>
      </c>
      <c r="AD38" s="768"/>
      <c r="AE38" s="768"/>
      <c r="AF38" s="768">
        <v>11</v>
      </c>
      <c r="AG38" s="774">
        <v>11</v>
      </c>
      <c r="AH38" s="924">
        <v>0</v>
      </c>
      <c r="AI38" s="925">
        <v>2</v>
      </c>
    </row>
    <row r="39" spans="1:38" ht="21.95" customHeight="1" thickBot="1">
      <c r="A39" s="543">
        <v>11</v>
      </c>
      <c r="B39" s="794" t="s">
        <v>518</v>
      </c>
      <c r="C39" s="1068" t="s">
        <v>517</v>
      </c>
      <c r="D39" s="761" t="s">
        <v>481</v>
      </c>
      <c r="E39" s="761" t="s">
        <v>481</v>
      </c>
      <c r="F39" s="761" t="s">
        <v>481</v>
      </c>
      <c r="G39" s="761" t="s">
        <v>481</v>
      </c>
      <c r="H39" s="761" t="s">
        <v>481</v>
      </c>
      <c r="I39" s="761"/>
      <c r="J39" s="761"/>
      <c r="K39" s="761">
        <v>8</v>
      </c>
      <c r="L39" s="761">
        <v>8</v>
      </c>
      <c r="M39" s="761">
        <v>8</v>
      </c>
      <c r="N39" s="761">
        <v>8</v>
      </c>
      <c r="O39" s="761">
        <v>8</v>
      </c>
      <c r="P39" s="761" t="s">
        <v>513</v>
      </c>
      <c r="Q39" s="761" t="s">
        <v>513</v>
      </c>
      <c r="R39" s="761" t="s">
        <v>481</v>
      </c>
      <c r="S39" s="761" t="s">
        <v>481</v>
      </c>
      <c r="T39" s="1236" t="s">
        <v>481</v>
      </c>
      <c r="U39" s="761" t="s">
        <v>481</v>
      </c>
      <c r="V39" s="1047" t="s">
        <v>481</v>
      </c>
      <c r="W39" s="761"/>
      <c r="X39" s="761"/>
      <c r="Y39" s="761">
        <v>1</v>
      </c>
      <c r="Z39" s="761">
        <v>1</v>
      </c>
      <c r="AA39" s="761">
        <v>1</v>
      </c>
      <c r="AB39" s="761">
        <v>1</v>
      </c>
      <c r="AC39" s="1047">
        <v>1</v>
      </c>
      <c r="AD39" s="761"/>
      <c r="AE39" s="761"/>
      <c r="AF39" s="761">
        <v>9</v>
      </c>
      <c r="AG39" s="775">
        <v>9</v>
      </c>
      <c r="AH39" s="924">
        <v>5.5</v>
      </c>
      <c r="AI39" s="925">
        <v>37</v>
      </c>
    </row>
    <row r="40" spans="1:38" ht="21.95" customHeight="1">
      <c r="A40" s="540">
        <v>2</v>
      </c>
      <c r="B40" s="45" t="s">
        <v>520</v>
      </c>
      <c r="C40" s="974"/>
      <c r="D40" s="974">
        <v>6</v>
      </c>
      <c r="E40" s="974">
        <v>6</v>
      </c>
      <c r="F40" s="1089">
        <v>6</v>
      </c>
      <c r="G40" s="1089">
        <v>6</v>
      </c>
      <c r="H40" s="974">
        <v>6</v>
      </c>
      <c r="I40" s="974" t="s">
        <v>512</v>
      </c>
      <c r="J40" s="974" t="s">
        <v>513</v>
      </c>
      <c r="K40" s="763" t="s">
        <v>481</v>
      </c>
      <c r="L40" s="763" t="s">
        <v>481</v>
      </c>
      <c r="M40" s="763" t="s">
        <v>481</v>
      </c>
      <c r="N40" s="763" t="s">
        <v>481</v>
      </c>
      <c r="O40" s="763" t="s">
        <v>481</v>
      </c>
      <c r="P40" s="763"/>
      <c r="Q40" s="763"/>
      <c r="R40" s="1016">
        <v>5</v>
      </c>
      <c r="S40" s="1016">
        <v>5</v>
      </c>
      <c r="T40" s="1075">
        <v>5</v>
      </c>
      <c r="U40" s="1075">
        <v>5</v>
      </c>
      <c r="V40" s="1016">
        <v>5</v>
      </c>
      <c r="W40" s="763"/>
      <c r="X40" s="763"/>
      <c r="Y40" s="1016">
        <v>10</v>
      </c>
      <c r="Z40" s="1016">
        <v>10</v>
      </c>
      <c r="AA40" s="1016">
        <v>10</v>
      </c>
      <c r="AB40" s="1016">
        <v>10</v>
      </c>
      <c r="AC40" s="1016">
        <v>10</v>
      </c>
      <c r="AD40" s="1016" t="s">
        <v>514</v>
      </c>
      <c r="AE40" s="1016" t="s">
        <v>771</v>
      </c>
      <c r="AF40" s="763" t="s">
        <v>481</v>
      </c>
      <c r="AG40" s="763" t="s">
        <v>481</v>
      </c>
      <c r="AH40" s="924">
        <v>0</v>
      </c>
      <c r="AI40" s="925">
        <v>6</v>
      </c>
    </row>
    <row r="41" spans="1:38" ht="21.95" customHeight="1">
      <c r="A41" s="541">
        <v>7</v>
      </c>
      <c r="B41" s="153" t="s">
        <v>522</v>
      </c>
      <c r="C41" s="768" t="s">
        <v>515</v>
      </c>
      <c r="D41" s="768">
        <v>7</v>
      </c>
      <c r="E41" s="768">
        <v>7</v>
      </c>
      <c r="F41" s="768">
        <v>7</v>
      </c>
      <c r="G41" s="768">
        <v>7</v>
      </c>
      <c r="H41" s="768">
        <v>7</v>
      </c>
      <c r="I41" s="768"/>
      <c r="J41" s="768"/>
      <c r="K41" s="970">
        <v>4</v>
      </c>
      <c r="L41" s="970">
        <v>4</v>
      </c>
      <c r="M41" s="970">
        <v>4</v>
      </c>
      <c r="N41" s="970">
        <v>4</v>
      </c>
      <c r="O41" s="970">
        <v>4</v>
      </c>
      <c r="P41" s="970"/>
      <c r="Q41" s="970"/>
      <c r="R41" s="768">
        <v>3</v>
      </c>
      <c r="S41" s="768">
        <v>3</v>
      </c>
      <c r="T41" s="768">
        <v>3</v>
      </c>
      <c r="U41" s="768">
        <v>3</v>
      </c>
      <c r="V41" s="768">
        <v>5</v>
      </c>
      <c r="W41" s="768"/>
      <c r="X41" s="768"/>
      <c r="Y41" s="768">
        <v>11</v>
      </c>
      <c r="Z41" s="768">
        <v>11</v>
      </c>
      <c r="AA41" s="768">
        <v>11</v>
      </c>
      <c r="AB41" s="970">
        <v>11</v>
      </c>
      <c r="AC41" s="768">
        <v>11</v>
      </c>
      <c r="AD41" s="768" t="s">
        <v>517</v>
      </c>
      <c r="AE41" s="768" t="s">
        <v>517</v>
      </c>
      <c r="AF41" s="768" t="s">
        <v>481</v>
      </c>
      <c r="AG41" s="774" t="s">
        <v>481</v>
      </c>
      <c r="AH41" s="924">
        <v>0</v>
      </c>
      <c r="AI41" s="925">
        <v>37</v>
      </c>
    </row>
    <row r="42" spans="1:38" ht="21.95" customHeight="1" thickBot="1">
      <c r="A42" s="543">
        <v>12</v>
      </c>
      <c r="B42" s="544" t="s">
        <v>523</v>
      </c>
      <c r="C42" s="761"/>
      <c r="D42" s="761">
        <v>8</v>
      </c>
      <c r="E42" s="761">
        <v>8</v>
      </c>
      <c r="F42" s="761">
        <v>8</v>
      </c>
      <c r="G42" s="1047">
        <v>8</v>
      </c>
      <c r="H42" s="761">
        <v>8</v>
      </c>
      <c r="I42" s="761" t="s">
        <v>513</v>
      </c>
      <c r="J42" s="761" t="s">
        <v>513</v>
      </c>
      <c r="K42" s="761" t="s">
        <v>481</v>
      </c>
      <c r="L42" s="761" t="s">
        <v>481</v>
      </c>
      <c r="M42" s="761" t="s">
        <v>481</v>
      </c>
      <c r="N42" s="761" t="s">
        <v>481</v>
      </c>
      <c r="O42" s="761" t="s">
        <v>481</v>
      </c>
      <c r="P42" s="761"/>
      <c r="Q42" s="761"/>
      <c r="R42" s="761">
        <v>1</v>
      </c>
      <c r="S42" s="761">
        <v>1</v>
      </c>
      <c r="T42" s="761">
        <v>1</v>
      </c>
      <c r="U42" s="761">
        <v>1</v>
      </c>
      <c r="V42" s="1047">
        <v>1</v>
      </c>
      <c r="W42" s="761"/>
      <c r="X42" s="761"/>
      <c r="Y42" s="761">
        <v>9</v>
      </c>
      <c r="Z42" s="761">
        <v>9</v>
      </c>
      <c r="AA42" s="761">
        <v>9</v>
      </c>
      <c r="AB42" s="761">
        <v>9</v>
      </c>
      <c r="AC42" s="761">
        <v>9</v>
      </c>
      <c r="AD42" s="761" t="s">
        <v>519</v>
      </c>
      <c r="AE42" s="761" t="s">
        <v>514</v>
      </c>
      <c r="AF42" s="761" t="s">
        <v>481</v>
      </c>
      <c r="AG42" s="775" t="s">
        <v>481</v>
      </c>
      <c r="AH42" s="924">
        <v>21</v>
      </c>
      <c r="AI42" s="925">
        <v>37</v>
      </c>
    </row>
    <row r="43" spans="1:38" ht="21.95" customHeight="1">
      <c r="A43" s="545">
        <v>3</v>
      </c>
      <c r="B43" s="1309" t="s">
        <v>575</v>
      </c>
      <c r="C43" s="1156" t="s">
        <v>513</v>
      </c>
      <c r="D43" s="764" t="s">
        <v>481</v>
      </c>
      <c r="E43" s="764" t="s">
        <v>481</v>
      </c>
      <c r="F43" s="764" t="s">
        <v>481</v>
      </c>
      <c r="G43" s="764" t="s">
        <v>481</v>
      </c>
      <c r="H43" s="764" t="s">
        <v>481</v>
      </c>
      <c r="I43" s="764"/>
      <c r="J43" s="764"/>
      <c r="K43" s="985">
        <v>5</v>
      </c>
      <c r="L43" s="985">
        <v>5</v>
      </c>
      <c r="M43" s="985">
        <v>5</v>
      </c>
      <c r="N43" s="985">
        <v>5</v>
      </c>
      <c r="O43" s="985">
        <v>5</v>
      </c>
      <c r="P43" s="985"/>
      <c r="Q43" s="985"/>
      <c r="R43" s="1304">
        <v>10</v>
      </c>
      <c r="S43" s="985">
        <v>10</v>
      </c>
      <c r="T43" s="985">
        <v>10</v>
      </c>
      <c r="U43" s="985">
        <v>10</v>
      </c>
      <c r="V43" s="985">
        <v>10</v>
      </c>
      <c r="W43" s="972" t="s">
        <v>514</v>
      </c>
      <c r="X43" s="972" t="s">
        <v>514</v>
      </c>
      <c r="Y43" s="764" t="s">
        <v>481</v>
      </c>
      <c r="Z43" s="764" t="s">
        <v>481</v>
      </c>
      <c r="AA43" s="764" t="s">
        <v>481</v>
      </c>
      <c r="AB43" s="764" t="s">
        <v>481</v>
      </c>
      <c r="AC43" s="764" t="s">
        <v>481</v>
      </c>
      <c r="AD43" s="764" t="s">
        <v>515</v>
      </c>
      <c r="AE43" s="764" t="s">
        <v>515</v>
      </c>
      <c r="AF43" s="764">
        <v>7</v>
      </c>
      <c r="AG43" s="777">
        <v>7</v>
      </c>
      <c r="AH43" s="924">
        <v>38</v>
      </c>
      <c r="AI43" s="925">
        <v>37</v>
      </c>
    </row>
    <row r="44" spans="1:38" ht="21.95" customHeight="1">
      <c r="A44" s="541">
        <v>8</v>
      </c>
      <c r="B44" s="319" t="s">
        <v>525</v>
      </c>
      <c r="C44" s="768"/>
      <c r="D44" s="977">
        <v>4</v>
      </c>
      <c r="E44" s="977">
        <v>4</v>
      </c>
      <c r="F44" s="977">
        <v>4</v>
      </c>
      <c r="G44" s="989">
        <v>4</v>
      </c>
      <c r="H44" s="977">
        <v>4</v>
      </c>
      <c r="I44" s="768"/>
      <c r="J44" s="768"/>
      <c r="K44" s="977">
        <v>3</v>
      </c>
      <c r="L44" s="977">
        <v>3</v>
      </c>
      <c r="M44" s="977">
        <v>3</v>
      </c>
      <c r="N44" s="977">
        <v>3</v>
      </c>
      <c r="O44" s="977">
        <v>3</v>
      </c>
      <c r="P44" s="768"/>
      <c r="Q44" s="769"/>
      <c r="R44" s="768">
        <v>11</v>
      </c>
      <c r="S44" s="779">
        <v>11</v>
      </c>
      <c r="T44" s="768">
        <v>11</v>
      </c>
      <c r="U44" s="1038">
        <v>11</v>
      </c>
      <c r="V44" s="1038">
        <v>11</v>
      </c>
      <c r="W44" s="1038" t="s">
        <v>517</v>
      </c>
      <c r="X44" s="1038" t="s">
        <v>517</v>
      </c>
      <c r="Y44" s="1038" t="s">
        <v>481</v>
      </c>
      <c r="Z44" s="1038" t="s">
        <v>755</v>
      </c>
      <c r="AA44" s="768" t="s">
        <v>481</v>
      </c>
      <c r="AB44" s="768" t="s">
        <v>481</v>
      </c>
      <c r="AC44" s="768" t="s">
        <v>481</v>
      </c>
      <c r="AD44" s="768"/>
      <c r="AE44" s="768"/>
      <c r="AF44" s="970">
        <v>8</v>
      </c>
      <c r="AG44" s="970">
        <v>8</v>
      </c>
      <c r="AH44" s="924">
        <v>4.5</v>
      </c>
      <c r="AI44" s="925">
        <v>12.5</v>
      </c>
    </row>
    <row r="45" spans="1:38" ht="21.95" customHeight="1" thickBot="1">
      <c r="A45" s="543">
        <v>13</v>
      </c>
      <c r="B45" s="52" t="s">
        <v>526</v>
      </c>
      <c r="C45" s="761" t="s">
        <v>513</v>
      </c>
      <c r="D45" s="761" t="s">
        <v>481</v>
      </c>
      <c r="E45" s="761" t="s">
        <v>481</v>
      </c>
      <c r="F45" s="761" t="s">
        <v>481</v>
      </c>
      <c r="G45" s="761" t="s">
        <v>481</v>
      </c>
      <c r="H45" s="761" t="s">
        <v>481</v>
      </c>
      <c r="I45" s="761"/>
      <c r="J45" s="761"/>
      <c r="K45" s="1241">
        <v>1</v>
      </c>
      <c r="L45" s="1241">
        <v>1</v>
      </c>
      <c r="M45" s="967">
        <v>1</v>
      </c>
      <c r="N45" s="967">
        <v>1</v>
      </c>
      <c r="O45" s="967">
        <v>1</v>
      </c>
      <c r="P45" s="1236"/>
      <c r="Q45" s="761"/>
      <c r="R45" s="770">
        <v>9</v>
      </c>
      <c r="S45" s="761">
        <v>9</v>
      </c>
      <c r="T45" s="761">
        <v>9</v>
      </c>
      <c r="U45" s="761">
        <v>9</v>
      </c>
      <c r="V45" s="761">
        <v>9</v>
      </c>
      <c r="W45" s="1037" t="s">
        <v>519</v>
      </c>
      <c r="X45" s="1037" t="s">
        <v>519</v>
      </c>
      <c r="Y45" s="761" t="s">
        <v>481</v>
      </c>
      <c r="Z45" s="761" t="s">
        <v>481</v>
      </c>
      <c r="AA45" s="761" t="s">
        <v>481</v>
      </c>
      <c r="AB45" s="761" t="s">
        <v>481</v>
      </c>
      <c r="AC45" s="761" t="s">
        <v>481</v>
      </c>
      <c r="AD45" s="761"/>
      <c r="AE45" s="761"/>
      <c r="AF45" s="761">
        <v>6</v>
      </c>
      <c r="AG45" s="761">
        <v>6</v>
      </c>
      <c r="AH45" s="924">
        <v>75</v>
      </c>
      <c r="AI45" s="925">
        <v>37</v>
      </c>
    </row>
    <row r="46" spans="1:38" ht="21.95" customHeight="1">
      <c r="A46" s="545">
        <v>4</v>
      </c>
      <c r="B46" s="319"/>
      <c r="C46" s="768"/>
      <c r="D46" s="768">
        <v>5</v>
      </c>
      <c r="E46" s="768">
        <v>5</v>
      </c>
      <c r="F46" s="768">
        <v>5</v>
      </c>
      <c r="G46" s="768">
        <v>5</v>
      </c>
      <c r="H46" s="768">
        <v>5</v>
      </c>
      <c r="I46" s="768"/>
      <c r="J46" s="764"/>
      <c r="K46" s="985">
        <v>10</v>
      </c>
      <c r="L46" s="985">
        <v>10</v>
      </c>
      <c r="M46" s="985">
        <v>10</v>
      </c>
      <c r="N46" s="985">
        <v>10</v>
      </c>
      <c r="O46" s="985">
        <v>10</v>
      </c>
      <c r="P46" s="985" t="s">
        <v>514</v>
      </c>
      <c r="Q46" s="985" t="s">
        <v>514</v>
      </c>
      <c r="R46" s="764" t="s">
        <v>481</v>
      </c>
      <c r="S46" s="764" t="s">
        <v>481</v>
      </c>
      <c r="T46" s="764" t="s">
        <v>481</v>
      </c>
      <c r="U46" s="764" t="s">
        <v>481</v>
      </c>
      <c r="V46" s="764" t="s">
        <v>481</v>
      </c>
      <c r="W46" s="764" t="s">
        <v>515</v>
      </c>
      <c r="X46" s="764" t="s">
        <v>515</v>
      </c>
      <c r="Y46" s="764">
        <v>7</v>
      </c>
      <c r="Z46" s="764">
        <v>7</v>
      </c>
      <c r="AA46" s="764">
        <v>7</v>
      </c>
      <c r="AB46" s="764">
        <v>7</v>
      </c>
      <c r="AC46" s="764">
        <v>7</v>
      </c>
      <c r="AD46" s="764"/>
      <c r="AE46" s="764"/>
      <c r="AF46" s="764">
        <v>4</v>
      </c>
      <c r="AG46" s="771">
        <v>4</v>
      </c>
      <c r="AH46" s="924">
        <v>62</v>
      </c>
      <c r="AI46" s="925">
        <v>37</v>
      </c>
    </row>
    <row r="47" spans="1:38" ht="21.95" customHeight="1" thickBot="1">
      <c r="A47" s="541">
        <v>9</v>
      </c>
      <c r="B47" s="319" t="s">
        <v>528</v>
      </c>
      <c r="C47" s="768"/>
      <c r="D47" s="768">
        <v>3</v>
      </c>
      <c r="E47" s="768">
        <v>3</v>
      </c>
      <c r="F47" s="768">
        <v>3</v>
      </c>
      <c r="G47" s="768">
        <v>3</v>
      </c>
      <c r="H47" s="768">
        <v>3</v>
      </c>
      <c r="I47" s="768"/>
      <c r="J47" s="768"/>
      <c r="K47" s="768">
        <v>11</v>
      </c>
      <c r="L47" s="768">
        <v>11</v>
      </c>
      <c r="M47" s="768">
        <v>11</v>
      </c>
      <c r="N47" s="768">
        <v>11</v>
      </c>
      <c r="O47" s="768">
        <v>11</v>
      </c>
      <c r="P47" s="768" t="s">
        <v>517</v>
      </c>
      <c r="Q47" s="768" t="s">
        <v>517</v>
      </c>
      <c r="R47" s="768" t="s">
        <v>481</v>
      </c>
      <c r="S47" s="768" t="s">
        <v>481</v>
      </c>
      <c r="T47" s="768" t="s">
        <v>481</v>
      </c>
      <c r="U47" s="768" t="s">
        <v>481</v>
      </c>
      <c r="V47" s="768" t="s">
        <v>481</v>
      </c>
      <c r="W47" s="768"/>
      <c r="X47" s="768"/>
      <c r="Y47" s="768">
        <v>8</v>
      </c>
      <c r="Z47" s="768">
        <v>8</v>
      </c>
      <c r="AA47" s="768">
        <v>8</v>
      </c>
      <c r="AB47" s="768">
        <v>8</v>
      </c>
      <c r="AC47" s="768">
        <v>8</v>
      </c>
      <c r="AD47" s="768" t="s">
        <v>513</v>
      </c>
      <c r="AE47" s="768" t="s">
        <v>513</v>
      </c>
      <c r="AF47" s="768" t="s">
        <v>481</v>
      </c>
      <c r="AG47" s="769" t="s">
        <v>481</v>
      </c>
      <c r="AH47" s="924">
        <v>0</v>
      </c>
      <c r="AI47" s="925">
        <v>0</v>
      </c>
    </row>
    <row r="48" spans="1:38" ht="21.95" customHeight="1" thickBot="1">
      <c r="A48" s="543">
        <v>14</v>
      </c>
      <c r="B48" s="544" t="s">
        <v>529</v>
      </c>
      <c r="C48" s="761"/>
      <c r="D48" s="764">
        <v>1</v>
      </c>
      <c r="E48" s="764">
        <v>1</v>
      </c>
      <c r="F48" s="764">
        <v>1</v>
      </c>
      <c r="G48" s="764">
        <v>1</v>
      </c>
      <c r="H48" s="764">
        <v>1</v>
      </c>
      <c r="I48" s="764"/>
      <c r="J48" s="764"/>
      <c r="K48" s="764">
        <v>9</v>
      </c>
      <c r="L48" s="761">
        <v>9</v>
      </c>
      <c r="M48" s="761">
        <v>9</v>
      </c>
      <c r="N48" s="761">
        <v>9</v>
      </c>
      <c r="O48" s="761">
        <v>9</v>
      </c>
      <c r="P48" s="761" t="s">
        <v>519</v>
      </c>
      <c r="Q48" s="761" t="s">
        <v>514</v>
      </c>
      <c r="R48" s="761" t="s">
        <v>481</v>
      </c>
      <c r="S48" s="761" t="s">
        <v>481</v>
      </c>
      <c r="T48" s="761" t="s">
        <v>481</v>
      </c>
      <c r="U48" s="1069" t="s">
        <v>481</v>
      </c>
      <c r="V48" s="761" t="s">
        <v>481</v>
      </c>
      <c r="W48" s="761"/>
      <c r="X48" s="761"/>
      <c r="Y48" s="1047">
        <v>6</v>
      </c>
      <c r="Z48" s="1047">
        <v>6</v>
      </c>
      <c r="AA48" s="761">
        <v>6</v>
      </c>
      <c r="AB48" s="761">
        <v>6</v>
      </c>
      <c r="AC48" s="761">
        <v>6</v>
      </c>
      <c r="AD48" s="761" t="s">
        <v>512</v>
      </c>
      <c r="AE48" s="761" t="s">
        <v>513</v>
      </c>
      <c r="AF48" s="1047" t="s">
        <v>481</v>
      </c>
      <c r="AG48" s="1047" t="s">
        <v>481</v>
      </c>
      <c r="AH48" s="924">
        <v>49</v>
      </c>
      <c r="AI48" s="925">
        <v>37</v>
      </c>
    </row>
    <row r="49" spans="1:35" ht="21.95" customHeight="1">
      <c r="A49" s="540">
        <v>5</v>
      </c>
      <c r="B49" s="542" t="s">
        <v>530</v>
      </c>
      <c r="C49" s="974"/>
      <c r="D49" s="763">
        <v>10</v>
      </c>
      <c r="E49" s="763">
        <v>10</v>
      </c>
      <c r="F49" s="763">
        <v>10</v>
      </c>
      <c r="G49" s="763">
        <v>10</v>
      </c>
      <c r="H49" s="763">
        <v>10</v>
      </c>
      <c r="I49" s="763" t="s">
        <v>514</v>
      </c>
      <c r="J49" s="763" t="s">
        <v>514</v>
      </c>
      <c r="K49" s="763" t="s">
        <v>481</v>
      </c>
      <c r="L49" s="763" t="s">
        <v>481</v>
      </c>
      <c r="M49" s="763" t="s">
        <v>481</v>
      </c>
      <c r="N49" s="763" t="s">
        <v>481</v>
      </c>
      <c r="O49" s="763" t="s">
        <v>481</v>
      </c>
      <c r="P49" s="763" t="s">
        <v>515</v>
      </c>
      <c r="Q49" s="763" t="s">
        <v>515</v>
      </c>
      <c r="R49" s="763">
        <v>7</v>
      </c>
      <c r="S49" s="768">
        <v>7</v>
      </c>
      <c r="T49" s="768">
        <v>7</v>
      </c>
      <c r="U49" s="768">
        <v>7</v>
      </c>
      <c r="V49" s="977">
        <v>7</v>
      </c>
      <c r="W49" s="768"/>
      <c r="X49" s="768"/>
      <c r="Y49" s="980">
        <v>4</v>
      </c>
      <c r="Z49" s="980">
        <v>4</v>
      </c>
      <c r="AA49" s="980">
        <v>4</v>
      </c>
      <c r="AB49" s="980">
        <v>4</v>
      </c>
      <c r="AC49" s="980">
        <v>4</v>
      </c>
      <c r="AD49" s="768"/>
      <c r="AE49" s="781"/>
      <c r="AF49" s="763">
        <v>3</v>
      </c>
      <c r="AG49" s="781">
        <v>3</v>
      </c>
      <c r="AH49" s="924">
        <v>0</v>
      </c>
      <c r="AI49" s="925">
        <v>0</v>
      </c>
    </row>
    <row r="50" spans="1:35" ht="21.95" customHeight="1">
      <c r="A50" s="541">
        <v>10</v>
      </c>
      <c r="B50" s="319" t="s">
        <v>531</v>
      </c>
      <c r="C50" s="768"/>
      <c r="D50" s="1038">
        <v>11</v>
      </c>
      <c r="E50" s="1038">
        <v>11</v>
      </c>
      <c r="F50" s="1038">
        <v>11</v>
      </c>
      <c r="G50" s="1038" t="s">
        <v>733</v>
      </c>
      <c r="H50" s="768">
        <v>11</v>
      </c>
      <c r="I50" s="768" t="s">
        <v>517</v>
      </c>
      <c r="J50" s="768" t="s">
        <v>517</v>
      </c>
      <c r="K50" s="768" t="s">
        <v>481</v>
      </c>
      <c r="L50" s="768" t="s">
        <v>481</v>
      </c>
      <c r="M50" s="768" t="s">
        <v>481</v>
      </c>
      <c r="N50" s="768" t="s">
        <v>481</v>
      </c>
      <c r="O50" s="768" t="s">
        <v>481</v>
      </c>
      <c r="P50" s="768"/>
      <c r="Q50" s="768"/>
      <c r="R50" s="768">
        <v>8</v>
      </c>
      <c r="S50" s="768">
        <v>8</v>
      </c>
      <c r="T50" s="768">
        <v>8</v>
      </c>
      <c r="U50" s="768">
        <v>8</v>
      </c>
      <c r="V50" s="768">
        <v>8</v>
      </c>
      <c r="W50" s="768" t="s">
        <v>513</v>
      </c>
      <c r="X50" s="768" t="s">
        <v>513</v>
      </c>
      <c r="Y50" s="768" t="s">
        <v>481</v>
      </c>
      <c r="Z50" s="768" t="s">
        <v>481</v>
      </c>
      <c r="AA50" s="768" t="s">
        <v>481</v>
      </c>
      <c r="AB50" s="768" t="s">
        <v>481</v>
      </c>
      <c r="AC50" s="768" t="s">
        <v>481</v>
      </c>
      <c r="AD50" s="768"/>
      <c r="AE50" s="769"/>
      <c r="AF50" s="970">
        <v>1</v>
      </c>
      <c r="AG50" s="971">
        <v>1</v>
      </c>
      <c r="AH50" s="924">
        <v>24</v>
      </c>
      <c r="AI50" s="925">
        <v>37</v>
      </c>
    </row>
    <row r="51" spans="1:35" ht="21.95" customHeight="1" thickBot="1">
      <c r="A51" s="543">
        <v>15</v>
      </c>
      <c r="B51" s="52" t="s">
        <v>532</v>
      </c>
      <c r="C51" s="761"/>
      <c r="D51" s="761">
        <v>9</v>
      </c>
      <c r="E51" s="761">
        <v>9</v>
      </c>
      <c r="F51" s="761">
        <v>9</v>
      </c>
      <c r="G51" s="761">
        <v>9</v>
      </c>
      <c r="H51" s="761">
        <v>9</v>
      </c>
      <c r="I51" s="761" t="s">
        <v>519</v>
      </c>
      <c r="J51" s="761" t="s">
        <v>514</v>
      </c>
      <c r="K51" s="761" t="s">
        <v>481</v>
      </c>
      <c r="L51" s="761" t="s">
        <v>481</v>
      </c>
      <c r="M51" s="761" t="s">
        <v>481</v>
      </c>
      <c r="N51" s="761" t="s">
        <v>481</v>
      </c>
      <c r="O51" s="761" t="s">
        <v>481</v>
      </c>
      <c r="P51" s="761"/>
      <c r="Q51" s="761"/>
      <c r="R51" s="761">
        <v>6</v>
      </c>
      <c r="S51" s="761">
        <v>6</v>
      </c>
      <c r="T51" s="761">
        <v>6</v>
      </c>
      <c r="U51" s="761">
        <v>6</v>
      </c>
      <c r="V51" s="761">
        <v>6</v>
      </c>
      <c r="W51" s="761" t="s">
        <v>512</v>
      </c>
      <c r="X51" s="761" t="s">
        <v>513</v>
      </c>
      <c r="Y51" s="761" t="s">
        <v>481</v>
      </c>
      <c r="Z51" s="761" t="s">
        <v>481</v>
      </c>
      <c r="AA51" s="761" t="s">
        <v>481</v>
      </c>
      <c r="AB51" s="761" t="s">
        <v>481</v>
      </c>
      <c r="AC51" s="761" t="s">
        <v>481</v>
      </c>
      <c r="AD51" s="761"/>
      <c r="AE51" s="780"/>
      <c r="AF51" s="1310">
        <v>5</v>
      </c>
      <c r="AG51" s="1311">
        <v>5</v>
      </c>
      <c r="AH51" s="924">
        <v>16</v>
      </c>
      <c r="AI51" s="925">
        <v>37</v>
      </c>
    </row>
    <row r="52" spans="1:35" ht="21.95" customHeight="1">
      <c r="A52" s="516"/>
      <c r="C52" s="538"/>
      <c r="D52" s="538"/>
      <c r="E52" s="538"/>
      <c r="F52" s="538"/>
      <c r="G52" s="538"/>
      <c r="H52" s="538"/>
      <c r="I52" s="538"/>
      <c r="J52" s="538"/>
      <c r="K52" s="538"/>
      <c r="L52" s="538"/>
      <c r="M52" s="538"/>
      <c r="N52" s="538"/>
      <c r="O52" s="538"/>
      <c r="P52" s="538"/>
      <c r="Q52" s="538"/>
      <c r="R52" s="538"/>
      <c r="S52" s="538"/>
      <c r="T52" s="538"/>
      <c r="U52" s="538"/>
      <c r="V52" s="538"/>
      <c r="W52" s="538"/>
      <c r="X52" s="538"/>
      <c r="Y52" s="538"/>
      <c r="Z52" s="538"/>
      <c r="AA52" s="538"/>
      <c r="AB52" s="538"/>
      <c r="AC52" s="538"/>
      <c r="AD52" s="538"/>
      <c r="AE52" s="538"/>
      <c r="AF52" s="538"/>
      <c r="AG52" s="538"/>
      <c r="AH52" s="1"/>
    </row>
    <row r="53" spans="1:35" ht="21.95" customHeight="1">
      <c r="A53" s="516"/>
      <c r="C53" s="538"/>
      <c r="D53" s="538"/>
      <c r="E53" s="538"/>
      <c r="F53" s="538"/>
      <c r="G53" s="538"/>
      <c r="H53" s="538"/>
      <c r="I53" s="538"/>
      <c r="J53" s="538"/>
      <c r="K53" s="538"/>
      <c r="L53" s="538"/>
      <c r="M53" s="538"/>
      <c r="N53" s="538"/>
      <c r="O53" s="538"/>
      <c r="P53" s="538"/>
      <c r="Q53" s="538"/>
      <c r="R53" s="538"/>
      <c r="S53" s="538"/>
      <c r="T53" s="538"/>
      <c r="U53" s="538"/>
      <c r="V53" s="538"/>
      <c r="W53" s="538"/>
      <c r="X53" s="538"/>
      <c r="Y53" s="538"/>
      <c r="Z53" s="538"/>
      <c r="AA53" s="538"/>
      <c r="AB53" s="538"/>
      <c r="AC53" s="538"/>
      <c r="AD53" s="538"/>
      <c r="AE53" s="538"/>
      <c r="AF53" s="538"/>
      <c r="AG53" s="538"/>
      <c r="AH53" s="1"/>
    </row>
    <row r="54" spans="1:35" ht="21.95" customHeight="1">
      <c r="A54" s="516"/>
      <c r="C54" s="538"/>
      <c r="D54" s="538"/>
      <c r="E54" s="538"/>
      <c r="F54" s="538"/>
      <c r="G54" s="538"/>
      <c r="H54" s="538"/>
      <c r="I54" s="538"/>
      <c r="J54" s="538"/>
      <c r="K54" s="538"/>
      <c r="L54" s="538"/>
      <c r="M54" s="538"/>
      <c r="N54" s="538"/>
      <c r="O54" s="538"/>
      <c r="P54" s="538"/>
      <c r="Q54" s="538"/>
      <c r="R54" s="538"/>
      <c r="S54" s="538"/>
      <c r="T54" s="538"/>
      <c r="U54" s="538"/>
      <c r="V54" s="538"/>
      <c r="W54" s="538"/>
      <c r="X54" s="538"/>
      <c r="Y54" s="538"/>
      <c r="Z54" s="538"/>
      <c r="AA54" s="538"/>
      <c r="AB54" s="538"/>
      <c r="AC54" s="538"/>
      <c r="AD54" s="538"/>
      <c r="AE54" s="538"/>
      <c r="AF54" s="538"/>
      <c r="AG54" s="538"/>
      <c r="AH54" s="1"/>
    </row>
    <row r="55" spans="1:35" ht="21.95" customHeight="1" thickBot="1">
      <c r="A55" s="554"/>
      <c r="C55" s="555"/>
      <c r="D55" s="555"/>
      <c r="E55" s="555"/>
      <c r="F55" s="555"/>
      <c r="G55" s="555"/>
      <c r="H55" s="555"/>
      <c r="I55" s="555"/>
      <c r="J55" s="555"/>
      <c r="K55" s="555"/>
      <c r="L55" s="555"/>
      <c r="M55" s="555"/>
      <c r="N55" s="555"/>
      <c r="O55" s="555"/>
      <c r="P55" s="555"/>
      <c r="Q55" s="555"/>
      <c r="R55" s="555"/>
      <c r="S55" s="555"/>
      <c r="T55" s="555"/>
      <c r="U55" s="555"/>
      <c r="V55" s="555"/>
      <c r="W55" s="555"/>
      <c r="X55" s="555"/>
      <c r="Y55" s="555"/>
      <c r="Z55" s="555"/>
      <c r="AA55" s="555"/>
      <c r="AB55" s="555"/>
      <c r="AC55" s="555"/>
      <c r="AD55" s="555"/>
      <c r="AE55" s="555"/>
      <c r="AF55" s="555"/>
      <c r="AG55" s="555"/>
      <c r="AH55" s="556"/>
      <c r="AI55" s="556"/>
    </row>
    <row r="56" spans="1:35" ht="21.95" customHeight="1">
      <c r="A56" s="361"/>
      <c r="B56" s="23" t="s">
        <v>533</v>
      </c>
      <c r="C56" s="7"/>
      <c r="D56" s="414" t="s">
        <v>2</v>
      </c>
      <c r="E56" s="547"/>
      <c r="F56" s="7"/>
      <c r="G56" s="6" t="s">
        <v>3</v>
      </c>
      <c r="H56" s="548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49"/>
      <c r="R56" s="118"/>
      <c r="S56" s="6" t="s">
        <v>7</v>
      </c>
      <c r="T56" s="550"/>
      <c r="U56" s="118"/>
      <c r="V56" s="6" t="s">
        <v>8</v>
      </c>
      <c r="W56" s="549"/>
      <c r="X56" s="349" t="s">
        <v>9</v>
      </c>
      <c r="Y56" s="557"/>
      <c r="Z56" s="557"/>
      <c r="AA56" s="558"/>
      <c r="AB56" s="27" t="s">
        <v>10</v>
      </c>
      <c r="AC56" s="551"/>
      <c r="AD56" s="551"/>
      <c r="AE56" s="559"/>
      <c r="AF56" s="559"/>
      <c r="AG56" s="560"/>
    </row>
    <row r="57" spans="1:35" ht="21.95" customHeight="1">
      <c r="A57" s="361"/>
      <c r="B57" s="306" t="s">
        <v>534</v>
      </c>
      <c r="C57" s="561" t="s">
        <v>535</v>
      </c>
      <c r="D57" s="483"/>
      <c r="E57" s="484"/>
      <c r="F57" s="561" t="s">
        <v>535</v>
      </c>
      <c r="G57" s="483"/>
      <c r="H57" s="484"/>
      <c r="I57" s="561" t="s">
        <v>535</v>
      </c>
      <c r="J57" s="483"/>
      <c r="K57" s="484"/>
      <c r="L57" s="561" t="s">
        <v>535</v>
      </c>
      <c r="M57" s="483"/>
      <c r="N57" s="484"/>
      <c r="O57" s="561" t="s">
        <v>116</v>
      </c>
      <c r="P57" s="483"/>
      <c r="Q57" s="484"/>
      <c r="R57" s="561"/>
      <c r="S57" s="483"/>
      <c r="T57" s="484"/>
      <c r="U57" s="561"/>
      <c r="V57" s="483"/>
      <c r="W57" s="484"/>
      <c r="X57" s="561"/>
      <c r="Y57" s="483"/>
      <c r="Z57" s="483"/>
      <c r="AA57" s="483"/>
      <c r="AB57" s="476"/>
      <c r="AC57" s="483"/>
      <c r="AD57" s="483"/>
      <c r="AE57" s="483"/>
      <c r="AF57" s="483"/>
      <c r="AG57" s="562"/>
    </row>
    <row r="58" spans="1:35" ht="21.95" customHeight="1">
      <c r="A58" s="361"/>
      <c r="B58" s="306" t="s">
        <v>536</v>
      </c>
      <c r="C58" s="561" t="s">
        <v>147</v>
      </c>
      <c r="D58" s="483"/>
      <c r="E58" s="484"/>
      <c r="F58" s="561" t="s">
        <v>147</v>
      </c>
      <c r="G58" s="483"/>
      <c r="H58" s="484"/>
      <c r="I58" s="561" t="s">
        <v>147</v>
      </c>
      <c r="J58" s="483"/>
      <c r="K58" s="484"/>
      <c r="L58" s="561" t="s">
        <v>147</v>
      </c>
      <c r="M58" s="483"/>
      <c r="N58" s="484"/>
      <c r="O58" s="561" t="s">
        <v>537</v>
      </c>
      <c r="P58" s="483"/>
      <c r="Q58" s="484"/>
      <c r="R58" s="561"/>
      <c r="S58" s="483"/>
      <c r="T58" s="484"/>
      <c r="U58" s="561"/>
      <c r="V58" s="483"/>
      <c r="W58" s="484"/>
      <c r="X58" s="561"/>
      <c r="Y58" s="483"/>
      <c r="Z58" s="483"/>
      <c r="AA58" s="483"/>
      <c r="AB58" s="476"/>
      <c r="AC58" s="483"/>
      <c r="AD58" s="483"/>
      <c r="AE58" s="483"/>
      <c r="AF58" s="483"/>
      <c r="AG58" s="562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 thickBot="1">
      <c r="A60" s="861" t="s">
        <v>475</v>
      </c>
      <c r="B60" s="862" t="s">
        <v>476</v>
      </c>
      <c r="C60" s="880">
        <v>1</v>
      </c>
      <c r="D60" s="863">
        <v>2</v>
      </c>
      <c r="E60" s="863">
        <v>3</v>
      </c>
      <c r="F60" s="863">
        <v>4</v>
      </c>
      <c r="G60" s="863">
        <v>5</v>
      </c>
      <c r="H60" s="863">
        <v>6</v>
      </c>
      <c r="I60" s="880">
        <v>7</v>
      </c>
      <c r="J60" s="880">
        <v>8</v>
      </c>
      <c r="K60" s="863">
        <v>9</v>
      </c>
      <c r="L60" s="863">
        <v>10</v>
      </c>
      <c r="M60" s="863">
        <v>11</v>
      </c>
      <c r="N60" s="863">
        <v>12</v>
      </c>
      <c r="O60" s="863">
        <v>13</v>
      </c>
      <c r="P60" s="880">
        <v>14</v>
      </c>
      <c r="Q60" s="880">
        <v>15</v>
      </c>
      <c r="R60" s="863">
        <v>16</v>
      </c>
      <c r="S60" s="863">
        <v>17</v>
      </c>
      <c r="T60" s="863">
        <v>18</v>
      </c>
      <c r="U60" s="863">
        <v>19</v>
      </c>
      <c r="V60" s="863">
        <v>20</v>
      </c>
      <c r="W60" s="880">
        <v>21</v>
      </c>
      <c r="X60" s="880">
        <v>22</v>
      </c>
      <c r="Y60" s="863">
        <v>23</v>
      </c>
      <c r="Z60" s="863">
        <v>24</v>
      </c>
      <c r="AA60" s="863">
        <v>25</v>
      </c>
      <c r="AB60" s="863">
        <v>26</v>
      </c>
      <c r="AC60" s="863">
        <v>27</v>
      </c>
      <c r="AD60" s="880">
        <v>28</v>
      </c>
      <c r="AE60" s="880">
        <v>29</v>
      </c>
      <c r="AF60" s="863">
        <v>30</v>
      </c>
      <c r="AG60" s="943">
        <v>31</v>
      </c>
      <c r="AH60" s="864" t="s">
        <v>477</v>
      </c>
      <c r="AI60" s="865" t="s">
        <v>478</v>
      </c>
    </row>
    <row r="61" spans="1:35" ht="21.95" customHeight="1">
      <c r="A61" s="860">
        <v>8520</v>
      </c>
      <c r="B61" s="860" t="s">
        <v>538</v>
      </c>
      <c r="C61" s="764"/>
      <c r="D61" s="764" t="s">
        <v>539</v>
      </c>
      <c r="E61" s="764" t="s">
        <v>539</v>
      </c>
      <c r="F61" s="764" t="s">
        <v>539</v>
      </c>
      <c r="G61" s="764" t="s">
        <v>539</v>
      </c>
      <c r="H61" s="764" t="s">
        <v>539</v>
      </c>
      <c r="I61" s="764"/>
      <c r="J61" s="764"/>
      <c r="K61" s="764" t="s">
        <v>539</v>
      </c>
      <c r="L61" s="764" t="s">
        <v>539</v>
      </c>
      <c r="M61" s="764" t="s">
        <v>539</v>
      </c>
      <c r="N61" s="764" t="s">
        <v>539</v>
      </c>
      <c r="O61" s="972" t="s">
        <v>539</v>
      </c>
      <c r="P61" s="764"/>
      <c r="Q61" s="764"/>
      <c r="R61" s="972" t="s">
        <v>539</v>
      </c>
      <c r="S61" s="764" t="s">
        <v>539</v>
      </c>
      <c r="T61" s="764" t="s">
        <v>539</v>
      </c>
      <c r="U61" s="764" t="s">
        <v>539</v>
      </c>
      <c r="V61" s="764" t="s">
        <v>539</v>
      </c>
      <c r="W61" s="764"/>
      <c r="X61" s="764"/>
      <c r="Y61" s="1279" t="s">
        <v>539</v>
      </c>
      <c r="Z61" s="1279" t="s">
        <v>539</v>
      </c>
      <c r="AA61" s="764" t="s">
        <v>539</v>
      </c>
      <c r="AB61" s="764" t="s">
        <v>539</v>
      </c>
      <c r="AC61" s="764" t="s">
        <v>539</v>
      </c>
      <c r="AD61" s="764"/>
      <c r="AE61" s="764"/>
      <c r="AF61" s="764" t="s">
        <v>539</v>
      </c>
      <c r="AG61" s="972" t="s">
        <v>539</v>
      </c>
      <c r="AH61" s="510">
        <v>16.25</v>
      </c>
      <c r="AI61" s="511">
        <v>37</v>
      </c>
    </row>
    <row r="62" spans="1:35" ht="21.95" customHeight="1" thickBot="1">
      <c r="A62" s="866">
        <v>8521</v>
      </c>
      <c r="B62" s="866"/>
      <c r="C62" s="867"/>
      <c r="D62" s="867" t="s">
        <v>540</v>
      </c>
      <c r="E62" s="867" t="s">
        <v>540</v>
      </c>
      <c r="F62" s="867" t="s">
        <v>540</v>
      </c>
      <c r="G62" s="867" t="s">
        <v>540</v>
      </c>
      <c r="H62" s="867" t="s">
        <v>540</v>
      </c>
      <c r="I62" s="867"/>
      <c r="J62" s="867"/>
      <c r="K62" s="867" t="s">
        <v>540</v>
      </c>
      <c r="L62" s="867" t="s">
        <v>540</v>
      </c>
      <c r="M62" s="867" t="s">
        <v>540</v>
      </c>
      <c r="N62" s="867" t="s">
        <v>540</v>
      </c>
      <c r="O62" s="867" t="s">
        <v>540</v>
      </c>
      <c r="P62" s="867"/>
      <c r="Q62" s="867"/>
      <c r="R62" s="867" t="s">
        <v>540</v>
      </c>
      <c r="S62" s="867" t="s">
        <v>540</v>
      </c>
      <c r="T62" s="867" t="s">
        <v>540</v>
      </c>
      <c r="U62" s="867" t="s">
        <v>540</v>
      </c>
      <c r="V62" s="867" t="s">
        <v>540</v>
      </c>
      <c r="W62" s="867"/>
      <c r="X62" s="867"/>
      <c r="Y62" s="1106" t="s">
        <v>540</v>
      </c>
      <c r="Z62" s="1106" t="s">
        <v>540</v>
      </c>
      <c r="AA62" s="1106" t="s">
        <v>540</v>
      </c>
      <c r="AB62" s="867" t="s">
        <v>540</v>
      </c>
      <c r="AC62" s="867" t="s">
        <v>540</v>
      </c>
      <c r="AD62" s="867"/>
      <c r="AE62" s="867"/>
      <c r="AF62" s="867" t="s">
        <v>540</v>
      </c>
      <c r="AG62" s="867" t="s">
        <v>540</v>
      </c>
      <c r="AH62" s="868">
        <v>185</v>
      </c>
      <c r="AI62" s="869">
        <v>37</v>
      </c>
    </row>
    <row r="63" spans="1:35" ht="21.95" customHeight="1">
      <c r="A63" s="361"/>
      <c r="B63" s="361"/>
      <c r="C63" s="538"/>
      <c r="D63" s="517"/>
      <c r="E63" s="517"/>
      <c r="F63" s="517"/>
      <c r="G63" s="517"/>
      <c r="H63" s="517"/>
      <c r="I63" s="517"/>
      <c r="J63" s="517"/>
      <c r="K63" s="517"/>
      <c r="L63" s="517"/>
      <c r="M63" s="517"/>
      <c r="N63" s="517"/>
      <c r="O63" s="517"/>
      <c r="P63" s="517"/>
      <c r="Q63" s="517"/>
      <c r="R63" s="517"/>
      <c r="S63" s="517"/>
      <c r="T63" s="517"/>
      <c r="U63" s="517"/>
      <c r="V63" s="517"/>
      <c r="W63" s="517"/>
      <c r="X63" s="517"/>
      <c r="Y63" s="517"/>
      <c r="Z63" s="517"/>
      <c r="AA63" s="517"/>
      <c r="AB63" s="517"/>
      <c r="AC63" s="517"/>
      <c r="AD63" s="517"/>
      <c r="AE63" s="517"/>
      <c r="AF63" s="517"/>
      <c r="AG63" s="517"/>
      <c r="AH63" s="556"/>
      <c r="AI63" s="556"/>
    </row>
    <row r="64" spans="1:35" ht="21.95" customHeight="1">
      <c r="A64" s="361"/>
      <c r="B64" s="361"/>
      <c r="C64" s="538"/>
      <c r="D64" s="517"/>
      <c r="E64" s="517"/>
      <c r="F64" s="517"/>
      <c r="G64" s="517"/>
      <c r="H64" s="517"/>
      <c r="I64" s="517"/>
      <c r="J64" s="517"/>
      <c r="K64" s="517"/>
      <c r="L64" s="517"/>
      <c r="M64" s="517"/>
      <c r="N64" s="517"/>
      <c r="O64" s="517"/>
      <c r="P64" s="517"/>
      <c r="Q64" s="517"/>
      <c r="R64" s="517"/>
      <c r="S64" s="517"/>
      <c r="T64" s="517"/>
      <c r="U64" s="517"/>
      <c r="V64" s="517"/>
      <c r="W64" s="517"/>
      <c r="X64" s="517"/>
      <c r="Y64" s="517"/>
      <c r="Z64" s="517"/>
      <c r="AA64" s="517"/>
      <c r="AB64" s="517"/>
      <c r="AC64" s="517"/>
      <c r="AD64" s="517"/>
      <c r="AE64" s="517"/>
      <c r="AF64" s="517"/>
      <c r="AG64" s="517"/>
      <c r="AH64" s="556"/>
      <c r="AI64" s="556"/>
    </row>
    <row r="65" spans="1:35" ht="21.95" customHeight="1">
      <c r="A65" s="361"/>
      <c r="B65" s="361"/>
      <c r="C65" s="538"/>
      <c r="D65" s="517"/>
      <c r="E65" s="517"/>
      <c r="F65" s="517"/>
      <c r="G65" s="517"/>
      <c r="H65" s="517"/>
      <c r="I65" s="517"/>
      <c r="J65" s="517"/>
      <c r="K65" s="517"/>
      <c r="L65" s="517"/>
      <c r="M65" s="517"/>
      <c r="N65" s="517"/>
      <c r="O65" s="517"/>
      <c r="P65" s="517"/>
      <c r="Q65" s="517"/>
      <c r="R65" s="517"/>
      <c r="S65" s="517"/>
      <c r="T65" s="517"/>
      <c r="U65" s="517"/>
      <c r="V65" s="517"/>
      <c r="W65" s="517"/>
      <c r="X65" s="517"/>
      <c r="Y65" s="517"/>
      <c r="Z65" s="517"/>
      <c r="AA65" s="517"/>
      <c r="AB65" s="517"/>
      <c r="AC65" s="517"/>
      <c r="AD65" s="517"/>
      <c r="AE65" s="517"/>
      <c r="AF65" s="517"/>
      <c r="AG65" s="517"/>
      <c r="AH65" s="556"/>
      <c r="AI65" s="556"/>
    </row>
    <row r="66" spans="1:35" ht="21.95" customHeight="1" thickBot="1">
      <c r="A66" s="1" t="s">
        <v>541</v>
      </c>
      <c r="D66" s="361"/>
      <c r="E66" s="361"/>
      <c r="F66" s="361"/>
      <c r="G66" s="546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35" ht="21.95" customHeight="1">
      <c r="A67" s="1"/>
      <c r="B67" s="23" t="s">
        <v>542</v>
      </c>
      <c r="C67" s="7"/>
      <c r="D67" s="522" t="s">
        <v>2</v>
      </c>
      <c r="E67" s="51"/>
      <c r="F67" s="548"/>
      <c r="G67" s="7"/>
      <c r="H67" s="522" t="s">
        <v>3</v>
      </c>
      <c r="I67" s="51"/>
      <c r="J67" s="548"/>
      <c r="K67" s="7"/>
      <c r="L67" s="522" t="s">
        <v>4</v>
      </c>
      <c r="M67" s="51"/>
      <c r="N67" s="548"/>
      <c r="O67" s="7"/>
      <c r="P67" s="522" t="s">
        <v>5</v>
      </c>
      <c r="Q67" s="51"/>
      <c r="R67" s="548"/>
      <c r="S67" s="7"/>
      <c r="T67" s="522" t="s">
        <v>6</v>
      </c>
      <c r="U67" s="51"/>
      <c r="V67" s="548"/>
      <c r="W67" s="27"/>
      <c r="X67" s="713" t="s">
        <v>7</v>
      </c>
      <c r="Y67" s="519"/>
      <c r="Z67" s="238"/>
      <c r="AA67" s="7"/>
      <c r="AB67" s="522" t="s">
        <v>8</v>
      </c>
      <c r="AC67" s="51"/>
      <c r="AD67" s="51"/>
      <c r="AE67" s="349" t="s">
        <v>9</v>
      </c>
      <c r="AF67" s="51"/>
      <c r="AG67" s="51"/>
      <c r="AH67" s="51"/>
      <c r="AI67" s="523"/>
    </row>
    <row r="68" spans="1:35" ht="21.95" customHeight="1">
      <c r="A68" s="1"/>
      <c r="B68" s="129" t="s">
        <v>324</v>
      </c>
      <c r="C68" s="563" t="s">
        <v>795</v>
      </c>
      <c r="E68" s="157"/>
      <c r="F68" s="564"/>
      <c r="G68" s="563" t="s">
        <v>795</v>
      </c>
      <c r="H68" s="157"/>
      <c r="I68" s="157"/>
      <c r="J68" s="564"/>
      <c r="K68" s="563" t="s">
        <v>795</v>
      </c>
      <c r="L68" s="157"/>
      <c r="M68" s="157"/>
      <c r="N68" s="564"/>
      <c r="O68" s="563" t="s">
        <v>796</v>
      </c>
      <c r="P68" s="157"/>
      <c r="Q68" s="157"/>
      <c r="R68" s="564"/>
      <c r="S68" s="563" t="s">
        <v>797</v>
      </c>
      <c r="T68" s="157"/>
      <c r="U68" s="157"/>
      <c r="V68" s="565"/>
      <c r="W68" s="714"/>
      <c r="X68" s="715"/>
      <c r="Y68" s="715"/>
      <c r="Z68" s="716"/>
      <c r="AA68" s="565"/>
      <c r="AB68" s="157"/>
      <c r="AC68" s="157"/>
      <c r="AD68" s="565"/>
      <c r="AE68" s="121">
        <v>37</v>
      </c>
      <c r="AG68" s="157"/>
      <c r="AH68" s="565"/>
      <c r="AI68" s="490"/>
    </row>
    <row r="69" spans="1:35" ht="21.95" customHeight="1">
      <c r="A69" s="1"/>
      <c r="B69" s="129" t="s">
        <v>325</v>
      </c>
      <c r="C69" s="563" t="s">
        <v>546</v>
      </c>
      <c r="D69" s="157"/>
      <c r="E69" s="157"/>
      <c r="F69" s="564"/>
      <c r="G69" s="563" t="s">
        <v>546</v>
      </c>
      <c r="H69" s="157"/>
      <c r="I69" s="157"/>
      <c r="J69" s="564"/>
      <c r="K69" s="563" t="s">
        <v>546</v>
      </c>
      <c r="L69" s="157"/>
      <c r="M69" s="157"/>
      <c r="N69" s="564"/>
      <c r="O69" s="563" t="s">
        <v>547</v>
      </c>
      <c r="P69" s="157"/>
      <c r="Q69" s="157"/>
      <c r="R69" s="564"/>
      <c r="S69" s="563" t="s">
        <v>548</v>
      </c>
      <c r="T69" s="157"/>
      <c r="U69" s="157"/>
      <c r="V69" s="564"/>
      <c r="W69" s="604" t="s">
        <v>798</v>
      </c>
      <c r="X69" s="55"/>
      <c r="Y69" s="55"/>
      <c r="Z69" s="55"/>
      <c r="AA69" s="563" t="s">
        <v>550</v>
      </c>
      <c r="AB69" s="563"/>
      <c r="AC69" s="563"/>
      <c r="AD69" s="563"/>
      <c r="AE69" s="155">
        <v>68.25</v>
      </c>
      <c r="AF69" s="157"/>
      <c r="AG69" s="567"/>
      <c r="AH69" s="568"/>
      <c r="AI69" s="569"/>
    </row>
    <row r="70" spans="1:35" ht="21.95" customHeight="1">
      <c r="A70" s="1"/>
      <c r="B70" s="129" t="s">
        <v>326</v>
      </c>
      <c r="C70" s="712" t="s">
        <v>167</v>
      </c>
      <c r="D70" s="157"/>
      <c r="E70" s="157"/>
      <c r="F70" s="564"/>
      <c r="G70" s="157" t="s">
        <v>167</v>
      </c>
      <c r="H70" s="157"/>
      <c r="I70" s="157"/>
      <c r="J70" s="564"/>
      <c r="K70" s="157" t="s">
        <v>167</v>
      </c>
      <c r="L70" s="157"/>
      <c r="M70" s="157"/>
      <c r="N70" s="564"/>
      <c r="O70" s="157" t="s">
        <v>167</v>
      </c>
      <c r="P70" s="157"/>
      <c r="Q70" s="157"/>
      <c r="R70" s="564"/>
      <c r="S70" s="157" t="s">
        <v>167</v>
      </c>
      <c r="T70" s="157"/>
      <c r="U70" s="157"/>
      <c r="V70" s="564"/>
      <c r="W70" s="563"/>
      <c r="X70" s="157"/>
      <c r="Y70" s="157"/>
      <c r="Z70" s="564"/>
      <c r="AA70" s="563"/>
      <c r="AB70" s="157"/>
      <c r="AC70" s="157"/>
      <c r="AD70" s="565"/>
      <c r="AE70" s="566">
        <v>0</v>
      </c>
      <c r="AF70" s="567"/>
      <c r="AG70" s="157"/>
      <c r="AH70" s="565"/>
      <c r="AI70" s="490"/>
    </row>
    <row r="71" spans="1:35" ht="21.95" customHeight="1" thickBot="1">
      <c r="A71" s="1"/>
      <c r="B71" s="47"/>
      <c r="C71" s="570"/>
      <c r="D71" s="53"/>
      <c r="E71" s="53"/>
      <c r="F71" s="571"/>
      <c r="G71" s="570"/>
      <c r="H71" s="53"/>
      <c r="I71" s="53"/>
      <c r="J71" s="571"/>
      <c r="K71" s="570"/>
      <c r="L71" s="53"/>
      <c r="M71" s="53"/>
      <c r="N71" s="571"/>
      <c r="O71" s="570"/>
      <c r="P71" s="53"/>
      <c r="Q71" s="53"/>
      <c r="R71" s="571"/>
      <c r="S71" s="570"/>
      <c r="T71" s="53"/>
      <c r="U71" s="53"/>
      <c r="V71" s="571"/>
      <c r="W71" s="53"/>
      <c r="X71" s="53"/>
      <c r="Y71" s="53"/>
      <c r="Z71" s="53"/>
      <c r="AA71" s="53"/>
      <c r="AB71" s="53"/>
      <c r="AC71" s="53"/>
      <c r="AD71" s="53"/>
      <c r="AE71" s="572"/>
      <c r="AF71" s="53"/>
      <c r="AG71" s="53"/>
      <c r="AH71" s="573"/>
      <c r="AI71" s="536"/>
    </row>
    <row r="72" spans="1:35" ht="21.95" customHeight="1" thickBot="1">
      <c r="A72" s="574"/>
      <c r="B72" s="961"/>
      <c r="C72" s="559"/>
      <c r="D72" s="559"/>
      <c r="E72" s="559"/>
      <c r="F72" s="559"/>
      <c r="G72" s="559"/>
      <c r="H72" s="559"/>
      <c r="I72" s="559"/>
      <c r="J72" s="559"/>
      <c r="K72" s="559"/>
      <c r="L72" s="559"/>
      <c r="M72" s="559"/>
      <c r="N72" s="559"/>
      <c r="O72" s="559"/>
      <c r="P72" s="559"/>
      <c r="Q72" s="559"/>
      <c r="R72" s="559"/>
      <c r="S72" s="559"/>
      <c r="T72" s="559"/>
      <c r="U72" s="559"/>
      <c r="V72" s="559"/>
      <c r="W72" s="559"/>
      <c r="X72" s="559"/>
      <c r="Y72" s="559"/>
      <c r="Z72" s="559"/>
      <c r="AA72" s="559"/>
      <c r="AB72" s="559"/>
      <c r="AC72" s="559"/>
      <c r="AD72" s="559"/>
      <c r="AE72" s="559"/>
      <c r="AF72" s="559"/>
      <c r="AG72" s="559"/>
      <c r="AH72" s="519"/>
    </row>
    <row r="73" spans="1:35" ht="21.95" customHeight="1" thickBot="1">
      <c r="A73" s="861"/>
      <c r="B73" s="862" t="s">
        <v>476</v>
      </c>
      <c r="C73" s="880">
        <v>1</v>
      </c>
      <c r="D73" s="863">
        <v>2</v>
      </c>
      <c r="E73" s="863">
        <v>3</v>
      </c>
      <c r="F73" s="863">
        <v>4</v>
      </c>
      <c r="G73" s="863">
        <v>5</v>
      </c>
      <c r="H73" s="863">
        <v>6</v>
      </c>
      <c r="I73" s="880">
        <v>7</v>
      </c>
      <c r="J73" s="880">
        <v>8</v>
      </c>
      <c r="K73" s="863">
        <v>9</v>
      </c>
      <c r="L73" s="863">
        <v>10</v>
      </c>
      <c r="M73" s="863">
        <v>11</v>
      </c>
      <c r="N73" s="863">
        <v>12</v>
      </c>
      <c r="O73" s="863">
        <v>13</v>
      </c>
      <c r="P73" s="880">
        <v>14</v>
      </c>
      <c r="Q73" s="880">
        <v>15</v>
      </c>
      <c r="R73" s="863">
        <v>16</v>
      </c>
      <c r="S73" s="863">
        <v>17</v>
      </c>
      <c r="T73" s="863">
        <v>18</v>
      </c>
      <c r="U73" s="863">
        <v>19</v>
      </c>
      <c r="V73" s="863">
        <v>20</v>
      </c>
      <c r="W73" s="880">
        <v>21</v>
      </c>
      <c r="X73" s="880">
        <v>22</v>
      </c>
      <c r="Y73" s="863">
        <v>23</v>
      </c>
      <c r="Z73" s="863">
        <v>24</v>
      </c>
      <c r="AA73" s="863">
        <v>25</v>
      </c>
      <c r="AB73" s="863">
        <v>26</v>
      </c>
      <c r="AC73" s="863">
        <v>27</v>
      </c>
      <c r="AD73" s="880">
        <v>28</v>
      </c>
      <c r="AE73" s="880">
        <v>29</v>
      </c>
      <c r="AF73" s="863">
        <v>30</v>
      </c>
      <c r="AG73" s="863">
        <v>31</v>
      </c>
      <c r="AH73" s="864" t="s">
        <v>477</v>
      </c>
      <c r="AI73" s="865" t="s">
        <v>478</v>
      </c>
    </row>
    <row r="74" spans="1:35" ht="21.95" customHeight="1">
      <c r="A74" s="870">
        <v>1</v>
      </c>
      <c r="B74" s="836" t="s">
        <v>551</v>
      </c>
      <c r="C74" s="871"/>
      <c r="D74" s="871" t="s">
        <v>553</v>
      </c>
      <c r="E74" s="871" t="s">
        <v>553</v>
      </c>
      <c r="F74" s="871" t="s">
        <v>553</v>
      </c>
      <c r="G74" s="871" t="s">
        <v>553</v>
      </c>
      <c r="H74" s="871" t="s">
        <v>553</v>
      </c>
      <c r="I74" s="871" t="s">
        <v>555</v>
      </c>
      <c r="J74" s="1041" t="s">
        <v>737</v>
      </c>
      <c r="K74" s="871" t="s">
        <v>481</v>
      </c>
      <c r="L74" s="871" t="s">
        <v>481</v>
      </c>
      <c r="M74" s="871" t="s">
        <v>481</v>
      </c>
      <c r="N74" s="871" t="s">
        <v>481</v>
      </c>
      <c r="O74" s="871" t="s">
        <v>481</v>
      </c>
      <c r="P74" s="871"/>
      <c r="Q74" s="871"/>
      <c r="R74" s="871" t="s">
        <v>552</v>
      </c>
      <c r="S74" s="871" t="s">
        <v>552</v>
      </c>
      <c r="T74" s="871" t="s">
        <v>552</v>
      </c>
      <c r="U74" s="871" t="s">
        <v>552</v>
      </c>
      <c r="V74" s="871" t="s">
        <v>552</v>
      </c>
      <c r="W74" s="871"/>
      <c r="X74" s="871"/>
      <c r="Y74" s="871" t="s">
        <v>553</v>
      </c>
      <c r="Z74" s="871" t="s">
        <v>553</v>
      </c>
      <c r="AA74" s="871" t="s">
        <v>553</v>
      </c>
      <c r="AB74" s="871" t="s">
        <v>554</v>
      </c>
      <c r="AC74" s="871" t="s">
        <v>554</v>
      </c>
      <c r="AD74" s="871" t="s">
        <v>555</v>
      </c>
      <c r="AE74" s="871" t="s">
        <v>555</v>
      </c>
      <c r="AF74" s="1263" t="s">
        <v>806</v>
      </c>
      <c r="AG74" s="871" t="s">
        <v>602</v>
      </c>
      <c r="AH74" s="510">
        <v>9.5</v>
      </c>
      <c r="AI74" s="511">
        <v>37</v>
      </c>
    </row>
    <row r="75" spans="1:35" ht="21.95" customHeight="1">
      <c r="A75" s="575">
        <v>2</v>
      </c>
      <c r="B75" s="542" t="s">
        <v>556</v>
      </c>
      <c r="C75" s="762" t="s">
        <v>555</v>
      </c>
      <c r="D75" s="762" t="s">
        <v>481</v>
      </c>
      <c r="E75" s="762" t="s">
        <v>481</v>
      </c>
      <c r="F75" s="762" t="s">
        <v>481</v>
      </c>
      <c r="G75" s="762" t="s">
        <v>481</v>
      </c>
      <c r="H75" s="762" t="s">
        <v>481</v>
      </c>
      <c r="I75" s="762"/>
      <c r="J75" s="1025"/>
      <c r="K75" s="762" t="s">
        <v>552</v>
      </c>
      <c r="L75" s="762" t="s">
        <v>552</v>
      </c>
      <c r="M75" s="1059" t="s">
        <v>552</v>
      </c>
      <c r="N75" s="966" t="s">
        <v>552</v>
      </c>
      <c r="O75" s="1059" t="s">
        <v>552</v>
      </c>
      <c r="P75" s="762"/>
      <c r="Q75" s="762"/>
      <c r="R75" s="762" t="s">
        <v>553</v>
      </c>
      <c r="S75" s="762" t="s">
        <v>553</v>
      </c>
      <c r="T75" s="762" t="s">
        <v>553</v>
      </c>
      <c r="U75" s="762" t="s">
        <v>554</v>
      </c>
      <c r="V75" s="762" t="s">
        <v>554</v>
      </c>
      <c r="W75" s="762" t="s">
        <v>555</v>
      </c>
      <c r="X75" s="762" t="s">
        <v>555</v>
      </c>
      <c r="Y75" s="762" t="s">
        <v>481</v>
      </c>
      <c r="Z75" s="762" t="s">
        <v>481</v>
      </c>
      <c r="AA75" s="762" t="s">
        <v>481</v>
      </c>
      <c r="AB75" s="1025" t="s">
        <v>481</v>
      </c>
      <c r="AC75" s="1025" t="s">
        <v>481</v>
      </c>
      <c r="AD75" s="762"/>
      <c r="AE75" s="762"/>
      <c r="AF75" s="1015" t="s">
        <v>552</v>
      </c>
      <c r="AG75" s="1015" t="s">
        <v>552</v>
      </c>
      <c r="AH75" s="924">
        <v>27</v>
      </c>
      <c r="AI75" s="925">
        <v>37</v>
      </c>
    </row>
    <row r="76" spans="1:35" ht="21.95" customHeight="1" thickBot="1">
      <c r="A76" s="873">
        <v>3</v>
      </c>
      <c r="B76" s="874" t="s">
        <v>558</v>
      </c>
      <c r="C76" s="875"/>
      <c r="D76" s="875" t="s">
        <v>552</v>
      </c>
      <c r="E76" s="875" t="s">
        <v>552</v>
      </c>
      <c r="F76" s="875" t="s">
        <v>552</v>
      </c>
      <c r="G76" s="875" t="s">
        <v>552</v>
      </c>
      <c r="H76" s="875" t="s">
        <v>552</v>
      </c>
      <c r="I76" s="875"/>
      <c r="J76" s="875"/>
      <c r="K76" s="990" t="s">
        <v>553</v>
      </c>
      <c r="L76" s="990" t="s">
        <v>553</v>
      </c>
      <c r="M76" s="990" t="s">
        <v>553</v>
      </c>
      <c r="N76" s="990" t="s">
        <v>554</v>
      </c>
      <c r="O76" s="990" t="s">
        <v>554</v>
      </c>
      <c r="P76" s="990" t="s">
        <v>555</v>
      </c>
      <c r="Q76" s="990" t="s">
        <v>555</v>
      </c>
      <c r="R76" s="875" t="s">
        <v>481</v>
      </c>
      <c r="S76" s="875" t="s">
        <v>481</v>
      </c>
      <c r="T76" s="875" t="s">
        <v>481</v>
      </c>
      <c r="U76" s="875" t="s">
        <v>481</v>
      </c>
      <c r="V76" s="875" t="s">
        <v>481</v>
      </c>
      <c r="W76" s="875"/>
      <c r="X76" s="875"/>
      <c r="Y76" s="875" t="s">
        <v>552</v>
      </c>
      <c r="Z76" s="875" t="s">
        <v>552</v>
      </c>
      <c r="AA76" s="875" t="s">
        <v>552</v>
      </c>
      <c r="AB76" s="875" t="s">
        <v>552</v>
      </c>
      <c r="AC76" s="875" t="s">
        <v>552</v>
      </c>
      <c r="AD76" s="875"/>
      <c r="AE76" s="875"/>
      <c r="AF76" s="990" t="s">
        <v>553</v>
      </c>
      <c r="AG76" s="990" t="s">
        <v>553</v>
      </c>
      <c r="AH76" s="868">
        <v>1</v>
      </c>
      <c r="AI76" s="869">
        <v>37</v>
      </c>
    </row>
    <row r="77" spans="1:35" ht="21.95" customHeight="1"/>
    <row r="78" spans="1:35" ht="21.95" customHeight="1" thickBot="1">
      <c r="A78" s="312" t="s">
        <v>559</v>
      </c>
      <c r="C78" s="555"/>
      <c r="D78" s="555"/>
      <c r="E78" s="555"/>
      <c r="F78" s="555"/>
      <c r="G78" s="555"/>
      <c r="H78" s="555"/>
      <c r="I78" s="555"/>
      <c r="J78" s="555"/>
      <c r="K78" s="555"/>
      <c r="L78" s="555"/>
      <c r="M78" s="555"/>
      <c r="N78" s="555"/>
      <c r="O78" s="555"/>
      <c r="P78" s="555"/>
      <c r="Q78" s="555"/>
      <c r="R78" s="555"/>
      <c r="S78" s="555"/>
      <c r="T78" s="555"/>
      <c r="U78" s="555"/>
      <c r="V78" s="555"/>
      <c r="W78" s="555"/>
      <c r="X78" s="555"/>
      <c r="Y78" s="555"/>
      <c r="Z78" s="555"/>
      <c r="AA78" s="555"/>
      <c r="AB78" s="555"/>
      <c r="AC78" s="555"/>
      <c r="AD78" s="555"/>
      <c r="AE78" s="555"/>
      <c r="AF78" s="555"/>
      <c r="AH78" s="556"/>
      <c r="AI78" s="556"/>
    </row>
    <row r="79" spans="1:35" ht="21.95" customHeight="1">
      <c r="A79" s="576"/>
      <c r="B79" s="23" t="s">
        <v>542</v>
      </c>
      <c r="C79" s="7"/>
      <c r="D79" s="522" t="s">
        <v>2</v>
      </c>
      <c r="E79" s="51"/>
      <c r="F79" s="548"/>
      <c r="G79" s="7"/>
      <c r="H79" s="522" t="s">
        <v>3</v>
      </c>
      <c r="I79" s="51"/>
      <c r="J79" s="548"/>
      <c r="K79" s="7"/>
      <c r="L79" s="522" t="s">
        <v>4</v>
      </c>
      <c r="M79" s="51"/>
      <c r="N79" s="548"/>
      <c r="O79" s="7"/>
      <c r="P79" s="522" t="s">
        <v>5</v>
      </c>
      <c r="Q79" s="51"/>
      <c r="R79" s="548"/>
      <c r="S79" s="7"/>
      <c r="T79" s="522" t="s">
        <v>6</v>
      </c>
      <c r="U79" s="51"/>
      <c r="V79" s="548"/>
      <c r="W79" s="27"/>
      <c r="X79" s="713" t="s">
        <v>7</v>
      </c>
      <c r="Y79" s="519"/>
      <c r="Z79" s="238"/>
      <c r="AA79" s="7"/>
      <c r="AB79" s="522" t="s">
        <v>8</v>
      </c>
      <c r="AC79" s="51"/>
      <c r="AD79" s="51"/>
      <c r="AE79" s="349" t="s">
        <v>9</v>
      </c>
      <c r="AF79" s="51"/>
      <c r="AG79" s="51"/>
      <c r="AH79" s="51"/>
      <c r="AI79" s="523"/>
    </row>
    <row r="80" spans="1:35" ht="21.95" customHeight="1">
      <c r="B80" s="129" t="s">
        <v>324</v>
      </c>
      <c r="C80" s="589" t="s">
        <v>560</v>
      </c>
      <c r="E80" s="157"/>
      <c r="F80" s="564"/>
      <c r="G80" s="563" t="s">
        <v>561</v>
      </c>
      <c r="H80" s="483" t="s">
        <v>562</v>
      </c>
      <c r="I80" s="157"/>
      <c r="J80" s="564"/>
      <c r="K80" s="589" t="s">
        <v>560</v>
      </c>
      <c r="L80" s="483"/>
      <c r="M80" s="483"/>
      <c r="N80" s="588"/>
      <c r="O80" s="589" t="s">
        <v>563</v>
      </c>
      <c r="P80" s="483"/>
      <c r="Q80" s="483"/>
      <c r="R80" s="588"/>
      <c r="S80" s="589" t="s">
        <v>738</v>
      </c>
      <c r="T80" s="483"/>
      <c r="U80" s="483"/>
      <c r="V80" s="477"/>
      <c r="W80" s="714"/>
      <c r="X80" s="715"/>
      <c r="Y80" s="715"/>
      <c r="Z80" s="716"/>
      <c r="AA80" s="565"/>
      <c r="AB80" s="157"/>
      <c r="AC80" s="157"/>
      <c r="AD80" s="565"/>
      <c r="AE80" s="121">
        <v>37</v>
      </c>
      <c r="AG80" s="157"/>
      <c r="AH80" s="565"/>
      <c r="AI80" s="490"/>
    </row>
    <row r="81" spans="1:35" ht="21.95" customHeight="1">
      <c r="B81" s="129" t="s">
        <v>325</v>
      </c>
      <c r="C81" s="589" t="s">
        <v>565</v>
      </c>
      <c r="E81" s="157"/>
      <c r="F81" s="564"/>
      <c r="G81" s="589" t="s">
        <v>565</v>
      </c>
      <c r="I81" s="157"/>
      <c r="J81" s="564"/>
      <c r="K81" s="589" t="s">
        <v>565</v>
      </c>
      <c r="L81" s="157"/>
      <c r="M81" s="157"/>
      <c r="N81" s="564"/>
      <c r="O81" s="589" t="s">
        <v>566</v>
      </c>
      <c r="P81" s="157"/>
      <c r="Q81" s="157"/>
      <c r="R81" s="564"/>
      <c r="S81" s="563" t="s">
        <v>567</v>
      </c>
      <c r="T81" s="157"/>
      <c r="U81" s="157"/>
      <c r="V81" s="564"/>
      <c r="W81" s="604" t="s">
        <v>291</v>
      </c>
      <c r="X81" s="55"/>
      <c r="Y81" s="55"/>
      <c r="Z81" s="55"/>
      <c r="AA81" s="563" t="s">
        <v>28</v>
      </c>
      <c r="AB81" s="563"/>
      <c r="AC81" s="563"/>
      <c r="AD81" s="563"/>
      <c r="AE81" s="155">
        <v>37</v>
      </c>
      <c r="AF81" s="157"/>
      <c r="AG81" s="567"/>
      <c r="AH81" s="568"/>
      <c r="AI81" s="569"/>
    </row>
    <row r="82" spans="1:35" ht="21.95" customHeight="1">
      <c r="B82" s="129" t="s">
        <v>326</v>
      </c>
      <c r="C82" s="834" t="s">
        <v>568</v>
      </c>
      <c r="D82" s="157"/>
      <c r="E82" s="157"/>
      <c r="F82" s="564"/>
      <c r="G82" s="157" t="s">
        <v>569</v>
      </c>
      <c r="H82" s="157"/>
      <c r="I82" s="157"/>
      <c r="J82" s="564"/>
      <c r="K82" s="835" t="s">
        <v>570</v>
      </c>
      <c r="L82" s="157"/>
      <c r="M82" s="157"/>
      <c r="N82" s="564"/>
      <c r="O82" s="835" t="s">
        <v>571</v>
      </c>
      <c r="P82" s="157"/>
      <c r="Q82" s="157"/>
      <c r="R82" s="564"/>
      <c r="S82" s="835" t="s">
        <v>571</v>
      </c>
      <c r="T82" s="157"/>
      <c r="U82" s="157"/>
      <c r="V82" s="564"/>
      <c r="W82" s="563"/>
      <c r="X82" s="157"/>
      <c r="Y82" s="157"/>
      <c r="Z82" s="564"/>
      <c r="AA82" s="563"/>
      <c r="AB82" s="157"/>
      <c r="AC82" s="157"/>
      <c r="AD82" s="565"/>
      <c r="AE82" s="566">
        <v>36</v>
      </c>
      <c r="AF82" s="567"/>
      <c r="AG82" s="157"/>
      <c r="AH82" s="565"/>
      <c r="AI82" s="490"/>
    </row>
    <row r="83" spans="1:35" ht="21.95" customHeight="1" thickBot="1">
      <c r="B83" s="47"/>
      <c r="C83" s="570"/>
      <c r="D83" s="53"/>
      <c r="E83" s="53"/>
      <c r="F83" s="571"/>
      <c r="G83" s="570"/>
      <c r="H83" s="53"/>
      <c r="I83" s="53"/>
      <c r="J83" s="571"/>
      <c r="K83" s="570"/>
      <c r="L83" s="53"/>
      <c r="M83" s="53"/>
      <c r="N83" s="571"/>
      <c r="O83" s="570"/>
      <c r="P83" s="53"/>
      <c r="Q83" s="53"/>
      <c r="R83" s="571"/>
      <c r="S83" s="570"/>
      <c r="T83" s="53"/>
      <c r="U83" s="53"/>
      <c r="V83" s="571"/>
      <c r="W83" s="53"/>
      <c r="X83" s="53"/>
      <c r="Y83" s="53"/>
      <c r="Z83" s="53"/>
      <c r="AA83" s="53"/>
      <c r="AB83" s="53"/>
      <c r="AC83" s="53"/>
      <c r="AD83" s="53"/>
      <c r="AE83" s="572"/>
      <c r="AF83" s="53"/>
      <c r="AG83" s="53"/>
      <c r="AH83" s="573"/>
      <c r="AI83" s="536"/>
    </row>
    <row r="84" spans="1:35" ht="21.95" customHeight="1" thickBot="1"/>
    <row r="85" spans="1:35" ht="21.95" customHeight="1" thickBot="1">
      <c r="A85" s="861"/>
      <c r="B85" s="862" t="s">
        <v>476</v>
      </c>
      <c r="C85" s="880">
        <v>1</v>
      </c>
      <c r="D85" s="863">
        <v>2</v>
      </c>
      <c r="E85" s="863">
        <v>3</v>
      </c>
      <c r="F85" s="863">
        <v>4</v>
      </c>
      <c r="G85" s="863">
        <v>5</v>
      </c>
      <c r="H85" s="863">
        <v>6</v>
      </c>
      <c r="I85" s="880">
        <v>7</v>
      </c>
      <c r="J85" s="880">
        <v>8</v>
      </c>
      <c r="K85" s="863">
        <v>9</v>
      </c>
      <c r="L85" s="863">
        <v>10</v>
      </c>
      <c r="M85" s="863">
        <v>11</v>
      </c>
      <c r="N85" s="863">
        <v>12</v>
      </c>
      <c r="O85" s="863">
        <v>13</v>
      </c>
      <c r="P85" s="880">
        <v>14</v>
      </c>
      <c r="Q85" s="880">
        <v>15</v>
      </c>
      <c r="R85" s="863">
        <v>16</v>
      </c>
      <c r="S85" s="863">
        <v>17</v>
      </c>
      <c r="T85" s="863">
        <v>18</v>
      </c>
      <c r="U85" s="863">
        <v>19</v>
      </c>
      <c r="V85" s="863">
        <v>20</v>
      </c>
      <c r="W85" s="880">
        <v>21</v>
      </c>
      <c r="X85" s="880">
        <v>22</v>
      </c>
      <c r="Y85" s="863">
        <v>23</v>
      </c>
      <c r="Z85" s="863">
        <v>24</v>
      </c>
      <c r="AA85" s="863">
        <v>25</v>
      </c>
      <c r="AB85" s="863">
        <v>26</v>
      </c>
      <c r="AC85" s="863">
        <v>27</v>
      </c>
      <c r="AD85" s="880">
        <v>28</v>
      </c>
      <c r="AE85" s="880">
        <v>29</v>
      </c>
      <c r="AF85" s="863">
        <v>30</v>
      </c>
      <c r="AG85" s="863">
        <v>31</v>
      </c>
      <c r="AH85" s="864" t="s">
        <v>477</v>
      </c>
      <c r="AI85" s="865" t="s">
        <v>478</v>
      </c>
    </row>
    <row r="86" spans="1:35" ht="21.95" customHeight="1" thickBot="1">
      <c r="A86" s="870">
        <v>1</v>
      </c>
      <c r="B86" s="54" t="s">
        <v>572</v>
      </c>
      <c r="C86" s="871"/>
      <c r="D86" s="871" t="s">
        <v>573</v>
      </c>
      <c r="E86" s="871" t="s">
        <v>573</v>
      </c>
      <c r="F86" s="871" t="s">
        <v>573</v>
      </c>
      <c r="G86" s="871" t="s">
        <v>573</v>
      </c>
      <c r="H86" s="871" t="s">
        <v>573</v>
      </c>
      <c r="I86" s="871"/>
      <c r="J86" s="871"/>
      <c r="K86" s="871" t="s">
        <v>554</v>
      </c>
      <c r="L86" s="871" t="s">
        <v>554</v>
      </c>
      <c r="M86" s="871" t="s">
        <v>554</v>
      </c>
      <c r="N86" s="871" t="s">
        <v>553</v>
      </c>
      <c r="O86" s="871" t="s">
        <v>553</v>
      </c>
      <c r="P86" s="1178"/>
      <c r="Q86" s="871"/>
      <c r="R86" s="871" t="s">
        <v>561</v>
      </c>
      <c r="S86" s="976" t="s">
        <v>561</v>
      </c>
      <c r="T86" s="764">
        <v>5</v>
      </c>
      <c r="U86" s="764">
        <v>5</v>
      </c>
      <c r="V86" s="871" t="s">
        <v>561</v>
      </c>
      <c r="W86" s="871"/>
      <c r="X86" s="871"/>
      <c r="Y86" s="871" t="s">
        <v>573</v>
      </c>
      <c r="Z86" s="871" t="s">
        <v>573</v>
      </c>
      <c r="AA86" s="871" t="s">
        <v>573</v>
      </c>
      <c r="AB86" s="871" t="s">
        <v>573</v>
      </c>
      <c r="AC86" s="871" t="s">
        <v>573</v>
      </c>
      <c r="AD86" s="871"/>
      <c r="AE86" s="871"/>
      <c r="AF86" s="871" t="s">
        <v>573</v>
      </c>
      <c r="AG86" s="871" t="s">
        <v>554</v>
      </c>
      <c r="AH86" s="510">
        <v>22.25</v>
      </c>
      <c r="AI86" s="511">
        <v>37</v>
      </c>
    </row>
    <row r="87" spans="1:35" ht="21.95" customHeight="1" thickBot="1">
      <c r="A87" s="575">
        <v>2</v>
      </c>
      <c r="B87" s="853" t="s">
        <v>574</v>
      </c>
      <c r="C87" s="762"/>
      <c r="D87" s="875" t="s">
        <v>554</v>
      </c>
      <c r="E87" s="875" t="s">
        <v>554</v>
      </c>
      <c r="F87" s="875" t="s">
        <v>554</v>
      </c>
      <c r="G87" s="875" t="s">
        <v>553</v>
      </c>
      <c r="H87" s="875" t="s">
        <v>553</v>
      </c>
      <c r="I87" s="875"/>
      <c r="J87" s="875"/>
      <c r="K87" s="875" t="s">
        <v>561</v>
      </c>
      <c r="L87" s="875" t="s">
        <v>561</v>
      </c>
      <c r="M87" s="875" t="s">
        <v>561</v>
      </c>
      <c r="N87" s="875" t="s">
        <v>561</v>
      </c>
      <c r="O87" s="875" t="s">
        <v>561</v>
      </c>
      <c r="P87" s="875"/>
      <c r="Q87" s="875"/>
      <c r="R87" s="875" t="s">
        <v>573</v>
      </c>
      <c r="S87" s="1178" t="s">
        <v>573</v>
      </c>
      <c r="T87" s="875" t="s">
        <v>573</v>
      </c>
      <c r="U87" s="875" t="s">
        <v>573</v>
      </c>
      <c r="V87" s="875" t="s">
        <v>573</v>
      </c>
      <c r="W87" s="875"/>
      <c r="X87" s="875"/>
      <c r="Y87" s="990" t="s">
        <v>554</v>
      </c>
      <c r="Z87" s="1178" t="s">
        <v>554</v>
      </c>
      <c r="AA87" s="875" t="s">
        <v>554</v>
      </c>
      <c r="AB87" s="875" t="s">
        <v>553</v>
      </c>
      <c r="AC87" s="1178" t="s">
        <v>553</v>
      </c>
      <c r="AD87" s="1178"/>
      <c r="AE87" s="875"/>
      <c r="AF87" s="875" t="s">
        <v>561</v>
      </c>
      <c r="AG87" s="875" t="s">
        <v>561</v>
      </c>
      <c r="AH87" s="924">
        <v>13</v>
      </c>
      <c r="AI87" s="925">
        <v>37</v>
      </c>
    </row>
    <row r="88" spans="1:35" ht="21.95" customHeight="1" thickBot="1">
      <c r="A88" s="877">
        <v>3</v>
      </c>
      <c r="B88" s="793" t="s">
        <v>657</v>
      </c>
      <c r="C88" s="875"/>
      <c r="D88" s="875" t="s">
        <v>561</v>
      </c>
      <c r="E88" s="875" t="s">
        <v>561</v>
      </c>
      <c r="F88" s="875" t="s">
        <v>561</v>
      </c>
      <c r="G88" s="875" t="s">
        <v>561</v>
      </c>
      <c r="H88" s="875" t="s">
        <v>561</v>
      </c>
      <c r="I88" s="875"/>
      <c r="J88" s="875"/>
      <c r="K88" s="1008" t="s">
        <v>573</v>
      </c>
      <c r="L88" s="1008" t="s">
        <v>573</v>
      </c>
      <c r="M88" s="1008" t="s">
        <v>573</v>
      </c>
      <c r="N88" s="1008" t="s">
        <v>573</v>
      </c>
      <c r="O88" s="1008" t="s">
        <v>573</v>
      </c>
      <c r="P88" s="875"/>
      <c r="Q88" s="875"/>
      <c r="R88" s="1008" t="s">
        <v>554</v>
      </c>
      <c r="S88" s="1008" t="s">
        <v>554</v>
      </c>
      <c r="T88" s="1008" t="s">
        <v>554</v>
      </c>
      <c r="U88" s="1008" t="s">
        <v>553</v>
      </c>
      <c r="V88" s="1008" t="s">
        <v>553</v>
      </c>
      <c r="W88" s="875"/>
      <c r="X88" s="875"/>
      <c r="Y88" s="1008" t="s">
        <v>561</v>
      </c>
      <c r="Z88" s="1008" t="s">
        <v>561</v>
      </c>
      <c r="AA88" s="1008" t="s">
        <v>561</v>
      </c>
      <c r="AB88" s="1008" t="s">
        <v>561</v>
      </c>
      <c r="AC88" s="1008" t="s">
        <v>561</v>
      </c>
      <c r="AD88" s="875"/>
      <c r="AE88" s="875"/>
      <c r="AF88" s="875" t="s">
        <v>573</v>
      </c>
      <c r="AG88" s="875" t="s">
        <v>573</v>
      </c>
      <c r="AH88" s="868">
        <v>185</v>
      </c>
      <c r="AI88" s="869">
        <v>37</v>
      </c>
    </row>
    <row r="89" spans="1:35" ht="21.95" customHeight="1">
      <c r="A89" s="576"/>
      <c r="B89" s="583"/>
      <c r="C89" s="583"/>
      <c r="D89" s="583"/>
      <c r="E89" s="583"/>
      <c r="F89" s="583"/>
      <c r="G89" s="583"/>
      <c r="H89" s="583"/>
      <c r="I89" s="555"/>
      <c r="J89" s="555"/>
      <c r="K89" s="555"/>
      <c r="L89" s="555"/>
      <c r="M89" s="555"/>
      <c r="N89" s="555"/>
      <c r="O89" s="555"/>
      <c r="P89" s="555"/>
      <c r="Q89" s="555"/>
      <c r="R89" s="555"/>
      <c r="S89" s="555"/>
      <c r="T89" s="555"/>
      <c r="U89" s="555"/>
      <c r="V89" s="555"/>
      <c r="W89" s="555"/>
      <c r="X89" s="555"/>
      <c r="Y89" s="555"/>
      <c r="Z89" s="555"/>
      <c r="AA89" s="555"/>
      <c r="AB89" s="555"/>
      <c r="AC89" s="555"/>
      <c r="AD89" s="555"/>
      <c r="AE89" s="555"/>
      <c r="AF89" s="555"/>
      <c r="AH89" s="556"/>
      <c r="AI89" s="556"/>
    </row>
    <row r="90" spans="1:35" ht="21.95" customHeight="1">
      <c r="A90" s="576"/>
      <c r="B90" s="583"/>
      <c r="C90" s="555"/>
      <c r="D90" s="555"/>
      <c r="E90" s="555"/>
      <c r="F90" s="555"/>
      <c r="G90" s="555"/>
      <c r="H90" s="555"/>
      <c r="I90" s="555"/>
      <c r="J90" s="555"/>
      <c r="K90" s="555"/>
      <c r="L90" s="555"/>
      <c r="M90" s="555"/>
      <c r="N90" s="555"/>
      <c r="O90" s="555"/>
      <c r="P90" s="555"/>
      <c r="Q90" s="555"/>
      <c r="R90" s="555"/>
      <c r="S90" s="555"/>
      <c r="T90" s="555"/>
      <c r="U90" s="555"/>
      <c r="V90" s="555"/>
      <c r="W90" s="555"/>
      <c r="X90" s="555"/>
      <c r="Y90" s="555"/>
      <c r="Z90" s="555"/>
      <c r="AA90" s="555"/>
      <c r="AB90" s="555"/>
      <c r="AC90" s="555"/>
      <c r="AD90" s="555"/>
      <c r="AE90" s="555"/>
      <c r="AF90" s="555"/>
      <c r="AG90" s="555"/>
      <c r="AH90" s="556"/>
      <c r="AI90" s="556"/>
    </row>
    <row r="91" spans="1:35" ht="21.95" customHeight="1" thickBot="1">
      <c r="A91" s="1" t="s">
        <v>576</v>
      </c>
      <c r="D91" s="361"/>
      <c r="E91" s="361"/>
      <c r="F91" s="361"/>
      <c r="G91" s="546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5" ht="21.95" customHeight="1">
      <c r="A92" s="1"/>
      <c r="B92" s="23" t="s">
        <v>577</v>
      </c>
      <c r="C92" s="7"/>
      <c r="D92" s="522" t="s">
        <v>2</v>
      </c>
      <c r="E92" s="51"/>
      <c r="F92" s="548"/>
      <c r="G92" s="7"/>
      <c r="H92" s="522" t="s">
        <v>3</v>
      </c>
      <c r="I92" s="51"/>
      <c r="J92" s="548"/>
      <c r="K92" s="7"/>
      <c r="L92" s="522" t="s">
        <v>4</v>
      </c>
      <c r="M92" s="51"/>
      <c r="N92" s="548"/>
      <c r="O92" s="7"/>
      <c r="P92" s="522" t="s">
        <v>5</v>
      </c>
      <c r="Q92" s="51"/>
      <c r="R92" s="548"/>
      <c r="S92" s="7"/>
      <c r="T92" s="522" t="s">
        <v>6</v>
      </c>
      <c r="U92" s="51"/>
      <c r="V92" s="548"/>
      <c r="W92" s="7"/>
      <c r="X92" s="522" t="s">
        <v>7</v>
      </c>
      <c r="Y92" s="51"/>
      <c r="Z92" s="548"/>
      <c r="AA92" s="7"/>
      <c r="AB92" s="522" t="s">
        <v>8</v>
      </c>
      <c r="AC92" s="51"/>
      <c r="AD92" s="51"/>
      <c r="AE92" s="425" t="s">
        <v>10</v>
      </c>
      <c r="AF92" s="51"/>
      <c r="AG92" s="51"/>
      <c r="AH92" s="51"/>
      <c r="AI92" s="523"/>
    </row>
    <row r="93" spans="1:35" ht="21.95" customHeight="1">
      <c r="A93" s="1"/>
      <c r="B93" s="129" t="s">
        <v>324</v>
      </c>
      <c r="C93" s="121" t="s">
        <v>578</v>
      </c>
      <c r="D93" s="157"/>
      <c r="E93" s="157"/>
      <c r="F93" s="564"/>
      <c r="G93" s="121" t="s">
        <v>578</v>
      </c>
      <c r="H93" s="157"/>
      <c r="I93" s="157"/>
      <c r="J93" s="564"/>
      <c r="K93" s="121" t="s">
        <v>578</v>
      </c>
      <c r="L93" s="157"/>
      <c r="M93" s="157"/>
      <c r="N93" s="564"/>
      <c r="O93" s="121" t="s">
        <v>579</v>
      </c>
      <c r="P93" s="157"/>
      <c r="Q93" s="157"/>
      <c r="R93" s="564"/>
      <c r="S93" s="121" t="s">
        <v>167</v>
      </c>
      <c r="T93" s="157"/>
      <c r="U93" s="157"/>
      <c r="V93" s="564"/>
      <c r="W93" s="795"/>
      <c r="X93" s="577"/>
      <c r="Y93" s="577"/>
      <c r="Z93" s="578"/>
      <c r="AA93" s="563"/>
      <c r="AB93" s="157"/>
      <c r="AC93" s="157"/>
      <c r="AD93" s="565"/>
      <c r="AE93" s="128">
        <v>27</v>
      </c>
      <c r="AF93" s="157"/>
      <c r="AG93" s="157" t="s">
        <v>28</v>
      </c>
      <c r="AH93" s="565"/>
      <c r="AI93" s="490"/>
    </row>
    <row r="94" spans="1:35" ht="21.95" customHeight="1">
      <c r="A94" s="1"/>
      <c r="B94" s="129" t="s">
        <v>325</v>
      </c>
      <c r="C94" s="121" t="s">
        <v>580</v>
      </c>
      <c r="D94" s="157"/>
      <c r="E94" s="157"/>
      <c r="F94" s="564"/>
      <c r="G94" s="121" t="s">
        <v>580</v>
      </c>
      <c r="H94" s="157"/>
      <c r="I94" s="157"/>
      <c r="J94" s="564"/>
      <c r="K94" s="121" t="s">
        <v>580</v>
      </c>
      <c r="L94" s="157"/>
      <c r="M94" s="157"/>
      <c r="N94" s="564"/>
      <c r="O94" s="121" t="s">
        <v>580</v>
      </c>
      <c r="P94" s="157"/>
      <c r="Q94" s="157"/>
      <c r="R94" s="564"/>
      <c r="S94" s="121" t="s">
        <v>578</v>
      </c>
      <c r="T94" s="157"/>
      <c r="U94" s="157"/>
      <c r="V94" s="564"/>
      <c r="W94" s="121"/>
      <c r="X94" s="157"/>
      <c r="Y94" s="157"/>
      <c r="Z94" s="564"/>
      <c r="AA94" s="157"/>
      <c r="AB94" s="157"/>
      <c r="AC94" s="157"/>
      <c r="AD94" s="565"/>
      <c r="AE94" s="128">
        <v>39</v>
      </c>
      <c r="AF94" s="157"/>
      <c r="AG94" s="157"/>
      <c r="AH94" s="565"/>
      <c r="AI94" s="490"/>
    </row>
    <row r="95" spans="1:35" ht="21.95" customHeight="1">
      <c r="A95" s="1"/>
      <c r="B95" s="129" t="s">
        <v>326</v>
      </c>
      <c r="C95" s="121" t="s">
        <v>580</v>
      </c>
      <c r="D95" s="157"/>
      <c r="E95" s="157"/>
      <c r="F95" s="564"/>
      <c r="G95" s="121" t="s">
        <v>580</v>
      </c>
      <c r="H95" s="157"/>
      <c r="I95" s="157"/>
      <c r="J95" s="564"/>
      <c r="K95" s="121" t="s">
        <v>580</v>
      </c>
      <c r="L95" s="157"/>
      <c r="M95" s="157"/>
      <c r="N95" s="564"/>
      <c r="O95" s="121" t="s">
        <v>580</v>
      </c>
      <c r="P95" s="157"/>
      <c r="Q95" s="157"/>
      <c r="R95" s="564"/>
      <c r="S95" s="121" t="s">
        <v>580</v>
      </c>
      <c r="T95" s="157"/>
      <c r="U95" s="157"/>
      <c r="V95" s="564"/>
      <c r="W95" s="584" t="s">
        <v>581</v>
      </c>
      <c r="X95" s="135"/>
      <c r="Y95" s="135"/>
      <c r="Z95" s="580"/>
      <c r="AA95" s="579"/>
      <c r="AB95" s="135"/>
      <c r="AC95" s="135"/>
      <c r="AD95" s="581"/>
      <c r="AE95" s="128">
        <v>45</v>
      </c>
      <c r="AF95" s="157"/>
      <c r="AG95" s="157"/>
      <c r="AH95" s="565"/>
      <c r="AI95" s="490"/>
    </row>
    <row r="96" spans="1:35" ht="21.95" customHeight="1" thickBot="1">
      <c r="A96" s="1"/>
      <c r="B96" s="16" t="s">
        <v>236</v>
      </c>
      <c r="C96" s="57"/>
      <c r="D96" s="53"/>
      <c r="E96" s="53"/>
      <c r="F96" s="571"/>
      <c r="G96" s="57"/>
      <c r="H96" s="53"/>
      <c r="I96" s="53"/>
      <c r="J96" s="571"/>
      <c r="K96" s="57"/>
      <c r="L96" s="53"/>
      <c r="M96" s="53"/>
      <c r="N96" s="571"/>
      <c r="O96" s="57"/>
      <c r="P96" s="53"/>
      <c r="Q96" s="53"/>
      <c r="R96" s="571"/>
      <c r="S96" s="57"/>
      <c r="T96" s="53"/>
      <c r="U96" s="53"/>
      <c r="V96" s="573"/>
      <c r="W96" s="57"/>
      <c r="X96" s="573"/>
      <c r="Y96" s="53"/>
      <c r="Z96" s="571"/>
      <c r="AA96" s="57"/>
      <c r="AB96" s="573"/>
      <c r="AC96" s="53"/>
      <c r="AD96" s="571"/>
      <c r="AE96" s="582"/>
      <c r="AF96" s="53"/>
      <c r="AG96" s="53"/>
      <c r="AH96" s="573"/>
      <c r="AI96" s="536"/>
    </row>
    <row r="97" spans="1:35" ht="21.95" customHeight="1" thickBot="1">
      <c r="A97" s="574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 thickBot="1">
      <c r="A98" s="861"/>
      <c r="B98" s="862" t="s">
        <v>476</v>
      </c>
      <c r="C98" s="880">
        <v>1</v>
      </c>
      <c r="D98" s="863">
        <v>2</v>
      </c>
      <c r="E98" s="863">
        <v>3</v>
      </c>
      <c r="F98" s="863">
        <v>4</v>
      </c>
      <c r="G98" s="863">
        <v>5</v>
      </c>
      <c r="H98" s="863">
        <v>6</v>
      </c>
      <c r="I98" s="880">
        <v>7</v>
      </c>
      <c r="J98" s="880">
        <v>8</v>
      </c>
      <c r="K98" s="863">
        <v>9</v>
      </c>
      <c r="L98" s="863">
        <v>10</v>
      </c>
      <c r="M98" s="863">
        <v>11</v>
      </c>
      <c r="N98" s="863">
        <v>12</v>
      </c>
      <c r="O98" s="863">
        <v>13</v>
      </c>
      <c r="P98" s="880">
        <v>14</v>
      </c>
      <c r="Q98" s="880">
        <v>15</v>
      </c>
      <c r="R98" s="863">
        <v>16</v>
      </c>
      <c r="S98" s="863">
        <v>17</v>
      </c>
      <c r="T98" s="863">
        <v>18</v>
      </c>
      <c r="U98" s="863">
        <v>19</v>
      </c>
      <c r="V98" s="863">
        <v>20</v>
      </c>
      <c r="W98" s="880">
        <v>21</v>
      </c>
      <c r="X98" s="880">
        <v>22</v>
      </c>
      <c r="Y98" s="863">
        <v>23</v>
      </c>
      <c r="Z98" s="863">
        <v>24</v>
      </c>
      <c r="AA98" s="863">
        <v>25</v>
      </c>
      <c r="AB98" s="863">
        <v>26</v>
      </c>
      <c r="AC98" s="863">
        <v>27</v>
      </c>
      <c r="AD98" s="880">
        <v>28</v>
      </c>
      <c r="AE98" s="880">
        <v>29</v>
      </c>
      <c r="AF98" s="863">
        <v>30</v>
      </c>
      <c r="AG98" s="943">
        <v>31</v>
      </c>
      <c r="AH98" s="864" t="s">
        <v>477</v>
      </c>
      <c r="AI98" s="865" t="s">
        <v>478</v>
      </c>
    </row>
    <row r="99" spans="1:35" ht="21.95" customHeight="1">
      <c r="A99" s="870">
        <v>1</v>
      </c>
      <c r="B99" s="879" t="s">
        <v>582</v>
      </c>
      <c r="C99" s="764"/>
      <c r="D99" s="1000" t="s">
        <v>585</v>
      </c>
      <c r="E99" s="1000" t="s">
        <v>585</v>
      </c>
      <c r="F99" s="1000" t="s">
        <v>585</v>
      </c>
      <c r="G99" s="1000" t="s">
        <v>585</v>
      </c>
      <c r="H99" s="1000" t="s">
        <v>585</v>
      </c>
      <c r="I99" s="1000"/>
      <c r="J99" s="1000"/>
      <c r="K99" s="764" t="s">
        <v>583</v>
      </c>
      <c r="L99" s="764" t="s">
        <v>583</v>
      </c>
      <c r="M99" s="764" t="s">
        <v>583</v>
      </c>
      <c r="N99" s="764" t="s">
        <v>583</v>
      </c>
      <c r="O99" s="764" t="s">
        <v>583</v>
      </c>
      <c r="P99" s="764" t="s">
        <v>583</v>
      </c>
      <c r="Q99" s="764"/>
      <c r="R99" s="764" t="s">
        <v>584</v>
      </c>
      <c r="S99" s="764" t="s">
        <v>584</v>
      </c>
      <c r="T99" s="764" t="s">
        <v>584</v>
      </c>
      <c r="U99" s="764" t="s">
        <v>584</v>
      </c>
      <c r="V99" s="764" t="s">
        <v>481</v>
      </c>
      <c r="W99" s="764"/>
      <c r="X99" s="764"/>
      <c r="Y99" s="764" t="s">
        <v>585</v>
      </c>
      <c r="Z99" s="764" t="s">
        <v>585</v>
      </c>
      <c r="AA99" s="764" t="s">
        <v>585</v>
      </c>
      <c r="AB99" s="764" t="s">
        <v>585</v>
      </c>
      <c r="AC99" s="764" t="s">
        <v>585</v>
      </c>
      <c r="AD99" s="764"/>
      <c r="AE99" s="764"/>
      <c r="AF99" s="972" t="s">
        <v>583</v>
      </c>
      <c r="AG99" s="972" t="s">
        <v>583</v>
      </c>
      <c r="AH99" s="510">
        <v>95</v>
      </c>
      <c r="AI99" s="511">
        <v>37</v>
      </c>
    </row>
    <row r="100" spans="1:35" ht="21.95" customHeight="1">
      <c r="A100" s="575">
        <v>2</v>
      </c>
      <c r="B100" s="857" t="s">
        <v>587</v>
      </c>
      <c r="C100" s="768"/>
      <c r="D100" s="768" t="s">
        <v>583</v>
      </c>
      <c r="E100" s="768" t="s">
        <v>583</v>
      </c>
      <c r="F100" s="768" t="s">
        <v>583</v>
      </c>
      <c r="G100" s="768" t="s">
        <v>583</v>
      </c>
      <c r="H100" s="768" t="s">
        <v>583</v>
      </c>
      <c r="I100" s="768" t="s">
        <v>583</v>
      </c>
      <c r="J100" s="768"/>
      <c r="K100" s="768" t="s">
        <v>584</v>
      </c>
      <c r="L100" s="768" t="s">
        <v>584</v>
      </c>
      <c r="M100" s="768" t="s">
        <v>584</v>
      </c>
      <c r="N100" s="768" t="s">
        <v>584</v>
      </c>
      <c r="O100" s="768" t="s">
        <v>481</v>
      </c>
      <c r="P100" s="768"/>
      <c r="Q100" s="768"/>
      <c r="R100" s="768" t="s">
        <v>585</v>
      </c>
      <c r="S100" s="768" t="s">
        <v>585</v>
      </c>
      <c r="T100" s="768" t="s">
        <v>585</v>
      </c>
      <c r="U100" s="768" t="s">
        <v>585</v>
      </c>
      <c r="V100" s="768" t="s">
        <v>585</v>
      </c>
      <c r="W100" s="768"/>
      <c r="X100" s="768"/>
      <c r="Y100" s="970" t="s">
        <v>583</v>
      </c>
      <c r="Z100" s="970" t="s">
        <v>583</v>
      </c>
      <c r="AA100" s="970" t="s">
        <v>583</v>
      </c>
      <c r="AB100" s="970" t="s">
        <v>583</v>
      </c>
      <c r="AC100" s="970" t="s">
        <v>583</v>
      </c>
      <c r="AD100" s="970" t="s">
        <v>583</v>
      </c>
      <c r="AE100" s="768"/>
      <c r="AF100" s="970" t="s">
        <v>584</v>
      </c>
      <c r="AG100" s="970" t="s">
        <v>584</v>
      </c>
      <c r="AH100" s="924">
        <v>0</v>
      </c>
      <c r="AI100" s="925">
        <v>37</v>
      </c>
    </row>
    <row r="101" spans="1:35" ht="21.95" customHeight="1">
      <c r="A101" s="575">
        <v>3</v>
      </c>
      <c r="B101" s="857" t="s">
        <v>289</v>
      </c>
      <c r="C101" s="768"/>
      <c r="D101" s="768" t="s">
        <v>584</v>
      </c>
      <c r="E101" s="768" t="s">
        <v>584</v>
      </c>
      <c r="F101" s="768" t="s">
        <v>584</v>
      </c>
      <c r="G101" s="768" t="s">
        <v>584</v>
      </c>
      <c r="H101" s="768" t="s">
        <v>481</v>
      </c>
      <c r="I101" s="768"/>
      <c r="J101" s="768"/>
      <c r="K101" s="768" t="s">
        <v>585</v>
      </c>
      <c r="L101" s="768" t="s">
        <v>585</v>
      </c>
      <c r="M101" s="768" t="s">
        <v>585</v>
      </c>
      <c r="N101" s="768" t="s">
        <v>585</v>
      </c>
      <c r="O101" s="768" t="s">
        <v>585</v>
      </c>
      <c r="P101" s="768"/>
      <c r="Q101" s="768"/>
      <c r="R101" s="768" t="s">
        <v>583</v>
      </c>
      <c r="S101" s="768" t="s">
        <v>583</v>
      </c>
      <c r="T101" s="768" t="s">
        <v>583</v>
      </c>
      <c r="U101" s="768" t="s">
        <v>583</v>
      </c>
      <c r="V101" s="768" t="s">
        <v>583</v>
      </c>
      <c r="W101" s="768" t="s">
        <v>583</v>
      </c>
      <c r="X101" s="768"/>
      <c r="Y101" s="768" t="s">
        <v>584</v>
      </c>
      <c r="Z101" s="768" t="s">
        <v>584</v>
      </c>
      <c r="AA101" s="768" t="s">
        <v>584</v>
      </c>
      <c r="AB101" s="768" t="s">
        <v>584</v>
      </c>
      <c r="AC101" s="768" t="s">
        <v>481</v>
      </c>
      <c r="AD101" s="768"/>
      <c r="AE101" s="768"/>
      <c r="AF101" s="768" t="s">
        <v>585</v>
      </c>
      <c r="AG101" s="768" t="s">
        <v>585</v>
      </c>
      <c r="AH101" s="924">
        <v>46</v>
      </c>
      <c r="AI101" s="925">
        <v>37</v>
      </c>
    </row>
    <row r="102" spans="1:35" ht="21.95" customHeight="1">
      <c r="A102" s="575">
        <v>4</v>
      </c>
      <c r="B102" s="857"/>
      <c r="C102" s="768"/>
      <c r="D102" s="762"/>
      <c r="E102" s="768"/>
      <c r="F102" s="768"/>
      <c r="G102" s="768"/>
      <c r="H102" s="768"/>
      <c r="I102" s="768"/>
      <c r="J102" s="762"/>
      <c r="K102" s="762"/>
      <c r="L102" s="768"/>
      <c r="M102" s="768"/>
      <c r="N102" s="768"/>
      <c r="O102" s="768"/>
      <c r="P102" s="768"/>
      <c r="Q102" s="762"/>
      <c r="R102" s="762"/>
      <c r="S102" s="762"/>
      <c r="T102" s="762"/>
      <c r="U102" s="762"/>
      <c r="V102" s="762"/>
      <c r="W102" s="762"/>
      <c r="X102" s="768"/>
      <c r="Y102" s="762"/>
      <c r="Z102" s="768"/>
      <c r="AA102" s="768"/>
      <c r="AB102" s="768"/>
      <c r="AC102" s="768"/>
      <c r="AD102" s="768"/>
      <c r="AE102" s="768"/>
      <c r="AF102" s="762"/>
      <c r="AG102" s="768"/>
      <c r="AH102" s="924"/>
      <c r="AI102" s="925"/>
    </row>
    <row r="103" spans="1:35" ht="21.95" customHeight="1">
      <c r="A103" s="576"/>
      <c r="B103" s="583"/>
      <c r="C103" s="555"/>
      <c r="D103" s="538"/>
      <c r="E103" s="538"/>
      <c r="F103" s="538"/>
      <c r="G103" s="538"/>
      <c r="H103" s="538"/>
      <c r="I103" s="555"/>
      <c r="J103" s="555"/>
      <c r="K103" s="538"/>
      <c r="L103" s="538"/>
      <c r="M103" s="538"/>
      <c r="N103" s="538"/>
      <c r="O103" s="538"/>
      <c r="P103" s="538"/>
      <c r="Q103" s="555"/>
      <c r="R103" s="538"/>
      <c r="S103" s="817"/>
      <c r="T103" s="817"/>
      <c r="U103" s="817"/>
      <c r="V103" s="817"/>
      <c r="W103" s="555"/>
      <c r="X103" s="555"/>
      <c r="Y103" s="538"/>
      <c r="Z103" s="538"/>
      <c r="AA103" s="538"/>
      <c r="AB103" s="538"/>
      <c r="AC103" s="538"/>
      <c r="AD103" s="538"/>
      <c r="AE103" s="555"/>
      <c r="AF103" s="538"/>
      <c r="AG103" s="538"/>
      <c r="AH103" s="556"/>
      <c r="AI103" s="556"/>
    </row>
    <row r="104" spans="1:35" ht="21.95" customHeight="1" thickBot="1">
      <c r="A104" s="805" t="s">
        <v>588</v>
      </c>
      <c r="B104" s="538"/>
      <c r="C104" s="555"/>
      <c r="D104" s="538"/>
      <c r="E104" s="538"/>
      <c r="F104" s="538"/>
      <c r="G104" s="538"/>
      <c r="H104" s="538"/>
      <c r="I104" s="555"/>
      <c r="J104" s="555"/>
      <c r="K104" s="538"/>
      <c r="L104" s="538"/>
      <c r="M104" s="538"/>
      <c r="N104" s="538"/>
      <c r="O104" s="538"/>
      <c r="P104" s="538"/>
      <c r="Q104" s="555"/>
      <c r="R104" s="538"/>
      <c r="S104" s="538"/>
      <c r="T104" s="538"/>
      <c r="U104" s="538"/>
      <c r="V104" s="538"/>
      <c r="W104" s="555"/>
      <c r="X104" s="555"/>
      <c r="Y104" s="538"/>
      <c r="Z104" s="538"/>
      <c r="AA104" s="538"/>
      <c r="AB104" s="538"/>
      <c r="AC104" s="538"/>
      <c r="AD104" s="538"/>
      <c r="AE104" s="555"/>
      <c r="AF104" s="538"/>
      <c r="AG104" s="538"/>
      <c r="AH104" s="556"/>
      <c r="AI104" s="556"/>
    </row>
    <row r="105" spans="1:35" ht="21.95" customHeight="1">
      <c r="A105" s="576"/>
      <c r="B105" s="806" t="s">
        <v>589</v>
      </c>
      <c r="C105" s="814"/>
      <c r="D105" s="807" t="s">
        <v>2</v>
      </c>
      <c r="E105" s="808"/>
      <c r="F105" s="809"/>
      <c r="G105" s="810"/>
      <c r="H105" s="807" t="s">
        <v>3</v>
      </c>
      <c r="I105" s="808"/>
      <c r="J105" s="809"/>
      <c r="K105" s="810"/>
      <c r="L105" s="807" t="s">
        <v>4</v>
      </c>
      <c r="M105" s="808"/>
      <c r="N105" s="809"/>
      <c r="O105" s="810"/>
      <c r="P105" s="807" t="s">
        <v>5</v>
      </c>
      <c r="Q105" s="808"/>
      <c r="R105" s="809"/>
      <c r="S105" s="810"/>
      <c r="T105" s="807" t="s">
        <v>6</v>
      </c>
      <c r="U105" s="808"/>
      <c r="V105" s="809"/>
      <c r="W105" s="810"/>
      <c r="X105" s="807" t="s">
        <v>7</v>
      </c>
      <c r="Y105" s="808"/>
      <c r="Z105" s="809"/>
      <c r="AA105" s="810"/>
      <c r="AB105" s="807" t="s">
        <v>8</v>
      </c>
      <c r="AC105" s="808"/>
      <c r="AD105" s="808"/>
      <c r="AE105" s="811" t="s">
        <v>10</v>
      </c>
      <c r="AF105" s="808"/>
      <c r="AG105" s="808"/>
      <c r="AH105" s="808"/>
      <c r="AI105" s="812"/>
    </row>
    <row r="106" spans="1:35" ht="21.95" customHeight="1">
      <c r="A106" s="576"/>
      <c r="B106" s="832" t="s">
        <v>590</v>
      </c>
      <c r="C106" s="815" t="s">
        <v>591</v>
      </c>
      <c r="D106" s="831" t="s">
        <v>592</v>
      </c>
      <c r="E106" s="816"/>
      <c r="F106" s="813"/>
      <c r="G106" s="815"/>
      <c r="H106" s="831" t="s">
        <v>592</v>
      </c>
      <c r="I106" s="816"/>
      <c r="J106" s="813"/>
      <c r="K106" s="815"/>
      <c r="L106" s="831" t="s">
        <v>592</v>
      </c>
      <c r="M106" s="816"/>
      <c r="N106" s="813"/>
      <c r="O106" s="815"/>
      <c r="P106" s="831" t="s">
        <v>593</v>
      </c>
      <c r="Q106" s="816"/>
      <c r="R106" s="813"/>
      <c r="S106" s="815"/>
      <c r="T106" s="831" t="s">
        <v>594</v>
      </c>
      <c r="U106" s="816"/>
      <c r="V106" s="813"/>
      <c r="W106" s="815"/>
      <c r="X106" s="816"/>
      <c r="Y106" s="816"/>
      <c r="Z106" s="813"/>
      <c r="AA106" s="815"/>
      <c r="AB106" s="816"/>
      <c r="AC106" s="816"/>
      <c r="AD106" s="816"/>
      <c r="AE106" s="815"/>
      <c r="AF106" s="816"/>
      <c r="AG106" s="816"/>
      <c r="AH106" s="818"/>
      <c r="AI106" s="819"/>
    </row>
    <row r="107" spans="1:35" ht="21.95" customHeight="1">
      <c r="A107" s="576"/>
      <c r="B107" s="833" t="s">
        <v>595</v>
      </c>
      <c r="C107" s="815" t="s">
        <v>596</v>
      </c>
      <c r="D107" s="831" t="s">
        <v>592</v>
      </c>
      <c r="E107" s="816"/>
      <c r="F107" s="813"/>
      <c r="G107" s="815"/>
      <c r="H107" s="831" t="s">
        <v>592</v>
      </c>
      <c r="I107" s="816"/>
      <c r="J107" s="813"/>
      <c r="K107" s="815"/>
      <c r="L107" s="831" t="s">
        <v>592</v>
      </c>
      <c r="M107" s="816"/>
      <c r="N107" s="813"/>
      <c r="O107" s="815"/>
      <c r="P107" s="831" t="s">
        <v>593</v>
      </c>
      <c r="Q107" s="816"/>
      <c r="R107" s="813"/>
      <c r="S107" s="815"/>
      <c r="T107" s="831" t="s">
        <v>594</v>
      </c>
      <c r="U107" s="816"/>
      <c r="V107" s="813"/>
      <c r="W107" s="815"/>
      <c r="X107" s="816"/>
      <c r="Y107" s="816"/>
      <c r="Z107" s="813"/>
      <c r="AA107" s="815"/>
      <c r="AB107" s="816"/>
      <c r="AC107" s="816"/>
      <c r="AD107" s="816"/>
      <c r="AE107" s="815"/>
      <c r="AF107" s="816"/>
      <c r="AG107" s="816"/>
      <c r="AH107" s="818"/>
      <c r="AI107" s="819"/>
    </row>
    <row r="108" spans="1:35" ht="21.95" customHeight="1">
      <c r="A108" s="576"/>
      <c r="B108" s="833" t="s">
        <v>597</v>
      </c>
      <c r="C108" s="815" t="s">
        <v>598</v>
      </c>
      <c r="D108" s="831" t="s">
        <v>592</v>
      </c>
      <c r="E108" s="816"/>
      <c r="F108" s="813"/>
      <c r="G108" s="815"/>
      <c r="H108" s="831" t="s">
        <v>592</v>
      </c>
      <c r="I108" s="816"/>
      <c r="J108" s="813"/>
      <c r="K108" s="815"/>
      <c r="L108" s="831" t="s">
        <v>592</v>
      </c>
      <c r="M108" s="816"/>
      <c r="N108" s="813"/>
      <c r="O108" s="815"/>
      <c r="P108" s="831" t="s">
        <v>593</v>
      </c>
      <c r="Q108" s="816"/>
      <c r="R108" s="813"/>
      <c r="S108" s="815"/>
      <c r="T108" s="831" t="s">
        <v>594</v>
      </c>
      <c r="U108" s="816"/>
      <c r="V108" s="813"/>
      <c r="W108" s="815"/>
      <c r="X108" s="816"/>
      <c r="Y108" s="816"/>
      <c r="Z108" s="813"/>
      <c r="AA108" s="815"/>
      <c r="AB108" s="816"/>
      <c r="AC108" s="816"/>
      <c r="AD108" s="816"/>
      <c r="AE108" s="815"/>
      <c r="AF108" s="816"/>
      <c r="AG108" s="816"/>
      <c r="AH108" s="818"/>
      <c r="AI108" s="819"/>
    </row>
    <row r="109" spans="1:35" ht="21.95" customHeight="1">
      <c r="A109" s="576"/>
      <c r="B109" s="833" t="s">
        <v>599</v>
      </c>
      <c r="C109" s="815" t="s">
        <v>600</v>
      </c>
      <c r="D109" s="831" t="s">
        <v>592</v>
      </c>
      <c r="E109" s="816"/>
      <c r="F109" s="813"/>
      <c r="G109" s="815"/>
      <c r="H109" s="831" t="s">
        <v>592</v>
      </c>
      <c r="I109" s="816"/>
      <c r="J109" s="813"/>
      <c r="K109" s="815"/>
      <c r="L109" s="831" t="s">
        <v>592</v>
      </c>
      <c r="M109" s="816"/>
      <c r="N109" s="813"/>
      <c r="O109" s="815"/>
      <c r="P109" s="831" t="s">
        <v>593</v>
      </c>
      <c r="Q109" s="816"/>
      <c r="R109" s="813"/>
      <c r="S109" s="815"/>
      <c r="T109" s="831" t="s">
        <v>594</v>
      </c>
      <c r="U109" s="816"/>
      <c r="V109" s="813"/>
      <c r="W109" s="815"/>
      <c r="X109" s="816"/>
      <c r="Y109" s="816"/>
      <c r="Z109" s="813"/>
      <c r="AA109" s="815"/>
      <c r="AB109" s="816"/>
      <c r="AC109" s="816"/>
      <c r="AD109" s="816"/>
      <c r="AE109" s="815"/>
      <c r="AF109" s="816"/>
      <c r="AG109" s="816"/>
      <c r="AH109" s="818"/>
      <c r="AI109" s="819"/>
    </row>
    <row r="110" spans="1:35" ht="21.95" customHeight="1">
      <c r="A110" s="576"/>
      <c r="B110" s="833" t="s">
        <v>601</v>
      </c>
      <c r="C110" s="815" t="s">
        <v>602</v>
      </c>
      <c r="D110" s="831" t="s">
        <v>592</v>
      </c>
      <c r="E110" s="816"/>
      <c r="F110" s="813"/>
      <c r="G110" s="815"/>
      <c r="H110" s="831" t="s">
        <v>592</v>
      </c>
      <c r="I110" s="816"/>
      <c r="J110" s="813"/>
      <c r="K110" s="815"/>
      <c r="L110" s="831" t="s">
        <v>592</v>
      </c>
      <c r="M110" s="816"/>
      <c r="N110" s="813"/>
      <c r="O110" s="815"/>
      <c r="P110" s="831" t="s">
        <v>593</v>
      </c>
      <c r="Q110" s="816"/>
      <c r="R110" s="813"/>
      <c r="S110" s="815"/>
      <c r="T110" s="831" t="s">
        <v>594</v>
      </c>
      <c r="U110" s="816"/>
      <c r="V110" s="813"/>
      <c r="W110" s="815"/>
      <c r="X110" s="816"/>
      <c r="Y110" s="816"/>
      <c r="Z110" s="813"/>
      <c r="AA110" s="815"/>
      <c r="AB110" s="816"/>
      <c r="AC110" s="816"/>
      <c r="AD110" s="816"/>
      <c r="AE110" s="815"/>
      <c r="AF110" s="816"/>
      <c r="AG110" s="816"/>
      <c r="AH110" s="818"/>
      <c r="AI110" s="819"/>
    </row>
    <row r="111" spans="1:35" ht="21.95" customHeight="1">
      <c r="A111" s="576"/>
      <c r="B111" s="833" t="s">
        <v>603</v>
      </c>
      <c r="C111" s="815" t="s">
        <v>604</v>
      </c>
      <c r="D111" s="831" t="s">
        <v>592</v>
      </c>
      <c r="E111" s="816"/>
      <c r="F111" s="813"/>
      <c r="G111" s="815"/>
      <c r="H111" s="831" t="s">
        <v>592</v>
      </c>
      <c r="I111" s="816"/>
      <c r="J111" s="813"/>
      <c r="K111" s="815"/>
      <c r="L111" s="831" t="s">
        <v>592</v>
      </c>
      <c r="M111" s="816"/>
      <c r="N111" s="813"/>
      <c r="O111" s="815"/>
      <c r="P111" s="831" t="s">
        <v>593</v>
      </c>
      <c r="Q111" s="816"/>
      <c r="R111" s="813"/>
      <c r="S111" s="815"/>
      <c r="T111" s="831" t="s">
        <v>594</v>
      </c>
      <c r="U111" s="816"/>
      <c r="V111" s="813"/>
      <c r="W111" s="815"/>
      <c r="X111" s="816"/>
      <c r="Y111" s="816"/>
      <c r="Z111" s="813"/>
      <c r="AA111" s="815"/>
      <c r="AB111" s="816"/>
      <c r="AC111" s="816"/>
      <c r="AD111" s="816"/>
      <c r="AE111" s="815"/>
      <c r="AF111" s="816"/>
      <c r="AG111" s="816"/>
      <c r="AH111" s="818"/>
      <c r="AI111" s="819"/>
    </row>
    <row r="112" spans="1:35" ht="21.95" customHeight="1">
      <c r="A112" s="576"/>
      <c r="B112" s="833" t="s">
        <v>605</v>
      </c>
      <c r="C112" s="815" t="s">
        <v>606</v>
      </c>
      <c r="D112" s="831" t="s">
        <v>592</v>
      </c>
      <c r="E112" s="816"/>
      <c r="F112" s="813"/>
      <c r="G112" s="815"/>
      <c r="H112" s="831" t="s">
        <v>592</v>
      </c>
      <c r="I112" s="816"/>
      <c r="J112" s="813"/>
      <c r="K112" s="815"/>
      <c r="L112" s="831" t="s">
        <v>592</v>
      </c>
      <c r="M112" s="816"/>
      <c r="N112" s="813"/>
      <c r="O112" s="815"/>
      <c r="P112" s="831" t="s">
        <v>593</v>
      </c>
      <c r="Q112" s="816"/>
      <c r="R112" s="813"/>
      <c r="S112" s="815"/>
      <c r="T112" s="831" t="s">
        <v>594</v>
      </c>
      <c r="U112" s="816"/>
      <c r="V112" s="813"/>
      <c r="W112" s="815"/>
      <c r="X112" s="816"/>
      <c r="Y112" s="816"/>
      <c r="Z112" s="813"/>
      <c r="AA112" s="815"/>
      <c r="AB112" s="816"/>
      <c r="AC112" s="816"/>
      <c r="AD112" s="816"/>
      <c r="AE112" s="815"/>
      <c r="AF112" s="816"/>
      <c r="AG112" s="816"/>
      <c r="AH112" s="818"/>
      <c r="AI112" s="819"/>
    </row>
    <row r="113" spans="1:35" ht="21.95" customHeight="1">
      <c r="A113" s="576"/>
      <c r="B113" s="833" t="s">
        <v>605</v>
      </c>
      <c r="C113" s="815" t="s">
        <v>607</v>
      </c>
      <c r="D113" s="831" t="s">
        <v>592</v>
      </c>
      <c r="E113" s="816"/>
      <c r="F113" s="813"/>
      <c r="G113" s="815"/>
      <c r="H113" s="831" t="s">
        <v>592</v>
      </c>
      <c r="I113" s="816"/>
      <c r="J113" s="813"/>
      <c r="K113" s="815"/>
      <c r="L113" s="831" t="s">
        <v>592</v>
      </c>
      <c r="M113" s="816"/>
      <c r="N113" s="813"/>
      <c r="O113" s="815"/>
      <c r="P113" s="831" t="s">
        <v>593</v>
      </c>
      <c r="Q113" s="816"/>
      <c r="R113" s="813"/>
      <c r="S113" s="815"/>
      <c r="T113" s="831" t="s">
        <v>594</v>
      </c>
      <c r="U113" s="816"/>
      <c r="V113" s="813"/>
      <c r="W113" s="815"/>
      <c r="X113" s="816"/>
      <c r="Y113" s="816"/>
      <c r="Z113" s="813"/>
      <c r="AA113" s="815"/>
      <c r="AB113" s="816"/>
      <c r="AC113" s="816"/>
      <c r="AD113" s="816"/>
      <c r="AE113" s="815"/>
      <c r="AF113" s="816"/>
      <c r="AG113" s="816"/>
      <c r="AH113" s="818"/>
      <c r="AI113" s="819"/>
    </row>
    <row r="114" spans="1:35" ht="21.95" customHeight="1">
      <c r="A114" s="576"/>
      <c r="B114" s="833" t="s">
        <v>608</v>
      </c>
      <c r="C114" s="815" t="s">
        <v>609</v>
      </c>
      <c r="D114" s="831" t="s">
        <v>592</v>
      </c>
      <c r="E114" s="816"/>
      <c r="F114" s="813"/>
      <c r="G114" s="815"/>
      <c r="H114" s="831" t="s">
        <v>592</v>
      </c>
      <c r="I114" s="816"/>
      <c r="J114" s="813"/>
      <c r="K114" s="815"/>
      <c r="L114" s="831" t="s">
        <v>592</v>
      </c>
      <c r="M114" s="816"/>
      <c r="N114" s="813"/>
      <c r="O114" s="815"/>
      <c r="P114" s="831" t="s">
        <v>593</v>
      </c>
      <c r="Q114" s="816"/>
      <c r="R114" s="813"/>
      <c r="S114" s="815"/>
      <c r="T114" s="831" t="s">
        <v>594</v>
      </c>
      <c r="U114" s="816"/>
      <c r="V114" s="813"/>
      <c r="W114" s="815"/>
      <c r="X114" s="816"/>
      <c r="Y114" s="816"/>
      <c r="Z114" s="813"/>
      <c r="AA114" s="815"/>
      <c r="AB114" s="816"/>
      <c r="AC114" s="816"/>
      <c r="AD114" s="816"/>
      <c r="AE114" s="815"/>
      <c r="AF114" s="816"/>
      <c r="AG114" s="816"/>
      <c r="AH114" s="818"/>
      <c r="AI114" s="819"/>
    </row>
    <row r="115" spans="1:35" ht="21.95" customHeight="1">
      <c r="A115" s="576"/>
      <c r="B115" s="833" t="s">
        <v>610</v>
      </c>
      <c r="C115" s="815" t="s">
        <v>611</v>
      </c>
      <c r="D115" s="831" t="s">
        <v>592</v>
      </c>
      <c r="E115" s="816"/>
      <c r="F115" s="813"/>
      <c r="G115" s="815"/>
      <c r="H115" s="831" t="s">
        <v>592</v>
      </c>
      <c r="I115" s="816"/>
      <c r="J115" s="813"/>
      <c r="K115" s="815"/>
      <c r="L115" s="831" t="s">
        <v>592</v>
      </c>
      <c r="M115" s="816"/>
      <c r="N115" s="813"/>
      <c r="O115" s="815"/>
      <c r="P115" s="831" t="s">
        <v>593</v>
      </c>
      <c r="Q115" s="816"/>
      <c r="R115" s="813"/>
      <c r="S115" s="815"/>
      <c r="T115" s="831" t="s">
        <v>594</v>
      </c>
      <c r="U115" s="816"/>
      <c r="V115" s="813"/>
      <c r="W115" s="815"/>
      <c r="X115" s="816"/>
      <c r="Y115" s="816"/>
      <c r="Z115" s="813"/>
      <c r="AA115" s="815"/>
      <c r="AB115" s="816"/>
      <c r="AC115" s="816"/>
      <c r="AD115" s="816"/>
      <c r="AE115" s="815"/>
      <c r="AF115" s="816"/>
      <c r="AG115" s="816"/>
      <c r="AH115" s="818"/>
      <c r="AI115" s="819"/>
    </row>
    <row r="116" spans="1:35" ht="21.95" customHeight="1">
      <c r="A116" s="576"/>
      <c r="B116" s="833" t="s">
        <v>612</v>
      </c>
      <c r="C116" s="815" t="s">
        <v>613</v>
      </c>
      <c r="D116" s="831" t="s">
        <v>592</v>
      </c>
      <c r="E116" s="816"/>
      <c r="F116" s="813"/>
      <c r="G116" s="815"/>
      <c r="H116" s="831" t="s">
        <v>592</v>
      </c>
      <c r="I116" s="816"/>
      <c r="J116" s="813"/>
      <c r="K116" s="815"/>
      <c r="L116" s="831" t="s">
        <v>592</v>
      </c>
      <c r="M116" s="816"/>
      <c r="N116" s="813"/>
      <c r="O116" s="815"/>
      <c r="P116" s="831" t="s">
        <v>593</v>
      </c>
      <c r="Q116" s="816"/>
      <c r="R116" s="813"/>
      <c r="S116" s="815"/>
      <c r="T116" s="831" t="s">
        <v>594</v>
      </c>
      <c r="U116" s="816"/>
      <c r="V116" s="813"/>
      <c r="W116" s="815"/>
      <c r="X116" s="816"/>
      <c r="Y116" s="816"/>
      <c r="Z116" s="813"/>
      <c r="AA116" s="815"/>
      <c r="AB116" s="816"/>
      <c r="AC116" s="816"/>
      <c r="AD116" s="816"/>
      <c r="AE116" s="815"/>
      <c r="AF116" s="816"/>
      <c r="AG116" s="816"/>
      <c r="AH116" s="818"/>
      <c r="AI116" s="819"/>
    </row>
    <row r="117" spans="1:35" ht="21.95" customHeight="1" thickBot="1">
      <c r="A117" s="576"/>
      <c r="B117" s="583"/>
      <c r="C117" s="555"/>
      <c r="D117" s="538"/>
      <c r="E117" s="538"/>
      <c r="F117" s="538"/>
      <c r="G117" s="538"/>
      <c r="H117" s="538"/>
      <c r="I117" s="555"/>
      <c r="J117" s="555"/>
      <c r="K117" s="538"/>
      <c r="L117" s="538"/>
      <c r="M117" s="538"/>
      <c r="N117" s="538"/>
      <c r="O117" s="538"/>
      <c r="P117" s="538"/>
      <c r="Q117" s="555"/>
      <c r="R117" s="538"/>
      <c r="S117" s="538"/>
      <c r="T117" s="538"/>
      <c r="U117" s="538"/>
      <c r="V117" s="538"/>
      <c r="W117" s="555"/>
      <c r="X117" s="555"/>
      <c r="Y117" s="538"/>
      <c r="Z117" s="538"/>
      <c r="AA117" s="538"/>
      <c r="AB117" s="538"/>
      <c r="AC117" s="538"/>
      <c r="AD117" s="538"/>
      <c r="AE117" s="555"/>
      <c r="AF117" s="538"/>
      <c r="AG117" s="538"/>
      <c r="AH117" s="556"/>
      <c r="AI117" s="556"/>
    </row>
    <row r="118" spans="1:35" ht="21.95" customHeight="1" thickBot="1">
      <c r="A118" s="785"/>
      <c r="B118" s="883" t="s">
        <v>476</v>
      </c>
      <c r="C118" s="880">
        <v>1</v>
      </c>
      <c r="D118" s="863">
        <v>2</v>
      </c>
      <c r="E118" s="863">
        <v>3</v>
      </c>
      <c r="F118" s="863">
        <v>4</v>
      </c>
      <c r="G118" s="863">
        <v>5</v>
      </c>
      <c r="H118" s="863">
        <v>6</v>
      </c>
      <c r="I118" s="880">
        <v>7</v>
      </c>
      <c r="J118" s="880">
        <v>8</v>
      </c>
      <c r="K118" s="863">
        <v>9</v>
      </c>
      <c r="L118" s="863">
        <v>10</v>
      </c>
      <c r="M118" s="863">
        <v>11</v>
      </c>
      <c r="N118" s="863">
        <v>12</v>
      </c>
      <c r="O118" s="863">
        <v>13</v>
      </c>
      <c r="P118" s="880">
        <v>14</v>
      </c>
      <c r="Q118" s="880">
        <v>15</v>
      </c>
      <c r="R118" s="863">
        <v>16</v>
      </c>
      <c r="S118" s="863">
        <v>17</v>
      </c>
      <c r="T118" s="863">
        <v>18</v>
      </c>
      <c r="U118" s="863">
        <v>19</v>
      </c>
      <c r="V118" s="863">
        <v>20</v>
      </c>
      <c r="W118" s="880">
        <v>21</v>
      </c>
      <c r="X118" s="880">
        <v>22</v>
      </c>
      <c r="Y118" s="863">
        <v>23</v>
      </c>
      <c r="Z118" s="863">
        <v>24</v>
      </c>
      <c r="AA118" s="863">
        <v>25</v>
      </c>
      <c r="AB118" s="863">
        <v>26</v>
      </c>
      <c r="AC118" s="863">
        <v>27</v>
      </c>
      <c r="AD118" s="880">
        <v>28</v>
      </c>
      <c r="AE118" s="880">
        <v>29</v>
      </c>
      <c r="AF118" s="863">
        <v>30</v>
      </c>
      <c r="AG118" s="863">
        <v>31</v>
      </c>
      <c r="AH118" s="884" t="s">
        <v>477</v>
      </c>
      <c r="AI118" s="885" t="s">
        <v>478</v>
      </c>
    </row>
    <row r="119" spans="1:35" ht="21.95" customHeight="1">
      <c r="A119" s="576"/>
      <c r="B119" s="881" t="s">
        <v>614</v>
      </c>
      <c r="C119" s="882"/>
      <c r="D119" s="882" t="s">
        <v>591</v>
      </c>
      <c r="E119" s="882" t="s">
        <v>591</v>
      </c>
      <c r="F119" s="882" t="s">
        <v>591</v>
      </c>
      <c r="G119" s="882" t="s">
        <v>591</v>
      </c>
      <c r="H119" s="882" t="s">
        <v>591</v>
      </c>
      <c r="I119" s="882"/>
      <c r="J119" s="882"/>
      <c r="K119" s="882" t="s">
        <v>591</v>
      </c>
      <c r="L119" s="882" t="s">
        <v>591</v>
      </c>
      <c r="M119" s="882" t="s">
        <v>591</v>
      </c>
      <c r="N119" s="882" t="s">
        <v>591</v>
      </c>
      <c r="O119" s="882" t="s">
        <v>591</v>
      </c>
      <c r="P119" s="882"/>
      <c r="Q119" s="882"/>
      <c r="R119" s="882" t="s">
        <v>591</v>
      </c>
      <c r="S119" s="882" t="s">
        <v>591</v>
      </c>
      <c r="T119" s="882" t="s">
        <v>591</v>
      </c>
      <c r="U119" s="882" t="s">
        <v>591</v>
      </c>
      <c r="V119" s="1317" t="s">
        <v>591</v>
      </c>
      <c r="W119" s="882"/>
      <c r="X119" s="882"/>
      <c r="Y119" s="882" t="s">
        <v>591</v>
      </c>
      <c r="Z119" s="882" t="s">
        <v>591</v>
      </c>
      <c r="AA119" s="882" t="s">
        <v>591</v>
      </c>
      <c r="AB119" s="882" t="s">
        <v>591</v>
      </c>
      <c r="AC119" s="882" t="s">
        <v>591</v>
      </c>
      <c r="AD119" s="882"/>
      <c r="AE119" s="882"/>
      <c r="AF119" s="882" t="s">
        <v>591</v>
      </c>
      <c r="AG119" s="882" t="s">
        <v>591</v>
      </c>
      <c r="AH119" s="510">
        <v>0</v>
      </c>
      <c r="AI119" s="511">
        <v>37</v>
      </c>
    </row>
    <row r="120" spans="1:35" ht="21.95" customHeight="1">
      <c r="A120" s="576"/>
      <c r="B120" s="804" t="s">
        <v>615</v>
      </c>
      <c r="C120" s="969"/>
      <c r="D120" s="837" t="s">
        <v>591</v>
      </c>
      <c r="E120" s="837" t="s">
        <v>591</v>
      </c>
      <c r="F120" s="837" t="s">
        <v>591</v>
      </c>
      <c r="G120" s="837" t="s">
        <v>591</v>
      </c>
      <c r="H120" s="837" t="s">
        <v>591</v>
      </c>
      <c r="I120" s="837"/>
      <c r="J120" s="837"/>
      <c r="K120" s="837" t="s">
        <v>591</v>
      </c>
      <c r="L120" s="837" t="s">
        <v>591</v>
      </c>
      <c r="M120" s="837" t="s">
        <v>591</v>
      </c>
      <c r="N120" s="837" t="s">
        <v>591</v>
      </c>
      <c r="O120" s="837" t="s">
        <v>591</v>
      </c>
      <c r="P120" s="837"/>
      <c r="Q120" s="837"/>
      <c r="R120" s="837" t="s">
        <v>591</v>
      </c>
      <c r="S120" s="837" t="s">
        <v>591</v>
      </c>
      <c r="T120" s="837" t="s">
        <v>591</v>
      </c>
      <c r="U120" s="837" t="s">
        <v>591</v>
      </c>
      <c r="V120" s="837" t="s">
        <v>591</v>
      </c>
      <c r="W120" s="837"/>
      <c r="X120" s="837"/>
      <c r="Y120" s="837" t="s">
        <v>591</v>
      </c>
      <c r="Z120" s="837" t="s">
        <v>591</v>
      </c>
      <c r="AA120" s="837" t="s">
        <v>591</v>
      </c>
      <c r="AB120" s="837" t="s">
        <v>591</v>
      </c>
      <c r="AC120" s="837" t="s">
        <v>591</v>
      </c>
      <c r="AD120" s="837"/>
      <c r="AE120" s="837"/>
      <c r="AF120" s="837" t="s">
        <v>591</v>
      </c>
      <c r="AG120" s="837" t="s">
        <v>591</v>
      </c>
      <c r="AH120" s="924">
        <v>15</v>
      </c>
      <c r="AI120" s="925">
        <v>37</v>
      </c>
    </row>
    <row r="121" spans="1:35" ht="21.95" customHeight="1">
      <c r="A121" s="576"/>
      <c r="B121" s="804" t="s">
        <v>616</v>
      </c>
      <c r="C121" s="837"/>
      <c r="D121" s="837" t="s">
        <v>596</v>
      </c>
      <c r="E121" s="837" t="s">
        <v>596</v>
      </c>
      <c r="F121" s="837" t="s">
        <v>596</v>
      </c>
      <c r="G121" s="837" t="s">
        <v>596</v>
      </c>
      <c r="H121" s="837" t="s">
        <v>596</v>
      </c>
      <c r="I121" s="837"/>
      <c r="J121" s="837"/>
      <c r="K121" s="837" t="s">
        <v>596</v>
      </c>
      <c r="L121" s="837" t="s">
        <v>596</v>
      </c>
      <c r="M121" s="837" t="s">
        <v>596</v>
      </c>
      <c r="N121" s="837" t="s">
        <v>596</v>
      </c>
      <c r="O121" s="837" t="s">
        <v>596</v>
      </c>
      <c r="P121" s="837"/>
      <c r="Q121" s="837"/>
      <c r="R121" s="837" t="s">
        <v>596</v>
      </c>
      <c r="S121" s="837" t="s">
        <v>596</v>
      </c>
      <c r="T121" s="837" t="s">
        <v>596</v>
      </c>
      <c r="U121" s="837" t="s">
        <v>596</v>
      </c>
      <c r="V121" s="837" t="s">
        <v>596</v>
      </c>
      <c r="W121" s="837"/>
      <c r="X121" s="837"/>
      <c r="Y121" s="837" t="s">
        <v>596</v>
      </c>
      <c r="Z121" s="837" t="s">
        <v>596</v>
      </c>
      <c r="AA121" s="837" t="s">
        <v>596</v>
      </c>
      <c r="AB121" s="837" t="s">
        <v>596</v>
      </c>
      <c r="AC121" s="837" t="s">
        <v>596</v>
      </c>
      <c r="AD121" s="837"/>
      <c r="AE121" s="837"/>
      <c r="AF121" s="837" t="s">
        <v>596</v>
      </c>
      <c r="AG121" s="837" t="s">
        <v>596</v>
      </c>
      <c r="AH121" s="924">
        <v>39</v>
      </c>
      <c r="AI121" s="925">
        <v>37</v>
      </c>
    </row>
    <row r="122" spans="1:35" ht="21.95" customHeight="1">
      <c r="A122" s="576"/>
      <c r="B122" s="804" t="s">
        <v>617</v>
      </c>
      <c r="C122" s="837"/>
      <c r="D122" s="837" t="s">
        <v>598</v>
      </c>
      <c r="E122" s="837" t="s">
        <v>598</v>
      </c>
      <c r="F122" s="837" t="s">
        <v>598</v>
      </c>
      <c r="G122" s="837" t="s">
        <v>598</v>
      </c>
      <c r="H122" s="837" t="s">
        <v>598</v>
      </c>
      <c r="I122" s="837"/>
      <c r="J122" s="837"/>
      <c r="K122" s="837" t="s">
        <v>598</v>
      </c>
      <c r="L122" s="837" t="s">
        <v>598</v>
      </c>
      <c r="M122" s="837" t="s">
        <v>598</v>
      </c>
      <c r="N122" s="837" t="s">
        <v>598</v>
      </c>
      <c r="O122" s="837" t="s">
        <v>598</v>
      </c>
      <c r="P122" s="837"/>
      <c r="Q122" s="837"/>
      <c r="R122" s="837" t="s">
        <v>598</v>
      </c>
      <c r="S122" s="837" t="s">
        <v>598</v>
      </c>
      <c r="T122" s="837" t="s">
        <v>598</v>
      </c>
      <c r="U122" s="1023" t="s">
        <v>598</v>
      </c>
      <c r="V122" s="1023" t="s">
        <v>598</v>
      </c>
      <c r="W122" s="837"/>
      <c r="X122" s="837"/>
      <c r="Y122" s="837" t="s">
        <v>598</v>
      </c>
      <c r="Z122" s="837" t="s">
        <v>598</v>
      </c>
      <c r="AA122" s="837" t="s">
        <v>598</v>
      </c>
      <c r="AB122" s="837" t="s">
        <v>598</v>
      </c>
      <c r="AC122" s="837" t="s">
        <v>598</v>
      </c>
      <c r="AD122" s="837"/>
      <c r="AE122" s="837"/>
      <c r="AF122" s="969" t="s">
        <v>598</v>
      </c>
      <c r="AG122" s="969" t="s">
        <v>598</v>
      </c>
      <c r="AH122" s="924">
        <v>28</v>
      </c>
      <c r="AI122" s="925">
        <v>37</v>
      </c>
    </row>
    <row r="123" spans="1:35" ht="21.95" customHeight="1">
      <c r="A123" s="576"/>
      <c r="B123" s="804" t="s">
        <v>619</v>
      </c>
      <c r="C123" s="837"/>
      <c r="D123" s="837" t="s">
        <v>600</v>
      </c>
      <c r="E123" s="837" t="s">
        <v>600</v>
      </c>
      <c r="F123" s="837" t="s">
        <v>600</v>
      </c>
      <c r="G123" s="837" t="s">
        <v>600</v>
      </c>
      <c r="H123" s="837" t="s">
        <v>600</v>
      </c>
      <c r="I123" s="837"/>
      <c r="J123" s="837"/>
      <c r="K123" s="837" t="s">
        <v>600</v>
      </c>
      <c r="L123" s="837" t="s">
        <v>600</v>
      </c>
      <c r="M123" s="837" t="s">
        <v>600</v>
      </c>
      <c r="N123" s="837" t="s">
        <v>600</v>
      </c>
      <c r="O123" s="837" t="s">
        <v>600</v>
      </c>
      <c r="P123" s="837"/>
      <c r="Q123" s="837"/>
      <c r="R123" s="837" t="s">
        <v>600</v>
      </c>
      <c r="S123" s="837" t="s">
        <v>600</v>
      </c>
      <c r="T123" s="837" t="s">
        <v>600</v>
      </c>
      <c r="U123" s="837" t="s">
        <v>600</v>
      </c>
      <c r="V123" s="837" t="s">
        <v>600</v>
      </c>
      <c r="W123" s="837"/>
      <c r="X123" s="837"/>
      <c r="Y123" s="1125" t="s">
        <v>600</v>
      </c>
      <c r="Z123" s="1125" t="s">
        <v>600</v>
      </c>
      <c r="AA123" s="1125" t="s">
        <v>600</v>
      </c>
      <c r="AB123" s="1125" t="s">
        <v>600</v>
      </c>
      <c r="AC123" s="1125" t="s">
        <v>600</v>
      </c>
      <c r="AD123" s="1125"/>
      <c r="AE123" s="1125"/>
      <c r="AF123" s="837" t="s">
        <v>600</v>
      </c>
      <c r="AG123" s="837" t="s">
        <v>600</v>
      </c>
      <c r="AH123" s="924">
        <v>5</v>
      </c>
      <c r="AI123" s="925">
        <v>0</v>
      </c>
    </row>
    <row r="124" spans="1:35" ht="21.95" customHeight="1">
      <c r="A124" s="576"/>
      <c r="B124" s="804" t="s">
        <v>621</v>
      </c>
      <c r="C124" s="1023"/>
      <c r="D124" s="1023" t="s">
        <v>772</v>
      </c>
      <c r="E124" s="837" t="s">
        <v>602</v>
      </c>
      <c r="F124" s="837" t="s">
        <v>602</v>
      </c>
      <c r="G124" s="837" t="s">
        <v>602</v>
      </c>
      <c r="H124" s="837" t="s">
        <v>602</v>
      </c>
      <c r="I124" s="837"/>
      <c r="J124" s="837"/>
      <c r="K124" s="837" t="s">
        <v>602</v>
      </c>
      <c r="L124" s="837" t="s">
        <v>602</v>
      </c>
      <c r="M124" s="837" t="s">
        <v>602</v>
      </c>
      <c r="N124" s="837" t="s">
        <v>602</v>
      </c>
      <c r="O124" s="837" t="s">
        <v>602</v>
      </c>
      <c r="P124" s="837"/>
      <c r="Q124" s="837"/>
      <c r="R124" s="837" t="s">
        <v>602</v>
      </c>
      <c r="S124" s="837" t="s">
        <v>602</v>
      </c>
      <c r="T124" s="837" t="s">
        <v>602</v>
      </c>
      <c r="U124" s="837" t="s">
        <v>602</v>
      </c>
      <c r="V124" s="837" t="s">
        <v>602</v>
      </c>
      <c r="W124" s="837"/>
      <c r="X124" s="837"/>
      <c r="Y124" s="1125" t="s">
        <v>602</v>
      </c>
      <c r="Z124" s="1125" t="s">
        <v>602</v>
      </c>
      <c r="AA124" s="1125" t="s">
        <v>602</v>
      </c>
      <c r="AB124" s="1125" t="s">
        <v>602</v>
      </c>
      <c r="AC124" s="1125" t="s">
        <v>602</v>
      </c>
      <c r="AD124" s="1125"/>
      <c r="AE124" s="1125"/>
      <c r="AF124" s="837" t="s">
        <v>602</v>
      </c>
      <c r="AG124" s="837" t="s">
        <v>602</v>
      </c>
      <c r="AH124" s="924">
        <v>3</v>
      </c>
      <c r="AI124" s="925">
        <v>0</v>
      </c>
    </row>
    <row r="125" spans="1:35" ht="21.95" customHeight="1">
      <c r="A125" s="576"/>
      <c r="B125" s="804" t="s">
        <v>622</v>
      </c>
      <c r="C125" s="837"/>
      <c r="D125" s="837" t="s">
        <v>604</v>
      </c>
      <c r="E125" s="837" t="s">
        <v>604</v>
      </c>
      <c r="F125" s="837" t="s">
        <v>604</v>
      </c>
      <c r="G125" s="837" t="s">
        <v>604</v>
      </c>
      <c r="H125" s="837" t="s">
        <v>604</v>
      </c>
      <c r="I125" s="837"/>
      <c r="J125" s="837"/>
      <c r="K125" s="837" t="s">
        <v>604</v>
      </c>
      <c r="L125" s="837" t="s">
        <v>604</v>
      </c>
      <c r="M125" s="837" t="s">
        <v>604</v>
      </c>
      <c r="N125" s="837" t="s">
        <v>604</v>
      </c>
      <c r="O125" s="837" t="s">
        <v>604</v>
      </c>
      <c r="P125" s="837"/>
      <c r="Q125" s="837"/>
      <c r="R125" s="837" t="s">
        <v>604</v>
      </c>
      <c r="S125" s="837" t="s">
        <v>604</v>
      </c>
      <c r="T125" s="837" t="s">
        <v>604</v>
      </c>
      <c r="U125" s="837" t="s">
        <v>604</v>
      </c>
      <c r="V125" s="837" t="s">
        <v>604</v>
      </c>
      <c r="W125" s="837"/>
      <c r="X125" s="837"/>
      <c r="Y125" s="837" t="s">
        <v>604</v>
      </c>
      <c r="Z125" s="837" t="s">
        <v>604</v>
      </c>
      <c r="AA125" s="837" t="s">
        <v>604</v>
      </c>
      <c r="AB125" s="837" t="s">
        <v>604</v>
      </c>
      <c r="AC125" s="837" t="s">
        <v>604</v>
      </c>
      <c r="AD125" s="837"/>
      <c r="AE125" s="837"/>
      <c r="AF125" s="837" t="s">
        <v>604</v>
      </c>
      <c r="AG125" s="837" t="s">
        <v>604</v>
      </c>
      <c r="AH125" s="924">
        <v>37</v>
      </c>
      <c r="AI125" s="925">
        <v>37</v>
      </c>
    </row>
    <row r="126" spans="1:35" ht="21.95" customHeight="1">
      <c r="A126" s="576"/>
      <c r="B126" s="804" t="s">
        <v>623</v>
      </c>
      <c r="C126" s="969"/>
      <c r="D126" s="837" t="s">
        <v>606</v>
      </c>
      <c r="E126" s="837" t="s">
        <v>606</v>
      </c>
      <c r="F126" s="837" t="s">
        <v>606</v>
      </c>
      <c r="G126" s="837" t="s">
        <v>606</v>
      </c>
      <c r="H126" s="837" t="s">
        <v>606</v>
      </c>
      <c r="I126" s="837"/>
      <c r="J126" s="837"/>
      <c r="K126" s="969" t="s">
        <v>606</v>
      </c>
      <c r="L126" s="969" t="s">
        <v>606</v>
      </c>
      <c r="M126" s="969" t="s">
        <v>606</v>
      </c>
      <c r="N126" s="969" t="s">
        <v>606</v>
      </c>
      <c r="O126" s="969" t="s">
        <v>606</v>
      </c>
      <c r="P126" s="837"/>
      <c r="Q126" s="837"/>
      <c r="R126" s="837" t="s">
        <v>606</v>
      </c>
      <c r="S126" s="837" t="s">
        <v>606</v>
      </c>
      <c r="T126" s="837" t="s">
        <v>606</v>
      </c>
      <c r="U126" s="837" t="s">
        <v>606</v>
      </c>
      <c r="V126" s="837" t="s">
        <v>606</v>
      </c>
      <c r="W126" s="837"/>
      <c r="X126" s="837"/>
      <c r="Y126" s="837" t="s">
        <v>606</v>
      </c>
      <c r="Z126" s="837" t="s">
        <v>606</v>
      </c>
      <c r="AA126" s="837" t="s">
        <v>606</v>
      </c>
      <c r="AB126" s="837" t="s">
        <v>606</v>
      </c>
      <c r="AC126" s="837" t="s">
        <v>606</v>
      </c>
      <c r="AD126" s="837"/>
      <c r="AE126" s="837"/>
      <c r="AF126" s="837" t="s">
        <v>606</v>
      </c>
      <c r="AG126" s="837" t="s">
        <v>606</v>
      </c>
      <c r="AH126" s="924">
        <v>37</v>
      </c>
      <c r="AI126" s="925">
        <v>37</v>
      </c>
    </row>
    <row r="127" spans="1:35" ht="21.95" customHeight="1">
      <c r="A127" s="576"/>
      <c r="B127" s="804" t="s">
        <v>624</v>
      </c>
      <c r="C127" s="837"/>
      <c r="D127" s="837" t="s">
        <v>607</v>
      </c>
      <c r="E127" s="837" t="s">
        <v>607</v>
      </c>
      <c r="F127" s="837" t="s">
        <v>607</v>
      </c>
      <c r="G127" s="837" t="s">
        <v>607</v>
      </c>
      <c r="H127" s="837" t="s">
        <v>607</v>
      </c>
      <c r="I127" s="837"/>
      <c r="J127" s="837"/>
      <c r="K127" s="837" t="s">
        <v>607</v>
      </c>
      <c r="L127" s="837" t="s">
        <v>607</v>
      </c>
      <c r="M127" s="837" t="s">
        <v>607</v>
      </c>
      <c r="N127" s="837" t="s">
        <v>607</v>
      </c>
      <c r="O127" s="837" t="s">
        <v>607</v>
      </c>
      <c r="P127" s="837"/>
      <c r="Q127" s="837"/>
      <c r="R127" s="837" t="s">
        <v>607</v>
      </c>
      <c r="S127" s="837" t="s">
        <v>607</v>
      </c>
      <c r="T127" s="837" t="s">
        <v>607</v>
      </c>
      <c r="U127" s="837" t="s">
        <v>607</v>
      </c>
      <c r="V127" s="837" t="s">
        <v>607</v>
      </c>
      <c r="W127" s="837"/>
      <c r="X127" s="837"/>
      <c r="Y127" s="837" t="s">
        <v>607</v>
      </c>
      <c r="Z127" s="837" t="s">
        <v>607</v>
      </c>
      <c r="AA127" s="837" t="s">
        <v>607</v>
      </c>
      <c r="AB127" s="837" t="s">
        <v>607</v>
      </c>
      <c r="AC127" s="837" t="s">
        <v>607</v>
      </c>
      <c r="AD127" s="837"/>
      <c r="AE127" s="837"/>
      <c r="AF127" s="969" t="s">
        <v>607</v>
      </c>
      <c r="AG127" s="1006" t="s">
        <v>607</v>
      </c>
      <c r="AH127" s="924">
        <v>7</v>
      </c>
      <c r="AI127" s="925">
        <v>37</v>
      </c>
    </row>
    <row r="128" spans="1:35" ht="21.95" customHeight="1">
      <c r="A128" s="576"/>
      <c r="B128" s="804" t="s">
        <v>626</v>
      </c>
      <c r="C128" s="837"/>
      <c r="D128" s="837" t="s">
        <v>609</v>
      </c>
      <c r="E128" s="837" t="s">
        <v>609</v>
      </c>
      <c r="F128" s="837" t="s">
        <v>609</v>
      </c>
      <c r="G128" s="837" t="s">
        <v>609</v>
      </c>
      <c r="H128" s="837" t="s">
        <v>609</v>
      </c>
      <c r="I128" s="837"/>
      <c r="J128" s="837"/>
      <c r="K128" s="837" t="s">
        <v>609</v>
      </c>
      <c r="L128" s="837" t="s">
        <v>609</v>
      </c>
      <c r="M128" s="837" t="s">
        <v>609</v>
      </c>
      <c r="N128" s="837" t="s">
        <v>609</v>
      </c>
      <c r="O128" s="837" t="s">
        <v>609</v>
      </c>
      <c r="P128" s="837"/>
      <c r="Q128" s="837"/>
      <c r="R128" s="1125" t="s">
        <v>609</v>
      </c>
      <c r="S128" s="1125" t="s">
        <v>609</v>
      </c>
      <c r="T128" s="1125" t="s">
        <v>609</v>
      </c>
      <c r="U128" s="1125" t="s">
        <v>609</v>
      </c>
      <c r="V128" s="1125" t="s">
        <v>609</v>
      </c>
      <c r="W128" s="1125"/>
      <c r="X128" s="1125"/>
      <c r="Y128" s="837" t="s">
        <v>609</v>
      </c>
      <c r="Z128" s="837" t="s">
        <v>609</v>
      </c>
      <c r="AA128" s="837" t="s">
        <v>609</v>
      </c>
      <c r="AB128" s="837" t="s">
        <v>609</v>
      </c>
      <c r="AC128" s="837" t="s">
        <v>609</v>
      </c>
      <c r="AD128" s="837"/>
      <c r="AE128" s="837"/>
      <c r="AF128" s="837" t="s">
        <v>609</v>
      </c>
      <c r="AG128" s="837" t="s">
        <v>609</v>
      </c>
      <c r="AH128" s="924">
        <v>12</v>
      </c>
      <c r="AI128" s="925">
        <v>37</v>
      </c>
    </row>
    <row r="129" spans="1:35" ht="21.95" customHeight="1">
      <c r="A129" s="576"/>
      <c r="B129" s="804" t="s">
        <v>627</v>
      </c>
      <c r="C129" s="837"/>
      <c r="D129" s="837" t="s">
        <v>611</v>
      </c>
      <c r="E129" s="837" t="s">
        <v>611</v>
      </c>
      <c r="F129" s="837" t="s">
        <v>611</v>
      </c>
      <c r="G129" s="837" t="s">
        <v>611</v>
      </c>
      <c r="H129" s="837" t="s">
        <v>611</v>
      </c>
      <c r="I129" s="837"/>
      <c r="J129" s="837"/>
      <c r="K129" s="837" t="s">
        <v>611</v>
      </c>
      <c r="L129" s="837" t="s">
        <v>611</v>
      </c>
      <c r="M129" s="837" t="s">
        <v>611</v>
      </c>
      <c r="N129" s="837" t="s">
        <v>611</v>
      </c>
      <c r="O129" s="837" t="s">
        <v>611</v>
      </c>
      <c r="P129" s="837"/>
      <c r="Q129" s="837"/>
      <c r="R129" s="837" t="s">
        <v>611</v>
      </c>
      <c r="S129" s="837" t="s">
        <v>611</v>
      </c>
      <c r="T129" s="837" t="s">
        <v>611</v>
      </c>
      <c r="U129" s="837" t="s">
        <v>611</v>
      </c>
      <c r="V129" s="837" t="s">
        <v>611</v>
      </c>
      <c r="W129" s="837"/>
      <c r="X129" s="837"/>
      <c r="Y129" s="837" t="s">
        <v>611</v>
      </c>
      <c r="Z129" s="837" t="s">
        <v>611</v>
      </c>
      <c r="AA129" s="837" t="s">
        <v>611</v>
      </c>
      <c r="AB129" s="837" t="s">
        <v>611</v>
      </c>
      <c r="AC129" s="837" t="s">
        <v>611</v>
      </c>
      <c r="AD129" s="837"/>
      <c r="AE129" s="837"/>
      <c r="AF129" s="969" t="s">
        <v>611</v>
      </c>
      <c r="AG129" s="969" t="s">
        <v>611</v>
      </c>
      <c r="AH129" s="924">
        <v>99</v>
      </c>
      <c r="AI129" s="925">
        <v>32</v>
      </c>
    </row>
    <row r="130" spans="1:35" ht="21.95" customHeight="1" thickBot="1">
      <c r="A130" s="576"/>
      <c r="B130" s="886" t="s">
        <v>629</v>
      </c>
      <c r="C130" s="887"/>
      <c r="D130" s="991" t="s">
        <v>613</v>
      </c>
      <c r="E130" s="991" t="s">
        <v>613</v>
      </c>
      <c r="F130" s="991" t="s">
        <v>613</v>
      </c>
      <c r="G130" s="991" t="s">
        <v>613</v>
      </c>
      <c r="H130" s="991" t="s">
        <v>613</v>
      </c>
      <c r="I130" s="991"/>
      <c r="J130" s="991"/>
      <c r="K130" s="887" t="s">
        <v>613</v>
      </c>
      <c r="L130" s="887" t="s">
        <v>613</v>
      </c>
      <c r="M130" s="887" t="s">
        <v>613</v>
      </c>
      <c r="N130" s="887" t="s">
        <v>613</v>
      </c>
      <c r="O130" s="887" t="s">
        <v>613</v>
      </c>
      <c r="P130" s="887"/>
      <c r="Q130" s="887"/>
      <c r="R130" s="887" t="s">
        <v>613</v>
      </c>
      <c r="S130" s="887" t="s">
        <v>613</v>
      </c>
      <c r="T130" s="887" t="s">
        <v>613</v>
      </c>
      <c r="U130" s="887" t="s">
        <v>613</v>
      </c>
      <c r="V130" s="887" t="s">
        <v>613</v>
      </c>
      <c r="W130" s="887"/>
      <c r="X130" s="887"/>
      <c r="Y130" s="887" t="s">
        <v>613</v>
      </c>
      <c r="Z130" s="887" t="s">
        <v>613</v>
      </c>
      <c r="AA130" s="887" t="s">
        <v>613</v>
      </c>
      <c r="AB130" s="887" t="s">
        <v>613</v>
      </c>
      <c r="AC130" s="887" t="s">
        <v>613</v>
      </c>
      <c r="AD130" s="887"/>
      <c r="AE130" s="887"/>
      <c r="AF130" s="887" t="s">
        <v>613</v>
      </c>
      <c r="AG130" s="887" t="s">
        <v>613</v>
      </c>
      <c r="AH130" s="868">
        <v>0</v>
      </c>
      <c r="AI130" s="869">
        <v>37</v>
      </c>
    </row>
    <row r="131" spans="1:35" ht="21.95" customHeight="1">
      <c r="A131" s="576"/>
      <c r="B131" s="847"/>
      <c r="C131" s="555"/>
      <c r="D131" s="555"/>
      <c r="E131" s="555"/>
      <c r="F131" s="555"/>
      <c r="G131" s="555"/>
      <c r="H131" s="555"/>
      <c r="I131" s="555"/>
      <c r="J131" s="555"/>
      <c r="K131" s="555"/>
      <c r="L131" s="555"/>
      <c r="M131" s="555"/>
      <c r="N131" s="555"/>
      <c r="O131" s="555"/>
      <c r="P131" s="555"/>
      <c r="Q131" s="555"/>
      <c r="R131" s="555"/>
      <c r="S131" s="555"/>
      <c r="T131" s="555"/>
      <c r="U131" s="555"/>
      <c r="V131" s="555"/>
      <c r="W131" s="555"/>
      <c r="X131" s="555"/>
      <c r="Y131" s="555"/>
      <c r="Z131" s="555"/>
      <c r="AA131" s="555"/>
      <c r="AB131" s="555"/>
      <c r="AC131" s="555"/>
      <c r="AD131" s="555"/>
      <c r="AE131" s="555"/>
      <c r="AF131" s="555"/>
      <c r="AG131" s="555"/>
      <c r="AH131" s="556"/>
      <c r="AI131" s="556"/>
    </row>
    <row r="132" spans="1:35" ht="21.95" customHeight="1" thickBot="1">
      <c r="A132" s="805" t="s">
        <v>630</v>
      </c>
      <c r="B132" s="538" t="s">
        <v>631</v>
      </c>
      <c r="C132" s="555"/>
      <c r="D132" s="538"/>
      <c r="E132" s="538"/>
      <c r="F132" s="538"/>
      <c r="G132" s="538"/>
      <c r="H132" s="538"/>
      <c r="I132" s="555"/>
      <c r="J132" s="555"/>
      <c r="K132" s="538"/>
      <c r="L132" s="538"/>
      <c r="M132" s="538"/>
      <c r="N132" s="538"/>
      <c r="O132" s="538"/>
      <c r="P132" s="538"/>
      <c r="Q132" s="555"/>
      <c r="R132" s="538"/>
      <c r="S132" s="538"/>
      <c r="T132" s="538"/>
      <c r="U132" s="538"/>
      <c r="V132" s="538"/>
      <c r="W132" s="555"/>
      <c r="X132" s="555"/>
      <c r="Y132" s="538"/>
      <c r="Z132" s="538"/>
      <c r="AA132" s="538"/>
      <c r="AB132" s="538"/>
      <c r="AC132" s="538"/>
      <c r="AD132" s="538"/>
      <c r="AE132" s="555"/>
      <c r="AF132" s="538"/>
      <c r="AG132" s="538"/>
      <c r="AH132" s="556"/>
      <c r="AI132" s="556"/>
    </row>
    <row r="133" spans="1:35" ht="21.95" customHeight="1">
      <c r="A133" s="576"/>
      <c r="B133" s="806" t="s">
        <v>589</v>
      </c>
      <c r="C133" s="814"/>
      <c r="D133" s="807" t="s">
        <v>2</v>
      </c>
      <c r="E133" s="808"/>
      <c r="F133" s="809"/>
      <c r="G133" s="810"/>
      <c r="H133" s="807" t="s">
        <v>3</v>
      </c>
      <c r="I133" s="808"/>
      <c r="J133" s="809"/>
      <c r="K133" s="810"/>
      <c r="L133" s="807" t="s">
        <v>4</v>
      </c>
      <c r="M133" s="808"/>
      <c r="N133" s="809"/>
      <c r="O133" s="810"/>
      <c r="P133" s="807" t="s">
        <v>5</v>
      </c>
      <c r="Q133" s="808"/>
      <c r="R133" s="809"/>
      <c r="S133" s="810"/>
      <c r="T133" s="807" t="s">
        <v>6</v>
      </c>
      <c r="U133" s="808"/>
      <c r="V133" s="809"/>
      <c r="W133" s="810"/>
      <c r="X133" s="807" t="s">
        <v>7</v>
      </c>
      <c r="Y133" s="808"/>
      <c r="Z133" s="809"/>
      <c r="AA133" s="810"/>
      <c r="AB133" s="807" t="s">
        <v>8</v>
      </c>
      <c r="AC133" s="808"/>
      <c r="AD133" s="808"/>
      <c r="AE133" s="811" t="s">
        <v>10</v>
      </c>
      <c r="AF133" s="808"/>
      <c r="AG133" s="808"/>
      <c r="AH133" s="808"/>
      <c r="AI133" s="812"/>
    </row>
    <row r="134" spans="1:35" ht="21.95" customHeight="1">
      <c r="A134" s="576"/>
      <c r="B134" s="832"/>
      <c r="C134" s="815"/>
      <c r="D134" s="831"/>
      <c r="E134" s="816"/>
      <c r="F134" s="813"/>
      <c r="G134" s="815"/>
      <c r="H134" s="831"/>
      <c r="I134" s="816"/>
      <c r="J134" s="813"/>
      <c r="K134" s="815"/>
      <c r="L134" s="831"/>
      <c r="M134" s="816"/>
      <c r="N134" s="813"/>
      <c r="O134" s="815"/>
      <c r="P134" s="831"/>
      <c r="Q134" s="816"/>
      <c r="R134" s="813"/>
      <c r="S134" s="815"/>
      <c r="T134" s="831"/>
      <c r="U134" s="816"/>
      <c r="V134" s="813"/>
      <c r="W134" s="815"/>
      <c r="X134" s="816"/>
      <c r="Y134" s="816"/>
      <c r="Z134" s="813"/>
      <c r="AA134" s="815"/>
      <c r="AB134" s="816"/>
      <c r="AC134" s="816"/>
      <c r="AD134" s="816"/>
      <c r="AE134" s="815"/>
      <c r="AF134" s="816"/>
      <c r="AG134" s="816"/>
      <c r="AH134" s="818"/>
      <c r="AI134" s="819"/>
    </row>
    <row r="135" spans="1:35" ht="21.95" customHeight="1">
      <c r="A135" s="576"/>
      <c r="B135" s="833"/>
      <c r="C135" s="815"/>
      <c r="D135" s="831"/>
      <c r="E135" s="816"/>
      <c r="F135" s="813"/>
      <c r="G135" s="815"/>
      <c r="H135" s="831"/>
      <c r="I135" s="816"/>
      <c r="J135" s="813"/>
      <c r="K135" s="815"/>
      <c r="L135" s="831"/>
      <c r="M135" s="816"/>
      <c r="N135" s="813"/>
      <c r="O135" s="815"/>
      <c r="P135" s="831"/>
      <c r="Q135" s="816"/>
      <c r="R135" s="813"/>
      <c r="S135" s="815"/>
      <c r="T135" s="831"/>
      <c r="U135" s="816"/>
      <c r="V135" s="813"/>
      <c r="W135" s="815"/>
      <c r="X135" s="816"/>
      <c r="Y135" s="816"/>
      <c r="Z135" s="813"/>
      <c r="AA135" s="815"/>
      <c r="AB135" s="816"/>
      <c r="AC135" s="816"/>
      <c r="AD135" s="816"/>
      <c r="AE135" s="815"/>
      <c r="AF135" s="816"/>
      <c r="AG135" s="816"/>
      <c r="AH135" s="818"/>
      <c r="AI135" s="819"/>
    </row>
    <row r="136" spans="1:35" ht="21.95" customHeight="1">
      <c r="A136" s="576"/>
      <c r="B136" s="833"/>
      <c r="C136" s="815"/>
      <c r="D136" s="831"/>
      <c r="E136" s="816"/>
      <c r="F136" s="813"/>
      <c r="G136" s="815"/>
      <c r="H136" s="831"/>
      <c r="I136" s="816"/>
      <c r="J136" s="813"/>
      <c r="K136" s="815"/>
      <c r="L136" s="831"/>
      <c r="M136" s="816"/>
      <c r="N136" s="813"/>
      <c r="O136" s="815"/>
      <c r="P136" s="831"/>
      <c r="Q136" s="816"/>
      <c r="R136" s="813"/>
      <c r="S136" s="815"/>
      <c r="T136" s="831"/>
      <c r="U136" s="816"/>
      <c r="V136" s="813"/>
      <c r="W136" s="815"/>
      <c r="X136" s="816"/>
      <c r="Y136" s="816"/>
      <c r="Z136" s="813"/>
      <c r="AA136" s="815"/>
      <c r="AB136" s="816"/>
      <c r="AC136" s="816"/>
      <c r="AD136" s="816"/>
      <c r="AE136" s="815"/>
      <c r="AF136" s="816"/>
      <c r="AG136" s="816"/>
      <c r="AH136" s="818"/>
      <c r="AI136" s="819"/>
    </row>
    <row r="137" spans="1:35" ht="21.75" customHeight="1" thickBot="1">
      <c r="A137" s="576"/>
      <c r="B137" s="847"/>
      <c r="C137" s="555"/>
      <c r="D137" s="555"/>
      <c r="E137" s="555"/>
      <c r="F137" s="555"/>
      <c r="G137" s="555"/>
      <c r="H137" s="555"/>
      <c r="I137" s="555"/>
      <c r="J137" s="555"/>
      <c r="K137" s="555"/>
      <c r="L137" s="555"/>
      <c r="M137" s="555"/>
      <c r="N137" s="555"/>
      <c r="O137" s="555"/>
      <c r="P137" s="555"/>
      <c r="Q137" s="555"/>
      <c r="R137" s="555"/>
      <c r="S137" s="555"/>
      <c r="T137" s="555"/>
      <c r="U137" s="555"/>
      <c r="V137" s="555"/>
      <c r="W137" s="555"/>
      <c r="X137" s="555"/>
      <c r="Y137" s="555"/>
      <c r="Z137" s="555"/>
      <c r="AA137" s="555"/>
      <c r="AB137" s="555"/>
      <c r="AC137" s="555"/>
      <c r="AD137" s="555"/>
      <c r="AE137" s="555"/>
      <c r="AF137" s="555"/>
      <c r="AG137" s="555"/>
      <c r="AH137" s="556"/>
      <c r="AI137" s="556"/>
    </row>
    <row r="138" spans="1:35" ht="21.95" customHeight="1" thickBot="1">
      <c r="A138" s="785"/>
      <c r="B138" s="883" t="s">
        <v>476</v>
      </c>
      <c r="C138" s="944">
        <v>1</v>
      </c>
      <c r="D138" s="863">
        <v>2</v>
      </c>
      <c r="E138" s="863">
        <v>3</v>
      </c>
      <c r="F138" s="863">
        <v>4</v>
      </c>
      <c r="G138" s="863">
        <v>5</v>
      </c>
      <c r="H138" s="863">
        <v>6</v>
      </c>
      <c r="I138" s="880">
        <v>7</v>
      </c>
      <c r="J138" s="880">
        <v>8</v>
      </c>
      <c r="K138" s="863">
        <v>9</v>
      </c>
      <c r="L138" s="863">
        <v>10</v>
      </c>
      <c r="M138" s="863">
        <v>11</v>
      </c>
      <c r="N138" s="863">
        <v>12</v>
      </c>
      <c r="O138" s="863">
        <v>13</v>
      </c>
      <c r="P138" s="880">
        <v>14</v>
      </c>
      <c r="Q138" s="880">
        <v>15</v>
      </c>
      <c r="R138" s="863">
        <v>16</v>
      </c>
      <c r="S138" s="863">
        <v>17</v>
      </c>
      <c r="T138" s="863">
        <v>18</v>
      </c>
      <c r="U138" s="863">
        <v>19</v>
      </c>
      <c r="V138" s="863">
        <v>20</v>
      </c>
      <c r="W138" s="880">
        <v>21</v>
      </c>
      <c r="X138" s="880">
        <v>22</v>
      </c>
      <c r="Y138" s="863">
        <v>23</v>
      </c>
      <c r="Z138" s="863">
        <v>24</v>
      </c>
      <c r="AA138" s="863">
        <v>25</v>
      </c>
      <c r="AB138" s="863">
        <v>26</v>
      </c>
      <c r="AC138" s="863">
        <v>27</v>
      </c>
      <c r="AD138" s="880">
        <v>28</v>
      </c>
      <c r="AE138" s="880">
        <v>29</v>
      </c>
      <c r="AF138" s="863">
        <v>30</v>
      </c>
      <c r="AG138" s="945">
        <v>31</v>
      </c>
      <c r="AH138" s="884" t="s">
        <v>477</v>
      </c>
      <c r="AI138" s="885" t="s">
        <v>478</v>
      </c>
    </row>
    <row r="139" spans="1:35" ht="21.95" customHeight="1">
      <c r="A139" s="576"/>
      <c r="B139" s="888" t="s">
        <v>632</v>
      </c>
      <c r="C139" s="768"/>
      <c r="D139" s="768" t="s">
        <v>491</v>
      </c>
      <c r="E139" s="768" t="s">
        <v>491</v>
      </c>
      <c r="F139" s="768" t="s">
        <v>491</v>
      </c>
      <c r="G139" s="768" t="s">
        <v>491</v>
      </c>
      <c r="H139" s="768" t="s">
        <v>491</v>
      </c>
      <c r="I139" s="768"/>
      <c r="J139" s="768"/>
      <c r="K139" s="768" t="s">
        <v>491</v>
      </c>
      <c r="L139" s="768" t="s">
        <v>491</v>
      </c>
      <c r="M139" s="768" t="s">
        <v>491</v>
      </c>
      <c r="N139" s="768" t="s">
        <v>491</v>
      </c>
      <c r="O139" s="768" t="s">
        <v>491</v>
      </c>
      <c r="P139" s="768"/>
      <c r="Q139" s="768"/>
      <c r="R139" s="768" t="s">
        <v>491</v>
      </c>
      <c r="S139" s="768" t="s">
        <v>491</v>
      </c>
      <c r="T139" s="768" t="s">
        <v>491</v>
      </c>
      <c r="U139" s="768" t="s">
        <v>491</v>
      </c>
      <c r="V139" s="768" t="s">
        <v>491</v>
      </c>
      <c r="W139" s="768"/>
      <c r="X139" s="768"/>
      <c r="Y139" s="768" t="s">
        <v>491</v>
      </c>
      <c r="Z139" s="768" t="s">
        <v>491</v>
      </c>
      <c r="AA139" s="768" t="s">
        <v>491</v>
      </c>
      <c r="AB139" s="768" t="s">
        <v>491</v>
      </c>
      <c r="AC139" s="768" t="s">
        <v>491</v>
      </c>
      <c r="AD139" s="768"/>
      <c r="AE139" s="768"/>
      <c r="AF139" s="768" t="s">
        <v>491</v>
      </c>
      <c r="AG139" s="768" t="s">
        <v>491</v>
      </c>
      <c r="AH139" s="510">
        <v>54</v>
      </c>
      <c r="AI139" s="511">
        <v>37</v>
      </c>
    </row>
    <row r="140" spans="1:35" ht="21.95" customHeight="1">
      <c r="A140" s="576"/>
      <c r="B140" s="858" t="s">
        <v>633</v>
      </c>
      <c r="C140" s="768"/>
      <c r="D140" s="768" t="s">
        <v>491</v>
      </c>
      <c r="E140" s="768" t="s">
        <v>491</v>
      </c>
      <c r="F140" s="768" t="s">
        <v>491</v>
      </c>
      <c r="G140" s="768" t="s">
        <v>491</v>
      </c>
      <c r="H140" s="768" t="s">
        <v>491</v>
      </c>
      <c r="I140" s="768"/>
      <c r="J140" s="768"/>
      <c r="K140" s="970" t="s">
        <v>491</v>
      </c>
      <c r="L140" s="970" t="s">
        <v>491</v>
      </c>
      <c r="M140" s="970" t="s">
        <v>491</v>
      </c>
      <c r="N140" s="970" t="s">
        <v>491</v>
      </c>
      <c r="O140" s="970" t="s">
        <v>491</v>
      </c>
      <c r="P140" s="970"/>
      <c r="Q140" s="970"/>
      <c r="R140" s="768" t="s">
        <v>491</v>
      </c>
      <c r="S140" s="768" t="s">
        <v>491</v>
      </c>
      <c r="T140" s="768" t="s">
        <v>491</v>
      </c>
      <c r="U140" s="768" t="s">
        <v>491</v>
      </c>
      <c r="V140" s="768" t="s">
        <v>491</v>
      </c>
      <c r="W140" s="768"/>
      <c r="X140" s="768"/>
      <c r="Y140" s="768" t="s">
        <v>491</v>
      </c>
      <c r="Z140" s="768" t="s">
        <v>491</v>
      </c>
      <c r="AA140" s="768" t="s">
        <v>491</v>
      </c>
      <c r="AB140" s="768" t="s">
        <v>491</v>
      </c>
      <c r="AC140" s="768" t="s">
        <v>491</v>
      </c>
      <c r="AD140" s="768"/>
      <c r="AE140" s="768"/>
      <c r="AF140" s="768" t="s">
        <v>491</v>
      </c>
      <c r="AG140" s="768" t="s">
        <v>491</v>
      </c>
      <c r="AH140" s="924">
        <v>0</v>
      </c>
      <c r="AI140" s="925">
        <v>37</v>
      </c>
    </row>
    <row r="141" spans="1:35" ht="21.95" customHeight="1">
      <c r="A141" s="576"/>
      <c r="B141" s="858" t="s">
        <v>634</v>
      </c>
      <c r="C141" s="768"/>
      <c r="D141" s="768" t="s">
        <v>491</v>
      </c>
      <c r="E141" s="768" t="s">
        <v>491</v>
      </c>
      <c r="F141" s="768" t="s">
        <v>491</v>
      </c>
      <c r="G141" s="768" t="s">
        <v>491</v>
      </c>
      <c r="H141" s="768" t="s">
        <v>491</v>
      </c>
      <c r="I141" s="768"/>
      <c r="J141" s="768"/>
      <c r="K141" s="768" t="s">
        <v>491</v>
      </c>
      <c r="L141" s="768" t="s">
        <v>491</v>
      </c>
      <c r="M141" s="768" t="s">
        <v>491</v>
      </c>
      <c r="N141" s="768" t="s">
        <v>491</v>
      </c>
      <c r="O141" s="768" t="s">
        <v>491</v>
      </c>
      <c r="P141" s="768"/>
      <c r="Q141" s="768"/>
      <c r="R141" s="768" t="s">
        <v>491</v>
      </c>
      <c r="S141" s="768" t="s">
        <v>491</v>
      </c>
      <c r="T141" s="768" t="s">
        <v>491</v>
      </c>
      <c r="U141" s="768" t="s">
        <v>491</v>
      </c>
      <c r="V141" s="768" t="s">
        <v>491</v>
      </c>
      <c r="W141" s="768"/>
      <c r="X141" s="768"/>
      <c r="Y141" s="768" t="s">
        <v>491</v>
      </c>
      <c r="Z141" s="768" t="s">
        <v>491</v>
      </c>
      <c r="AA141" s="768" t="s">
        <v>491</v>
      </c>
      <c r="AB141" s="768" t="s">
        <v>491</v>
      </c>
      <c r="AC141" s="768" t="s">
        <v>491</v>
      </c>
      <c r="AD141" s="768"/>
      <c r="AE141" s="768"/>
      <c r="AF141" s="970" t="s">
        <v>491</v>
      </c>
      <c r="AG141" s="970" t="s">
        <v>491</v>
      </c>
      <c r="AH141" s="924">
        <v>53</v>
      </c>
      <c r="AI141" s="925">
        <v>37</v>
      </c>
    </row>
    <row r="142" spans="1:35" ht="21.95" customHeight="1">
      <c r="A142" s="576"/>
      <c r="B142" s="859" t="s">
        <v>638</v>
      </c>
      <c r="C142" s="768"/>
      <c r="D142" s="768" t="s">
        <v>491</v>
      </c>
      <c r="E142" s="768" t="s">
        <v>491</v>
      </c>
      <c r="F142" s="768" t="s">
        <v>491</v>
      </c>
      <c r="G142" s="768" t="s">
        <v>491</v>
      </c>
      <c r="H142" s="768" t="s">
        <v>491</v>
      </c>
      <c r="I142" s="768"/>
      <c r="J142" s="768"/>
      <c r="K142" s="768" t="s">
        <v>491</v>
      </c>
      <c r="L142" s="768" t="s">
        <v>491</v>
      </c>
      <c r="M142" s="768" t="s">
        <v>491</v>
      </c>
      <c r="N142" s="768" t="s">
        <v>491</v>
      </c>
      <c r="O142" s="768" t="s">
        <v>491</v>
      </c>
      <c r="P142" s="768"/>
      <c r="Q142" s="768"/>
      <c r="R142" s="768" t="s">
        <v>491</v>
      </c>
      <c r="S142" s="768" t="s">
        <v>491</v>
      </c>
      <c r="T142" s="768" t="s">
        <v>491</v>
      </c>
      <c r="U142" s="768" t="s">
        <v>491</v>
      </c>
      <c r="V142" s="768" t="s">
        <v>491</v>
      </c>
      <c r="W142" s="768"/>
      <c r="X142" s="768"/>
      <c r="Y142" s="768" t="s">
        <v>491</v>
      </c>
      <c r="Z142" s="768" t="s">
        <v>491</v>
      </c>
      <c r="AA142" s="768" t="s">
        <v>491</v>
      </c>
      <c r="AB142" s="768" t="s">
        <v>491</v>
      </c>
      <c r="AC142" s="768" t="s">
        <v>491</v>
      </c>
      <c r="AD142" s="768"/>
      <c r="AE142" s="768"/>
      <c r="AF142" s="977" t="s">
        <v>491</v>
      </c>
      <c r="AG142" s="977" t="s">
        <v>491</v>
      </c>
      <c r="AH142" s="924">
        <v>74</v>
      </c>
      <c r="AI142" s="925">
        <v>37</v>
      </c>
    </row>
    <row r="143" spans="1:35" ht="21.95" customHeight="1">
      <c r="A143" s="576"/>
      <c r="B143" s="994" t="s">
        <v>635</v>
      </c>
      <c r="C143" s="768"/>
      <c r="D143" s="768" t="s">
        <v>491</v>
      </c>
      <c r="E143" s="768" t="s">
        <v>491</v>
      </c>
      <c r="F143" s="768" t="s">
        <v>491</v>
      </c>
      <c r="G143" s="768" t="s">
        <v>491</v>
      </c>
      <c r="H143" s="768" t="s">
        <v>491</v>
      </c>
      <c r="I143" s="768"/>
      <c r="J143" s="768"/>
      <c r="K143" s="768" t="s">
        <v>491</v>
      </c>
      <c r="L143" s="768" t="s">
        <v>491</v>
      </c>
      <c r="M143" s="768" t="s">
        <v>491</v>
      </c>
      <c r="N143" s="768" t="s">
        <v>491</v>
      </c>
      <c r="O143" s="768" t="s">
        <v>491</v>
      </c>
      <c r="P143" s="768"/>
      <c r="Q143" s="768"/>
      <c r="R143" s="768" t="s">
        <v>491</v>
      </c>
      <c r="S143" s="768" t="s">
        <v>491</v>
      </c>
      <c r="T143" s="768" t="s">
        <v>491</v>
      </c>
      <c r="U143" s="768" t="s">
        <v>491</v>
      </c>
      <c r="V143" s="768" t="s">
        <v>491</v>
      </c>
      <c r="W143" s="768"/>
      <c r="X143" s="768"/>
      <c r="Y143" s="768" t="s">
        <v>491</v>
      </c>
      <c r="Z143" s="768" t="s">
        <v>491</v>
      </c>
      <c r="AA143" s="768" t="s">
        <v>491</v>
      </c>
      <c r="AB143" s="768" t="s">
        <v>491</v>
      </c>
      <c r="AC143" s="768" t="s">
        <v>491</v>
      </c>
      <c r="AD143" s="768"/>
      <c r="AE143" s="768"/>
      <c r="AF143" s="768" t="s">
        <v>491</v>
      </c>
      <c r="AG143" s="768" t="s">
        <v>491</v>
      </c>
      <c r="AH143" s="924">
        <v>103</v>
      </c>
      <c r="AI143" s="925">
        <v>37</v>
      </c>
    </row>
    <row r="144" spans="1:35" ht="21.95" customHeight="1" thickBot="1">
      <c r="A144" s="576"/>
      <c r="B144" s="889" t="s">
        <v>637</v>
      </c>
      <c r="C144" s="867"/>
      <c r="D144" s="768" t="s">
        <v>491</v>
      </c>
      <c r="E144" s="768" t="s">
        <v>491</v>
      </c>
      <c r="F144" s="768" t="s">
        <v>491</v>
      </c>
      <c r="G144" s="768" t="s">
        <v>491</v>
      </c>
      <c r="H144" s="768" t="s">
        <v>491</v>
      </c>
      <c r="I144" s="768"/>
      <c r="J144" s="768"/>
      <c r="K144" s="768" t="s">
        <v>491</v>
      </c>
      <c r="L144" s="768" t="s">
        <v>491</v>
      </c>
      <c r="M144" s="768" t="s">
        <v>491</v>
      </c>
      <c r="N144" s="768" t="s">
        <v>491</v>
      </c>
      <c r="O144" s="768" t="s">
        <v>491</v>
      </c>
      <c r="P144" s="768"/>
      <c r="Q144" s="768"/>
      <c r="R144" s="970" t="s">
        <v>491</v>
      </c>
      <c r="S144" s="970" t="s">
        <v>491</v>
      </c>
      <c r="T144" s="970" t="s">
        <v>491</v>
      </c>
      <c r="U144" s="970" t="s">
        <v>491</v>
      </c>
      <c r="V144" s="970" t="s">
        <v>491</v>
      </c>
      <c r="W144" s="970"/>
      <c r="X144" s="970"/>
      <c r="Y144" s="768" t="s">
        <v>491</v>
      </c>
      <c r="Z144" s="768" t="s">
        <v>491</v>
      </c>
      <c r="AA144" s="768" t="s">
        <v>491</v>
      </c>
      <c r="AB144" s="768" t="s">
        <v>491</v>
      </c>
      <c r="AC144" s="768" t="s">
        <v>491</v>
      </c>
      <c r="AD144" s="768"/>
      <c r="AE144" s="768"/>
      <c r="AF144" s="768" t="s">
        <v>491</v>
      </c>
      <c r="AG144" s="768" t="s">
        <v>491</v>
      </c>
      <c r="AH144" s="868">
        <v>30</v>
      </c>
      <c r="AI144" s="869">
        <v>37</v>
      </c>
    </row>
    <row r="145" spans="1:36" ht="21.95" customHeight="1">
      <c r="A145" s="576"/>
      <c r="B145" s="847"/>
      <c r="C145" s="555"/>
      <c r="D145" s="555"/>
      <c r="E145" s="555"/>
      <c r="F145" s="555"/>
      <c r="G145" s="555"/>
      <c r="H145" s="555"/>
      <c r="I145" s="555"/>
      <c r="J145" s="555"/>
      <c r="K145" s="555"/>
      <c r="L145" s="555"/>
      <c r="M145" s="555"/>
      <c r="N145" s="555"/>
      <c r="O145" s="555"/>
      <c r="P145" s="555"/>
      <c r="Q145" s="555"/>
      <c r="R145" s="555"/>
      <c r="S145" s="555"/>
      <c r="T145" s="555"/>
      <c r="U145" s="555"/>
      <c r="V145" s="555"/>
      <c r="W145" s="555"/>
      <c r="X145" s="555"/>
      <c r="Y145" s="555"/>
      <c r="Z145" s="555"/>
      <c r="AA145" s="555"/>
      <c r="AB145" s="555"/>
      <c r="AC145" s="555"/>
      <c r="AD145" s="555"/>
      <c r="AE145" s="555"/>
      <c r="AF145" s="555"/>
      <c r="AG145" s="555"/>
      <c r="AH145" s="556"/>
      <c r="AI145" s="556"/>
    </row>
    <row r="146" spans="1:36" ht="21.95" customHeight="1" thickBot="1">
      <c r="A146" s="805" t="s">
        <v>639</v>
      </c>
      <c r="B146" s="538"/>
      <c r="C146" s="555"/>
      <c r="D146" s="538"/>
      <c r="E146" s="538"/>
      <c r="F146" s="538"/>
      <c r="G146" s="538"/>
      <c r="H146" s="538"/>
      <c r="I146" s="555"/>
      <c r="J146" s="555"/>
      <c r="K146" s="538"/>
      <c r="L146" s="538"/>
      <c r="M146" s="538"/>
      <c r="N146" s="538"/>
      <c r="O146" s="538"/>
      <c r="P146" s="538"/>
      <c r="Q146" s="555"/>
      <c r="R146" s="538"/>
      <c r="S146" s="538"/>
      <c r="T146" s="538"/>
      <c r="U146" s="538"/>
      <c r="V146" s="538"/>
      <c r="W146" s="555"/>
      <c r="X146" s="555"/>
      <c r="Y146" s="538"/>
      <c r="Z146" s="538"/>
      <c r="AA146" s="538"/>
      <c r="AB146" s="538"/>
      <c r="AC146" s="538"/>
      <c r="AD146" s="538"/>
      <c r="AE146" s="555"/>
      <c r="AF146" s="538"/>
      <c r="AG146" s="538"/>
      <c r="AH146" s="556"/>
      <c r="AI146" s="556"/>
    </row>
    <row r="147" spans="1:36" ht="21.95" customHeight="1">
      <c r="A147" s="576"/>
      <c r="B147" s="806" t="s">
        <v>589</v>
      </c>
      <c r="C147" s="814"/>
      <c r="D147" s="807" t="s">
        <v>2</v>
      </c>
      <c r="E147" s="808"/>
      <c r="F147" s="809"/>
      <c r="G147" s="810"/>
      <c r="H147" s="807" t="s">
        <v>3</v>
      </c>
      <c r="I147" s="808"/>
      <c r="J147" s="809"/>
      <c r="K147" s="810"/>
      <c r="L147" s="807" t="s">
        <v>4</v>
      </c>
      <c r="M147" s="808"/>
      <c r="N147" s="809"/>
      <c r="O147" s="810"/>
      <c r="P147" s="807" t="s">
        <v>5</v>
      </c>
      <c r="Q147" s="808"/>
      <c r="R147" s="809"/>
      <c r="S147" s="810"/>
      <c r="T147" s="807" t="s">
        <v>6</v>
      </c>
      <c r="U147" s="808"/>
      <c r="V147" s="809"/>
      <c r="W147" s="810"/>
      <c r="X147" s="807" t="s">
        <v>7</v>
      </c>
      <c r="Y147" s="808"/>
      <c r="Z147" s="809"/>
      <c r="AA147" s="810"/>
      <c r="AB147" s="807" t="s">
        <v>8</v>
      </c>
      <c r="AC147" s="808"/>
      <c r="AD147" s="808"/>
      <c r="AE147" s="811" t="s">
        <v>10</v>
      </c>
      <c r="AF147" s="808"/>
      <c r="AG147" s="808"/>
      <c r="AH147" s="808"/>
      <c r="AI147" s="812"/>
    </row>
    <row r="148" spans="1:36" ht="21.95" customHeight="1">
      <c r="A148" s="576"/>
      <c r="B148" s="832"/>
      <c r="C148" s="815"/>
      <c r="D148" s="831"/>
      <c r="E148" s="816"/>
      <c r="F148" s="813"/>
      <c r="G148" s="815"/>
      <c r="H148" s="831"/>
      <c r="I148" s="816"/>
      <c r="J148" s="813"/>
      <c r="K148" s="815"/>
      <c r="L148" s="831"/>
      <c r="M148" s="816"/>
      <c r="N148" s="813"/>
      <c r="O148" s="815"/>
      <c r="P148" s="831"/>
      <c r="Q148" s="816"/>
      <c r="R148" s="813"/>
      <c r="S148" s="815"/>
      <c r="T148" s="831"/>
      <c r="U148" s="816"/>
      <c r="V148" s="813"/>
      <c r="W148" s="815"/>
      <c r="X148" s="816"/>
      <c r="Y148" s="816"/>
      <c r="Z148" s="813"/>
      <c r="AA148" s="815"/>
      <c r="AB148" s="816"/>
      <c r="AC148" s="816"/>
      <c r="AD148" s="816"/>
      <c r="AE148" s="815"/>
      <c r="AF148" s="816"/>
      <c r="AG148" s="816"/>
      <c r="AH148" s="818"/>
      <c r="AI148" s="819"/>
    </row>
    <row r="149" spans="1:36" ht="21.95" customHeight="1">
      <c r="A149" s="576"/>
      <c r="B149" s="833"/>
      <c r="C149" s="815"/>
      <c r="D149" s="831"/>
      <c r="E149" s="816"/>
      <c r="F149" s="813"/>
      <c r="G149" s="815"/>
      <c r="H149" s="831"/>
      <c r="I149" s="816"/>
      <c r="J149" s="813"/>
      <c r="K149" s="815"/>
      <c r="L149" s="831"/>
      <c r="M149" s="816"/>
      <c r="N149" s="813"/>
      <c r="O149" s="815"/>
      <c r="P149" s="831"/>
      <c r="Q149" s="816"/>
      <c r="R149" s="813"/>
      <c r="S149" s="815"/>
      <c r="T149" s="831"/>
      <c r="U149" s="816"/>
      <c r="V149" s="813"/>
      <c r="W149" s="815"/>
      <c r="X149" s="816"/>
      <c r="Y149" s="816"/>
      <c r="Z149" s="813"/>
      <c r="AA149" s="815"/>
      <c r="AB149" s="816"/>
      <c r="AC149" s="816"/>
      <c r="AD149" s="816"/>
      <c r="AE149" s="815"/>
      <c r="AF149" s="816"/>
      <c r="AG149" s="816"/>
      <c r="AH149" s="818"/>
      <c r="AI149" s="819"/>
    </row>
    <row r="150" spans="1:36" ht="21.95" customHeight="1">
      <c r="A150" s="576"/>
      <c r="B150" s="833"/>
      <c r="C150" s="815"/>
      <c r="D150" s="831"/>
      <c r="E150" s="816"/>
      <c r="F150" s="813"/>
      <c r="G150" s="815"/>
      <c r="H150" s="831"/>
      <c r="I150" s="816"/>
      <c r="J150" s="813"/>
      <c r="K150" s="815"/>
      <c r="L150" s="831"/>
      <c r="M150" s="816"/>
      <c r="N150" s="813"/>
      <c r="O150" s="815"/>
      <c r="P150" s="831"/>
      <c r="Q150" s="816"/>
      <c r="R150" s="813"/>
      <c r="S150" s="815"/>
      <c r="T150" s="831"/>
      <c r="U150" s="816"/>
      <c r="V150" s="813"/>
      <c r="W150" s="815"/>
      <c r="X150" s="816"/>
      <c r="Y150" s="816"/>
      <c r="Z150" s="813"/>
      <c r="AA150" s="815"/>
      <c r="AB150" s="816"/>
      <c r="AC150" s="816"/>
      <c r="AD150" s="816"/>
      <c r="AE150" s="815"/>
      <c r="AF150" s="816"/>
      <c r="AG150" s="816"/>
      <c r="AH150" s="818"/>
      <c r="AI150" s="819"/>
    </row>
    <row r="151" spans="1:36" ht="21.95" customHeight="1" thickBot="1">
      <c r="A151" s="576"/>
      <c r="B151" s="847"/>
      <c r="C151" s="555"/>
      <c r="D151" s="555"/>
      <c r="E151" s="555"/>
      <c r="F151" s="555"/>
      <c r="G151" s="555"/>
      <c r="H151" s="555"/>
      <c r="I151" s="555"/>
      <c r="J151" s="555"/>
      <c r="K151" s="555"/>
      <c r="L151" s="555"/>
      <c r="M151" s="555"/>
      <c r="N151" s="555"/>
      <c r="O151" s="555"/>
      <c r="P151" s="555"/>
      <c r="Q151" s="555"/>
      <c r="R151" s="555"/>
      <c r="S151" s="555"/>
      <c r="T151" s="555"/>
      <c r="U151" s="555"/>
      <c r="V151" s="555"/>
      <c r="W151" s="555"/>
      <c r="X151" s="555"/>
      <c r="Y151" s="555"/>
      <c r="Z151" s="555"/>
      <c r="AA151" s="555"/>
      <c r="AB151" s="555"/>
      <c r="AC151" s="555"/>
      <c r="AD151" s="555"/>
      <c r="AE151" s="555"/>
      <c r="AF151" s="555"/>
      <c r="AG151" s="555"/>
      <c r="AH151" s="556"/>
      <c r="AI151" s="556"/>
    </row>
    <row r="152" spans="1:36" ht="21.95" customHeight="1" thickBot="1">
      <c r="A152" s="785"/>
      <c r="B152" s="883" t="s">
        <v>476</v>
      </c>
      <c r="C152" s="944">
        <v>1</v>
      </c>
      <c r="D152" s="863">
        <v>2</v>
      </c>
      <c r="E152" s="863">
        <v>3</v>
      </c>
      <c r="F152" s="863">
        <v>4</v>
      </c>
      <c r="G152" s="863">
        <v>5</v>
      </c>
      <c r="H152" s="863">
        <v>6</v>
      </c>
      <c r="I152" s="880">
        <v>7</v>
      </c>
      <c r="J152" s="880">
        <v>8</v>
      </c>
      <c r="K152" s="863">
        <v>9</v>
      </c>
      <c r="L152" s="863">
        <v>10</v>
      </c>
      <c r="M152" s="863">
        <v>11</v>
      </c>
      <c r="N152" s="863">
        <v>12</v>
      </c>
      <c r="O152" s="863">
        <v>13</v>
      </c>
      <c r="P152" s="880">
        <v>14</v>
      </c>
      <c r="Q152" s="880">
        <v>15</v>
      </c>
      <c r="R152" s="863">
        <v>16</v>
      </c>
      <c r="S152" s="863">
        <v>17</v>
      </c>
      <c r="T152" s="863">
        <v>18</v>
      </c>
      <c r="U152" s="863">
        <v>19</v>
      </c>
      <c r="V152" s="863">
        <v>20</v>
      </c>
      <c r="W152" s="880">
        <v>21</v>
      </c>
      <c r="X152" s="880">
        <v>22</v>
      </c>
      <c r="Y152" s="863">
        <v>23</v>
      </c>
      <c r="Z152" s="863">
        <v>24</v>
      </c>
      <c r="AA152" s="863">
        <v>25</v>
      </c>
      <c r="AB152" s="863">
        <v>26</v>
      </c>
      <c r="AC152" s="863">
        <v>27</v>
      </c>
      <c r="AD152" s="880">
        <v>28</v>
      </c>
      <c r="AE152" s="880">
        <v>29</v>
      </c>
      <c r="AF152" s="863">
        <v>30</v>
      </c>
      <c r="AG152" s="945">
        <v>31</v>
      </c>
      <c r="AH152" s="884" t="s">
        <v>477</v>
      </c>
      <c r="AI152" s="885" t="s">
        <v>478</v>
      </c>
    </row>
    <row r="153" spans="1:36" ht="21.95" customHeight="1">
      <c r="A153" s="576"/>
      <c r="B153" s="890"/>
      <c r="C153" s="768"/>
      <c r="D153" s="768" t="s">
        <v>491</v>
      </c>
      <c r="E153" s="768" t="s">
        <v>491</v>
      </c>
      <c r="F153" s="768" t="s">
        <v>491</v>
      </c>
      <c r="G153" s="768" t="s">
        <v>491</v>
      </c>
      <c r="H153" s="768" t="s">
        <v>491</v>
      </c>
      <c r="I153" s="768"/>
      <c r="J153" s="768"/>
      <c r="K153" s="768" t="s">
        <v>491</v>
      </c>
      <c r="L153" s="768" t="s">
        <v>491</v>
      </c>
      <c r="M153" s="768" t="s">
        <v>491</v>
      </c>
      <c r="N153" s="768" t="s">
        <v>491</v>
      </c>
      <c r="O153" s="768" t="s">
        <v>491</v>
      </c>
      <c r="P153" s="768"/>
      <c r="Q153" s="768"/>
      <c r="R153" s="768" t="s">
        <v>491</v>
      </c>
      <c r="S153" s="768" t="s">
        <v>491</v>
      </c>
      <c r="T153" s="768" t="s">
        <v>491</v>
      </c>
      <c r="U153" s="768" t="s">
        <v>491</v>
      </c>
      <c r="V153" s="768" t="s">
        <v>491</v>
      </c>
      <c r="W153" s="768"/>
      <c r="X153" s="768"/>
      <c r="Y153" s="768" t="s">
        <v>491</v>
      </c>
      <c r="Z153" s="768" t="s">
        <v>491</v>
      </c>
      <c r="AA153" s="768" t="s">
        <v>491</v>
      </c>
      <c r="AB153" s="768" t="s">
        <v>491</v>
      </c>
      <c r="AC153" s="768" t="s">
        <v>491</v>
      </c>
      <c r="AD153" s="768"/>
      <c r="AE153" s="768"/>
      <c r="AF153" s="768" t="s">
        <v>491</v>
      </c>
      <c r="AG153" s="768" t="s">
        <v>491</v>
      </c>
      <c r="AH153" s="510">
        <v>185</v>
      </c>
      <c r="AI153" s="511">
        <v>37</v>
      </c>
    </row>
    <row r="154" spans="1:36" ht="21.95" customHeight="1" thickBot="1">
      <c r="A154" s="576"/>
      <c r="B154" s="859" t="s">
        <v>742</v>
      </c>
      <c r="C154" s="768"/>
      <c r="D154" s="1144" t="s">
        <v>491</v>
      </c>
      <c r="E154" s="1144" t="s">
        <v>491</v>
      </c>
      <c r="F154" s="1144" t="s">
        <v>491</v>
      </c>
      <c r="G154" s="1144" t="s">
        <v>491</v>
      </c>
      <c r="H154" s="1144" t="s">
        <v>491</v>
      </c>
      <c r="I154" s="1144"/>
      <c r="J154" s="1144"/>
      <c r="K154" s="1008" t="s">
        <v>485</v>
      </c>
      <c r="L154" s="1131" t="s">
        <v>491</v>
      </c>
      <c r="M154" s="1131" t="s">
        <v>491</v>
      </c>
      <c r="N154" s="1131" t="s">
        <v>491</v>
      </c>
      <c r="O154" s="1131" t="s">
        <v>491</v>
      </c>
      <c r="P154" s="768"/>
      <c r="Q154" s="768"/>
      <c r="R154" s="1008" t="s">
        <v>485</v>
      </c>
      <c r="S154" s="1131" t="s">
        <v>491</v>
      </c>
      <c r="T154" s="1131" t="s">
        <v>491</v>
      </c>
      <c r="U154" s="1131" t="s">
        <v>491</v>
      </c>
      <c r="V154" s="1131" t="s">
        <v>491</v>
      </c>
      <c r="W154" s="768"/>
      <c r="X154" s="768"/>
      <c r="Y154" s="1008" t="s">
        <v>485</v>
      </c>
      <c r="Z154" s="1131" t="s">
        <v>491</v>
      </c>
      <c r="AA154" s="1131" t="s">
        <v>491</v>
      </c>
      <c r="AB154" s="1131" t="s">
        <v>491</v>
      </c>
      <c r="AC154" s="1131" t="s">
        <v>491</v>
      </c>
      <c r="AD154" s="768"/>
      <c r="AE154" s="768"/>
      <c r="AF154" s="768" t="s">
        <v>491</v>
      </c>
      <c r="AG154" s="768" t="s">
        <v>491</v>
      </c>
      <c r="AH154" s="924">
        <v>185</v>
      </c>
      <c r="AI154" s="925">
        <v>37</v>
      </c>
    </row>
    <row r="155" spans="1:36" ht="21.95" customHeight="1">
      <c r="A155" s="576"/>
      <c r="B155" s="821" t="s">
        <v>641</v>
      </c>
      <c r="C155" s="768"/>
      <c r="D155" s="768" t="s">
        <v>491</v>
      </c>
      <c r="E155" s="768" t="s">
        <v>491</v>
      </c>
      <c r="F155" s="768" t="s">
        <v>491</v>
      </c>
      <c r="G155" s="768" t="s">
        <v>491</v>
      </c>
      <c r="H155" s="768" t="s">
        <v>491</v>
      </c>
      <c r="I155" s="768"/>
      <c r="J155" s="768"/>
      <c r="K155" s="768" t="s">
        <v>491</v>
      </c>
      <c r="L155" s="768" t="s">
        <v>491</v>
      </c>
      <c r="M155" s="768" t="s">
        <v>491</v>
      </c>
      <c r="N155" s="980" t="s">
        <v>491</v>
      </c>
      <c r="O155" s="980" t="s">
        <v>491</v>
      </c>
      <c r="P155" s="768"/>
      <c r="Q155" s="768"/>
      <c r="R155" s="980" t="s">
        <v>491</v>
      </c>
      <c r="S155" s="980" t="s">
        <v>491</v>
      </c>
      <c r="T155" s="980" t="s">
        <v>491</v>
      </c>
      <c r="U155" s="970" t="s">
        <v>491</v>
      </c>
      <c r="V155" s="768" t="s">
        <v>491</v>
      </c>
      <c r="W155" s="768"/>
      <c r="X155" s="768"/>
      <c r="Y155" s="768" t="s">
        <v>491</v>
      </c>
      <c r="Z155" s="768" t="s">
        <v>491</v>
      </c>
      <c r="AA155" s="768" t="s">
        <v>491</v>
      </c>
      <c r="AB155" s="768" t="s">
        <v>491</v>
      </c>
      <c r="AC155" s="768" t="s">
        <v>491</v>
      </c>
      <c r="AD155" s="768"/>
      <c r="AE155" s="768"/>
      <c r="AF155" s="768" t="s">
        <v>491</v>
      </c>
      <c r="AG155" s="768" t="s">
        <v>491</v>
      </c>
      <c r="AH155" s="924">
        <v>67</v>
      </c>
      <c r="AI155" s="925">
        <v>0</v>
      </c>
    </row>
    <row r="156" spans="1:36" ht="21.95" customHeight="1">
      <c r="A156" s="576"/>
      <c r="B156" s="821" t="s">
        <v>642</v>
      </c>
      <c r="C156" s="768"/>
      <c r="D156" s="768" t="s">
        <v>491</v>
      </c>
      <c r="E156" s="768" t="s">
        <v>491</v>
      </c>
      <c r="F156" s="768" t="s">
        <v>491</v>
      </c>
      <c r="G156" s="768" t="s">
        <v>491</v>
      </c>
      <c r="H156" s="768" t="s">
        <v>491</v>
      </c>
      <c r="I156" s="768"/>
      <c r="J156" s="768"/>
      <c r="K156" s="768" t="s">
        <v>491</v>
      </c>
      <c r="L156" s="768" t="s">
        <v>491</v>
      </c>
      <c r="M156" s="768" t="s">
        <v>491</v>
      </c>
      <c r="N156" s="768" t="s">
        <v>491</v>
      </c>
      <c r="O156" s="768" t="s">
        <v>491</v>
      </c>
      <c r="P156" s="768"/>
      <c r="Q156" s="768"/>
      <c r="R156" s="768" t="s">
        <v>491</v>
      </c>
      <c r="S156" s="768" t="s">
        <v>491</v>
      </c>
      <c r="T156" s="768" t="s">
        <v>491</v>
      </c>
      <c r="U156" s="768" t="s">
        <v>491</v>
      </c>
      <c r="V156" s="768" t="s">
        <v>491</v>
      </c>
      <c r="W156" s="768"/>
      <c r="X156" s="768"/>
      <c r="Y156" s="768" t="s">
        <v>491</v>
      </c>
      <c r="Z156" s="768" t="s">
        <v>491</v>
      </c>
      <c r="AA156" s="768" t="s">
        <v>491</v>
      </c>
      <c r="AB156" s="768" t="s">
        <v>491</v>
      </c>
      <c r="AC156" s="768" t="s">
        <v>491</v>
      </c>
      <c r="AD156" s="768"/>
      <c r="AE156" s="768"/>
      <c r="AF156" s="768" t="s">
        <v>491</v>
      </c>
      <c r="AG156" s="768" t="s">
        <v>491</v>
      </c>
      <c r="AH156" s="924">
        <v>36.5</v>
      </c>
      <c r="AI156" s="925">
        <v>37</v>
      </c>
    </row>
    <row r="157" spans="1:36" ht="21.95" customHeight="1">
      <c r="A157" s="576"/>
      <c r="B157" s="821" t="s">
        <v>643</v>
      </c>
      <c r="C157" s="768"/>
      <c r="D157" s="768" t="s">
        <v>491</v>
      </c>
      <c r="E157" s="768" t="s">
        <v>491</v>
      </c>
      <c r="F157" s="768" t="s">
        <v>491</v>
      </c>
      <c r="G157" s="768" t="s">
        <v>491</v>
      </c>
      <c r="H157" s="768" t="s">
        <v>491</v>
      </c>
      <c r="I157" s="768"/>
      <c r="J157" s="768"/>
      <c r="K157" s="768" t="s">
        <v>491</v>
      </c>
      <c r="L157" s="768" t="s">
        <v>491</v>
      </c>
      <c r="M157" s="768" t="s">
        <v>491</v>
      </c>
      <c r="N157" s="768" t="s">
        <v>491</v>
      </c>
      <c r="O157" s="768" t="s">
        <v>491</v>
      </c>
      <c r="P157" s="768"/>
      <c r="Q157" s="768"/>
      <c r="R157" s="768" t="s">
        <v>491</v>
      </c>
      <c r="S157" s="768" t="s">
        <v>491</v>
      </c>
      <c r="T157" s="768" t="s">
        <v>491</v>
      </c>
      <c r="U157" s="768" t="s">
        <v>491</v>
      </c>
      <c r="V157" s="768" t="s">
        <v>491</v>
      </c>
      <c r="W157" s="768"/>
      <c r="X157" s="768"/>
      <c r="Y157" s="768" t="s">
        <v>491</v>
      </c>
      <c r="Z157" s="768" t="s">
        <v>491</v>
      </c>
      <c r="AA157" s="768" t="s">
        <v>491</v>
      </c>
      <c r="AB157" s="768" t="s">
        <v>491</v>
      </c>
      <c r="AC157" s="768" t="s">
        <v>491</v>
      </c>
      <c r="AD157" s="768"/>
      <c r="AE157" s="768"/>
      <c r="AF157" s="970" t="s">
        <v>491</v>
      </c>
      <c r="AG157" s="970" t="s">
        <v>491</v>
      </c>
      <c r="AH157" s="924">
        <v>22</v>
      </c>
      <c r="AI157" s="925">
        <v>37</v>
      </c>
    </row>
    <row r="158" spans="1:36" ht="21.95" customHeight="1" thickBot="1">
      <c r="A158" s="576"/>
      <c r="B158" s="891"/>
      <c r="C158" s="867"/>
      <c r="D158" s="867"/>
      <c r="E158" s="867"/>
      <c r="F158" s="867"/>
      <c r="G158" s="867"/>
      <c r="H158" s="867"/>
      <c r="I158" s="867"/>
      <c r="J158" s="867"/>
      <c r="K158" s="867"/>
      <c r="L158" s="867"/>
      <c r="M158" s="867"/>
      <c r="N158" s="867"/>
      <c r="O158" s="867"/>
      <c r="P158" s="867"/>
      <c r="Q158" s="867"/>
      <c r="R158" s="867"/>
      <c r="S158" s="867"/>
      <c r="T158" s="867"/>
      <c r="U158" s="867"/>
      <c r="V158" s="867"/>
      <c r="W158" s="867"/>
      <c r="X158" s="867"/>
      <c r="Y158" s="867"/>
      <c r="Z158" s="867"/>
      <c r="AA158" s="867"/>
      <c r="AB158" s="867"/>
      <c r="AC158" s="867"/>
      <c r="AD158" s="867"/>
      <c r="AE158" s="867"/>
      <c r="AF158" s="867"/>
      <c r="AG158" s="887"/>
      <c r="AH158" s="868">
        <v>185</v>
      </c>
      <c r="AI158" s="869">
        <v>37</v>
      </c>
    </row>
    <row r="159" spans="1:36" ht="21.95" customHeight="1">
      <c r="A159" s="576"/>
      <c r="B159" s="847"/>
      <c r="C159" s="555"/>
      <c r="D159" s="555"/>
      <c r="E159" s="555"/>
      <c r="F159" s="555"/>
      <c r="G159" s="555"/>
      <c r="H159" s="555"/>
      <c r="I159" s="555"/>
      <c r="J159" s="555"/>
      <c r="K159" s="555"/>
      <c r="L159" s="555"/>
      <c r="M159" s="555"/>
      <c r="N159" s="555"/>
      <c r="O159" s="555"/>
      <c r="P159" s="555"/>
      <c r="Q159" s="555"/>
      <c r="R159" s="555"/>
      <c r="S159" s="555"/>
      <c r="T159" s="555"/>
      <c r="U159" s="555"/>
      <c r="V159" s="555"/>
      <c r="W159" s="555"/>
      <c r="X159" s="555"/>
      <c r="Y159" s="555"/>
      <c r="Z159" s="555"/>
      <c r="AA159" s="555"/>
      <c r="AB159" s="555"/>
      <c r="AC159" s="555"/>
      <c r="AD159" s="555"/>
      <c r="AE159" s="555"/>
      <c r="AF159" s="555"/>
      <c r="AG159" s="555"/>
      <c r="AH159" s="556"/>
      <c r="AI159" s="556"/>
    </row>
    <row r="160" spans="1:36" ht="21.95" customHeight="1">
      <c r="A160" s="312" t="s">
        <v>644</v>
      </c>
      <c r="C160" s="555"/>
      <c r="D160" s="555"/>
      <c r="E160" s="555"/>
      <c r="F160" s="555"/>
      <c r="G160" s="555"/>
      <c r="H160" s="555"/>
      <c r="I160" s="555"/>
      <c r="J160" s="555"/>
      <c r="K160" s="555"/>
      <c r="L160" s="555"/>
      <c r="M160" s="555"/>
      <c r="N160" s="555"/>
      <c r="O160" s="555"/>
      <c r="P160" s="555"/>
      <c r="Q160" s="555"/>
      <c r="R160" s="555"/>
      <c r="S160" s="555"/>
      <c r="T160" s="555"/>
      <c r="U160" s="555"/>
      <c r="V160" s="555"/>
      <c r="W160" s="555"/>
      <c r="X160" s="555"/>
      <c r="Y160" s="555"/>
      <c r="Z160" s="555"/>
      <c r="AA160" s="555"/>
      <c r="AB160" s="555"/>
      <c r="AC160" s="555"/>
      <c r="AD160" s="555"/>
      <c r="AE160" s="555"/>
      <c r="AF160" s="555"/>
      <c r="AG160" s="555"/>
      <c r="AH160" s="556"/>
      <c r="AI160" s="556"/>
      <c r="AJ160" s="361"/>
    </row>
    <row r="161" spans="1:36" ht="21.95" customHeight="1">
      <c r="A161" s="299" t="s">
        <v>475</v>
      </c>
      <c r="B161" s="299"/>
      <c r="C161" s="153"/>
      <c r="D161" s="299" t="s">
        <v>2</v>
      </c>
      <c r="E161" s="186"/>
      <c r="F161" s="153"/>
      <c r="G161" s="299" t="s">
        <v>3</v>
      </c>
      <c r="H161" s="186"/>
      <c r="I161" s="153"/>
      <c r="J161" s="299" t="s">
        <v>4</v>
      </c>
      <c r="K161" s="186"/>
      <c r="L161" s="153"/>
      <c r="M161" s="299" t="s">
        <v>5</v>
      </c>
      <c r="N161" s="186"/>
      <c r="O161" s="153"/>
      <c r="P161" s="299" t="s">
        <v>6</v>
      </c>
      <c r="Q161" s="186"/>
      <c r="R161" s="134"/>
      <c r="S161" s="199" t="s">
        <v>7</v>
      </c>
      <c r="T161" s="186"/>
      <c r="U161" s="153"/>
      <c r="V161" s="299" t="s">
        <v>8</v>
      </c>
      <c r="W161" s="186"/>
      <c r="X161" s="585" t="s">
        <v>10</v>
      </c>
      <c r="Y161" s="186"/>
      <c r="Z161" s="186"/>
      <c r="AA161" s="561"/>
      <c r="AB161" s="483"/>
      <c r="AC161" s="483"/>
      <c r="AD161" s="483"/>
      <c r="AE161" s="483"/>
      <c r="AF161" s="483"/>
      <c r="AG161" s="484"/>
      <c r="AH161" s="361"/>
      <c r="AI161" s="361"/>
      <c r="AJ161" s="361"/>
    </row>
    <row r="162" spans="1:36" ht="21.95" customHeight="1">
      <c r="A162" s="130">
        <v>8517</v>
      </c>
      <c r="B162" s="500" t="s">
        <v>645</v>
      </c>
      <c r="C162" s="584" t="s">
        <v>124</v>
      </c>
      <c r="D162" s="581"/>
      <c r="E162" s="586"/>
      <c r="F162" s="584" t="s">
        <v>124</v>
      </c>
      <c r="G162" s="587"/>
      <c r="H162" s="586"/>
      <c r="I162" s="121" t="s">
        <v>124</v>
      </c>
      <c r="J162" s="565"/>
      <c r="K162" s="588"/>
      <c r="L162" s="121" t="s">
        <v>124</v>
      </c>
      <c r="M162" s="565"/>
      <c r="N162" s="588"/>
      <c r="O162" s="121" t="s">
        <v>125</v>
      </c>
      <c r="P162" s="565"/>
      <c r="Q162" s="477"/>
      <c r="R162" s="589" t="s">
        <v>28</v>
      </c>
      <c r="S162" s="565"/>
      <c r="T162" s="588"/>
      <c r="U162" s="565" t="s">
        <v>28</v>
      </c>
      <c r="V162" s="565"/>
      <c r="W162" s="477"/>
      <c r="X162" s="145" t="s">
        <v>28</v>
      </c>
      <c r="Y162" s="361"/>
      <c r="Z162" s="361"/>
      <c r="AA162" s="361"/>
      <c r="AB162" s="361"/>
      <c r="AC162" s="361"/>
      <c r="AD162" s="361"/>
      <c r="AE162" s="361"/>
      <c r="AF162" s="361"/>
      <c r="AG162" s="590"/>
      <c r="AH162" s="361"/>
      <c r="AI162" s="361"/>
      <c r="AJ162" s="361"/>
    </row>
    <row r="163" spans="1:36" ht="21.95" customHeight="1">
      <c r="A163" s="591">
        <v>8502</v>
      </c>
      <c r="B163" s="592" t="s">
        <v>646</v>
      </c>
      <c r="C163" s="121" t="s">
        <v>11</v>
      </c>
      <c r="D163" s="565"/>
      <c r="E163" s="477"/>
      <c r="F163" s="121" t="s">
        <v>11</v>
      </c>
      <c r="G163" s="565"/>
      <c r="H163" s="588"/>
      <c r="I163" s="121" t="s">
        <v>11</v>
      </c>
      <c r="J163" s="565"/>
      <c r="K163" s="588"/>
      <c r="L163" s="121" t="s">
        <v>11</v>
      </c>
      <c r="M163" s="565"/>
      <c r="N163" s="588"/>
      <c r="O163" s="121" t="s">
        <v>12</v>
      </c>
      <c r="P163" s="565"/>
      <c r="Q163" s="477"/>
      <c r="R163" s="593"/>
      <c r="S163" s="594"/>
      <c r="T163" s="588"/>
      <c r="U163" s="565"/>
      <c r="V163" s="565"/>
      <c r="W163" s="477"/>
      <c r="X163" s="476"/>
      <c r="Y163" s="483"/>
      <c r="Z163" s="483"/>
      <c r="AA163" s="483"/>
      <c r="AB163" s="483"/>
      <c r="AC163" s="483"/>
      <c r="AD163" s="483"/>
      <c r="AE163" s="483"/>
      <c r="AF163" s="483"/>
      <c r="AG163" s="484"/>
      <c r="AH163" s="361"/>
      <c r="AI163" s="361"/>
      <c r="AJ163" s="361"/>
    </row>
    <row r="164" spans="1:36" ht="21.95" customHeight="1" thickBot="1">
      <c r="A164" s="274"/>
      <c r="B164" s="516"/>
      <c r="C164" s="354"/>
      <c r="D164" s="354"/>
      <c r="E164" s="73"/>
      <c r="F164" s="354"/>
      <c r="G164" s="354"/>
      <c r="H164" s="73"/>
      <c r="I164" s="354"/>
      <c r="J164" s="354"/>
      <c r="K164" s="73"/>
      <c r="L164" s="354"/>
      <c r="M164" s="354"/>
      <c r="N164" s="73"/>
      <c r="O164" s="354"/>
      <c r="P164" s="354"/>
      <c r="Q164" s="73"/>
      <c r="R164" s="168"/>
      <c r="S164" s="354"/>
      <c r="T164" s="73"/>
      <c r="U164" s="354"/>
      <c r="V164" s="354"/>
      <c r="W164" s="73"/>
      <c r="X164" s="73"/>
      <c r="Y164" s="361"/>
      <c r="Z164" s="361"/>
      <c r="AA164" s="361"/>
      <c r="AB164" s="361"/>
      <c r="AC164" s="361"/>
      <c r="AD164" s="361"/>
      <c r="AE164" s="361"/>
      <c r="AF164" s="361"/>
      <c r="AG164" s="361"/>
      <c r="AH164" s="361"/>
      <c r="AI164" s="361"/>
    </row>
    <row r="165" spans="1:36" ht="21.95" customHeight="1" thickBot="1">
      <c r="A165" s="595"/>
      <c r="B165" s="862" t="s">
        <v>476</v>
      </c>
      <c r="C165" s="880">
        <v>1</v>
      </c>
      <c r="D165" s="863">
        <v>2</v>
      </c>
      <c r="E165" s="863">
        <v>3</v>
      </c>
      <c r="F165" s="863">
        <v>4</v>
      </c>
      <c r="G165" s="863">
        <v>5</v>
      </c>
      <c r="H165" s="863">
        <v>6</v>
      </c>
      <c r="I165" s="880">
        <v>7</v>
      </c>
      <c r="J165" s="880">
        <v>8</v>
      </c>
      <c r="K165" s="863">
        <v>9</v>
      </c>
      <c r="L165" s="863">
        <v>10</v>
      </c>
      <c r="M165" s="863">
        <v>11</v>
      </c>
      <c r="N165" s="863">
        <v>12</v>
      </c>
      <c r="O165" s="863">
        <v>13</v>
      </c>
      <c r="P165" s="880">
        <v>14</v>
      </c>
      <c r="Q165" s="880">
        <v>15</v>
      </c>
      <c r="R165" s="863">
        <v>16</v>
      </c>
      <c r="S165" s="863">
        <v>17</v>
      </c>
      <c r="T165" s="863">
        <v>18</v>
      </c>
      <c r="U165" s="863">
        <v>19</v>
      </c>
      <c r="V165" s="863">
        <v>20</v>
      </c>
      <c r="W165" s="880">
        <v>21</v>
      </c>
      <c r="X165" s="880">
        <v>22</v>
      </c>
      <c r="Y165" s="863">
        <v>23</v>
      </c>
      <c r="Z165" s="863">
        <v>24</v>
      </c>
      <c r="AA165" s="863">
        <v>25</v>
      </c>
      <c r="AB165" s="863">
        <v>26</v>
      </c>
      <c r="AC165" s="863">
        <v>27</v>
      </c>
      <c r="AD165" s="880">
        <v>28</v>
      </c>
      <c r="AE165" s="880">
        <v>29</v>
      </c>
      <c r="AF165" s="863">
        <v>30</v>
      </c>
      <c r="AG165" s="943">
        <v>31</v>
      </c>
      <c r="AH165" s="864" t="s">
        <v>477</v>
      </c>
      <c r="AI165" s="865" t="s">
        <v>478</v>
      </c>
    </row>
    <row r="166" spans="1:36" ht="21.95" customHeight="1">
      <c r="A166" s="596">
        <v>1</v>
      </c>
      <c r="B166" s="542" t="s">
        <v>516</v>
      </c>
      <c r="C166" s="768"/>
      <c r="D166" s="768" t="s">
        <v>491</v>
      </c>
      <c r="E166" s="768" t="s">
        <v>491</v>
      </c>
      <c r="F166" s="768" t="s">
        <v>491</v>
      </c>
      <c r="G166" s="768" t="s">
        <v>491</v>
      </c>
      <c r="H166" s="768" t="s">
        <v>491</v>
      </c>
      <c r="I166" s="768"/>
      <c r="J166" s="768"/>
      <c r="K166" s="768" t="s">
        <v>491</v>
      </c>
      <c r="L166" s="768" t="s">
        <v>491</v>
      </c>
      <c r="M166" s="768" t="s">
        <v>491</v>
      </c>
      <c r="N166" s="768" t="s">
        <v>491</v>
      </c>
      <c r="O166" s="768" t="s">
        <v>491</v>
      </c>
      <c r="P166" s="768"/>
      <c r="Q166" s="768"/>
      <c r="R166" s="768" t="s">
        <v>491</v>
      </c>
      <c r="S166" s="768" t="s">
        <v>491</v>
      </c>
      <c r="T166" s="768" t="s">
        <v>491</v>
      </c>
      <c r="U166" s="768" t="s">
        <v>491</v>
      </c>
      <c r="V166" s="768" t="s">
        <v>491</v>
      </c>
      <c r="W166" s="768"/>
      <c r="X166" s="768"/>
      <c r="Y166" s="768" t="s">
        <v>491</v>
      </c>
      <c r="Z166" s="768" t="s">
        <v>491</v>
      </c>
      <c r="AA166" s="768" t="s">
        <v>491</v>
      </c>
      <c r="AB166" s="768" t="s">
        <v>491</v>
      </c>
      <c r="AC166" s="768" t="s">
        <v>491</v>
      </c>
      <c r="AD166" s="768"/>
      <c r="AE166" s="768"/>
      <c r="AF166" s="768" t="s">
        <v>491</v>
      </c>
      <c r="AG166" s="768" t="s">
        <v>491</v>
      </c>
      <c r="AH166" s="892">
        <v>185</v>
      </c>
      <c r="AI166" s="893">
        <v>37</v>
      </c>
    </row>
    <row r="167" spans="1:36" ht="21.95" customHeight="1">
      <c r="A167" s="596">
        <v>2</v>
      </c>
      <c r="B167" s="153" t="s">
        <v>648</v>
      </c>
      <c r="C167" s="768"/>
      <c r="D167" s="768" t="s">
        <v>485</v>
      </c>
      <c r="E167" s="768" t="s">
        <v>485</v>
      </c>
      <c r="F167" s="768" t="s">
        <v>485</v>
      </c>
      <c r="G167" s="768" t="s">
        <v>485</v>
      </c>
      <c r="H167" s="768" t="s">
        <v>485</v>
      </c>
      <c r="I167" s="768"/>
      <c r="J167" s="768"/>
      <c r="K167" s="768" t="s">
        <v>585</v>
      </c>
      <c r="L167" s="768" t="s">
        <v>585</v>
      </c>
      <c r="M167" s="768" t="s">
        <v>585</v>
      </c>
      <c r="N167" s="768" t="s">
        <v>585</v>
      </c>
      <c r="O167" s="768" t="s">
        <v>585</v>
      </c>
      <c r="P167" s="768" t="s">
        <v>583</v>
      </c>
      <c r="Q167" s="768"/>
      <c r="R167" s="768" t="s">
        <v>481</v>
      </c>
      <c r="S167" s="768" t="s">
        <v>481</v>
      </c>
      <c r="T167" s="768" t="s">
        <v>481</v>
      </c>
      <c r="U167" s="768" t="s">
        <v>481</v>
      </c>
      <c r="V167" s="768" t="s">
        <v>481</v>
      </c>
      <c r="W167" s="768"/>
      <c r="X167" s="768" t="s">
        <v>515</v>
      </c>
      <c r="Y167" s="768" t="s">
        <v>585</v>
      </c>
      <c r="Z167" s="768" t="s">
        <v>585</v>
      </c>
      <c r="AA167" s="768" t="s">
        <v>585</v>
      </c>
      <c r="AB167" s="768" t="s">
        <v>585</v>
      </c>
      <c r="AC167" s="768" t="s">
        <v>485</v>
      </c>
      <c r="AD167" s="768"/>
      <c r="AE167" s="768"/>
      <c r="AF167" s="768">
        <v>4</v>
      </c>
      <c r="AG167" s="768">
        <v>4</v>
      </c>
      <c r="AH167" s="822">
        <v>0</v>
      </c>
      <c r="AI167" s="823">
        <v>37</v>
      </c>
    </row>
    <row r="168" spans="1:36" ht="21.95" customHeight="1" thickBot="1">
      <c r="A168" s="596">
        <v>3</v>
      </c>
      <c r="B168" s="601" t="s">
        <v>651</v>
      </c>
      <c r="C168" s="768"/>
      <c r="D168" s="867" t="s">
        <v>540</v>
      </c>
      <c r="E168" s="867" t="s">
        <v>540</v>
      </c>
      <c r="F168" s="867" t="s">
        <v>540</v>
      </c>
      <c r="G168" s="867" t="s">
        <v>540</v>
      </c>
      <c r="H168" s="867" t="s">
        <v>540</v>
      </c>
      <c r="I168" s="867"/>
      <c r="J168" s="867"/>
      <c r="K168" s="867" t="s">
        <v>540</v>
      </c>
      <c r="L168" s="867" t="s">
        <v>540</v>
      </c>
      <c r="M168" s="867" t="s">
        <v>540</v>
      </c>
      <c r="N168" s="867" t="s">
        <v>540</v>
      </c>
      <c r="O168" s="867" t="s">
        <v>540</v>
      </c>
      <c r="P168" s="867"/>
      <c r="Q168" s="867"/>
      <c r="R168" s="867" t="s">
        <v>540</v>
      </c>
      <c r="S168" s="867" t="s">
        <v>540</v>
      </c>
      <c r="T168" s="867" t="s">
        <v>540</v>
      </c>
      <c r="U168" s="867" t="s">
        <v>540</v>
      </c>
      <c r="V168" s="867" t="s">
        <v>540</v>
      </c>
      <c r="W168" s="867"/>
      <c r="X168" s="867"/>
      <c r="Y168" s="867" t="s">
        <v>540</v>
      </c>
      <c r="Z168" s="867" t="s">
        <v>540</v>
      </c>
      <c r="AA168" s="867" t="s">
        <v>540</v>
      </c>
      <c r="AB168" s="1205" t="s">
        <v>653</v>
      </c>
      <c r="AC168" s="867" t="s">
        <v>540</v>
      </c>
      <c r="AD168" s="867"/>
      <c r="AE168" s="867"/>
      <c r="AF168" s="867" t="s">
        <v>540</v>
      </c>
      <c r="AG168" s="867" t="s">
        <v>540</v>
      </c>
      <c r="AH168" s="822">
        <v>0</v>
      </c>
      <c r="AI168" s="823">
        <v>37</v>
      </c>
    </row>
    <row r="169" spans="1:36" ht="21.95" customHeight="1">
      <c r="A169" s="596">
        <v>4</v>
      </c>
      <c r="B169" s="319" t="s">
        <v>654</v>
      </c>
      <c r="C169" s="970"/>
      <c r="D169" s="970" t="s">
        <v>491</v>
      </c>
      <c r="E169" s="970" t="s">
        <v>491</v>
      </c>
      <c r="F169" s="970" t="s">
        <v>491</v>
      </c>
      <c r="G169" s="970" t="s">
        <v>491</v>
      </c>
      <c r="H169" s="970" t="s">
        <v>491</v>
      </c>
      <c r="I169" s="970"/>
      <c r="J169" s="970"/>
      <c r="K169" s="768" t="s">
        <v>553</v>
      </c>
      <c r="L169" s="768" t="s">
        <v>553</v>
      </c>
      <c r="M169" s="768" t="s">
        <v>553</v>
      </c>
      <c r="N169" s="768" t="s">
        <v>554</v>
      </c>
      <c r="O169" s="768" t="s">
        <v>554</v>
      </c>
      <c r="P169" s="768" t="s">
        <v>555</v>
      </c>
      <c r="Q169" s="768" t="s">
        <v>555</v>
      </c>
      <c r="R169" s="768" t="s">
        <v>481</v>
      </c>
      <c r="S169" s="768" t="s">
        <v>481</v>
      </c>
      <c r="T169" s="768" t="s">
        <v>481</v>
      </c>
      <c r="U169" s="1069" t="s">
        <v>481</v>
      </c>
      <c r="V169" s="1069" t="s">
        <v>481</v>
      </c>
      <c r="W169" s="768"/>
      <c r="X169" s="768"/>
      <c r="Y169" s="1044">
        <v>5</v>
      </c>
      <c r="Z169" s="768">
        <v>5</v>
      </c>
      <c r="AA169" s="1044">
        <v>5</v>
      </c>
      <c r="AB169" s="768">
        <v>5</v>
      </c>
      <c r="AC169" s="1044">
        <v>5</v>
      </c>
      <c r="AD169" s="768" t="s">
        <v>583</v>
      </c>
      <c r="AE169" s="768"/>
      <c r="AF169" s="977" t="s">
        <v>491</v>
      </c>
      <c r="AG169" s="977" t="s">
        <v>491</v>
      </c>
      <c r="AH169" s="822">
        <v>0</v>
      </c>
      <c r="AI169" s="823">
        <v>37</v>
      </c>
    </row>
    <row r="170" spans="1:36" ht="21.95" customHeight="1">
      <c r="A170" s="596">
        <v>5</v>
      </c>
      <c r="B170" s="153" t="s">
        <v>655</v>
      </c>
      <c r="C170" s="768" t="s">
        <v>513</v>
      </c>
      <c r="D170" s="768" t="s">
        <v>481</v>
      </c>
      <c r="E170" s="768" t="s">
        <v>481</v>
      </c>
      <c r="F170" s="768" t="s">
        <v>481</v>
      </c>
      <c r="G170" s="768" t="s">
        <v>481</v>
      </c>
      <c r="H170" s="768" t="s">
        <v>481</v>
      </c>
      <c r="I170" s="768"/>
      <c r="J170" s="768"/>
      <c r="K170" s="768" t="s">
        <v>606</v>
      </c>
      <c r="L170" s="768" t="s">
        <v>606</v>
      </c>
      <c r="M170" s="768" t="s">
        <v>606</v>
      </c>
      <c r="N170" s="768" t="s">
        <v>606</v>
      </c>
      <c r="O170" s="768" t="s">
        <v>606</v>
      </c>
      <c r="P170" s="768"/>
      <c r="Q170" s="768"/>
      <c r="R170" s="1044" t="s">
        <v>554</v>
      </c>
      <c r="S170" s="768" t="s">
        <v>553</v>
      </c>
      <c r="T170" s="768" t="s">
        <v>553</v>
      </c>
      <c r="U170" s="768" t="s">
        <v>554</v>
      </c>
      <c r="V170" s="768" t="s">
        <v>554</v>
      </c>
      <c r="W170" s="768" t="s">
        <v>514</v>
      </c>
      <c r="X170" s="768" t="s">
        <v>514</v>
      </c>
      <c r="Y170" s="1044" t="s">
        <v>553</v>
      </c>
      <c r="Z170" s="768" t="s">
        <v>481</v>
      </c>
      <c r="AA170" s="1044" t="s">
        <v>481</v>
      </c>
      <c r="AB170" s="1044" t="s">
        <v>481</v>
      </c>
      <c r="AC170" s="1044" t="s">
        <v>481</v>
      </c>
      <c r="AD170" s="768"/>
      <c r="AE170" s="768"/>
      <c r="AF170" s="768" t="s">
        <v>607</v>
      </c>
      <c r="AG170" s="768" t="s">
        <v>607</v>
      </c>
      <c r="AH170" s="824">
        <v>0</v>
      </c>
      <c r="AI170" s="825">
        <v>37</v>
      </c>
    </row>
    <row r="171" spans="1:36" ht="21.95" customHeight="1">
      <c r="A171" s="596">
        <v>6</v>
      </c>
      <c r="B171" s="793" t="s">
        <v>656</v>
      </c>
      <c r="C171" s="768"/>
      <c r="D171" s="768">
        <v>11</v>
      </c>
      <c r="E171" s="768">
        <v>11</v>
      </c>
      <c r="F171" s="768">
        <v>11</v>
      </c>
      <c r="G171" s="768">
        <v>11</v>
      </c>
      <c r="H171" s="768" t="s">
        <v>481</v>
      </c>
      <c r="I171" s="768"/>
      <c r="J171" s="768"/>
      <c r="K171" s="768">
        <v>1</v>
      </c>
      <c r="L171" s="768">
        <v>1</v>
      </c>
      <c r="M171" s="768">
        <v>1</v>
      </c>
      <c r="N171" s="768">
        <v>1</v>
      </c>
      <c r="O171" s="768">
        <v>1</v>
      </c>
      <c r="P171" s="768"/>
      <c r="Q171" s="768"/>
      <c r="R171" s="1062" t="s">
        <v>554</v>
      </c>
      <c r="S171" s="768" t="s">
        <v>554</v>
      </c>
      <c r="T171" s="977" t="s">
        <v>485</v>
      </c>
      <c r="U171" s="768" t="s">
        <v>553</v>
      </c>
      <c r="V171" s="977" t="s">
        <v>485</v>
      </c>
      <c r="W171" s="768"/>
      <c r="X171" s="768"/>
      <c r="Y171" s="768">
        <v>4</v>
      </c>
      <c r="Z171" s="768">
        <v>4</v>
      </c>
      <c r="AA171" s="768">
        <v>4</v>
      </c>
      <c r="AB171" s="768">
        <v>4</v>
      </c>
      <c r="AC171" s="768">
        <v>4</v>
      </c>
      <c r="AD171" s="768"/>
      <c r="AE171" s="768"/>
      <c r="AF171" s="768">
        <v>8</v>
      </c>
      <c r="AG171" s="768" t="s">
        <v>539</v>
      </c>
      <c r="AH171" s="826">
        <v>0</v>
      </c>
      <c r="AI171" s="827">
        <v>0</v>
      </c>
    </row>
    <row r="172" spans="1:36" ht="21.95" customHeight="1">
      <c r="A172" s="596">
        <v>7</v>
      </c>
      <c r="B172" s="601" t="s">
        <v>804</v>
      </c>
      <c r="C172" s="768" t="s">
        <v>517</v>
      </c>
      <c r="D172" s="768" t="s">
        <v>481</v>
      </c>
      <c r="E172" s="768" t="s">
        <v>481</v>
      </c>
      <c r="F172" s="1044" t="s">
        <v>481</v>
      </c>
      <c r="G172" s="977" t="s">
        <v>491</v>
      </c>
      <c r="H172" s="977" t="s">
        <v>491</v>
      </c>
      <c r="I172" s="768"/>
      <c r="J172" s="768"/>
      <c r="K172" s="768">
        <v>10</v>
      </c>
      <c r="L172" s="768">
        <v>10</v>
      </c>
      <c r="M172" s="768">
        <v>10</v>
      </c>
      <c r="N172" s="768">
        <v>10</v>
      </c>
      <c r="O172" s="768">
        <v>10</v>
      </c>
      <c r="P172" s="768" t="s">
        <v>514</v>
      </c>
      <c r="Q172" s="768" t="s">
        <v>514</v>
      </c>
      <c r="R172" s="871" t="s">
        <v>481</v>
      </c>
      <c r="S172" s="871" t="s">
        <v>481</v>
      </c>
      <c r="T172" s="1263" t="s">
        <v>540</v>
      </c>
      <c r="U172" s="871" t="s">
        <v>481</v>
      </c>
      <c r="V172" s="871" t="s">
        <v>481</v>
      </c>
      <c r="W172" s="768"/>
      <c r="X172" s="768"/>
      <c r="Y172" s="768">
        <v>3</v>
      </c>
      <c r="Z172" s="768" t="s">
        <v>600</v>
      </c>
      <c r="AA172" s="768" t="s">
        <v>600</v>
      </c>
      <c r="AB172" s="768" t="s">
        <v>600</v>
      </c>
      <c r="AC172" s="768" t="s">
        <v>600</v>
      </c>
      <c r="AD172" s="768"/>
      <c r="AE172" s="768"/>
      <c r="AF172" s="768" t="s">
        <v>485</v>
      </c>
      <c r="AG172" s="768" t="s">
        <v>485</v>
      </c>
      <c r="AH172" s="826"/>
      <c r="AI172" s="827"/>
    </row>
    <row r="173" spans="1:36" ht="21.95" customHeight="1">
      <c r="A173" s="596">
        <v>8</v>
      </c>
      <c r="B173" s="1153" t="s">
        <v>805</v>
      </c>
      <c r="C173" s="768"/>
      <c r="D173" s="768">
        <v>5</v>
      </c>
      <c r="E173" s="768">
        <v>5</v>
      </c>
      <c r="F173" s="768">
        <v>5</v>
      </c>
      <c r="G173" s="768">
        <v>5</v>
      </c>
      <c r="H173" s="768">
        <v>5</v>
      </c>
      <c r="I173" s="768"/>
      <c r="J173" s="768"/>
      <c r="K173" s="768">
        <v>3</v>
      </c>
      <c r="L173" s="768">
        <v>3</v>
      </c>
      <c r="M173" s="768">
        <v>3</v>
      </c>
      <c r="N173" s="768">
        <v>3</v>
      </c>
      <c r="O173" s="768">
        <v>3</v>
      </c>
      <c r="P173" s="768"/>
      <c r="Q173" s="768"/>
      <c r="R173" s="871" t="s">
        <v>799</v>
      </c>
      <c r="S173" s="871" t="s">
        <v>481</v>
      </c>
      <c r="T173" s="871" t="s">
        <v>553</v>
      </c>
      <c r="U173" s="871" t="s">
        <v>481</v>
      </c>
      <c r="V173" s="871" t="s">
        <v>553</v>
      </c>
      <c r="W173" s="768" t="s">
        <v>519</v>
      </c>
      <c r="X173" s="768" t="s">
        <v>519</v>
      </c>
      <c r="Y173" s="768" t="s">
        <v>481</v>
      </c>
      <c r="Z173" s="1044">
        <v>10</v>
      </c>
      <c r="AA173" s="1044">
        <v>10</v>
      </c>
      <c r="AB173" s="768" t="s">
        <v>481</v>
      </c>
      <c r="AC173" s="768">
        <v>7</v>
      </c>
      <c r="AD173" s="768"/>
      <c r="AE173" s="768"/>
      <c r="AF173" s="768">
        <v>1</v>
      </c>
      <c r="AG173" s="768">
        <v>1</v>
      </c>
      <c r="AH173" s="826"/>
      <c r="AI173" s="827"/>
    </row>
    <row r="174" spans="1:36" ht="21.95" customHeight="1">
      <c r="A174" s="596">
        <v>9</v>
      </c>
      <c r="B174" s="153"/>
      <c r="C174" s="768"/>
      <c r="D174" s="768"/>
      <c r="E174" s="768"/>
      <c r="F174" s="768"/>
      <c r="G174" s="768"/>
      <c r="H174" s="768"/>
      <c r="I174" s="768"/>
      <c r="J174" s="768"/>
      <c r="K174" s="768"/>
      <c r="L174" s="768"/>
      <c r="M174" s="768"/>
      <c r="N174" s="768"/>
      <c r="O174" s="768"/>
      <c r="P174" s="768"/>
      <c r="Q174" s="768"/>
      <c r="R174" s="768"/>
      <c r="S174" s="768"/>
      <c r="T174" s="768"/>
      <c r="U174" s="768"/>
      <c r="V174" s="768"/>
      <c r="W174" s="768"/>
      <c r="X174" s="768"/>
      <c r="Y174" s="768"/>
      <c r="Z174" s="768"/>
      <c r="AA174" s="768"/>
      <c r="AB174" s="768"/>
      <c r="AC174" s="768"/>
      <c r="AD174" s="768"/>
      <c r="AE174" s="768"/>
      <c r="AF174" s="768"/>
      <c r="AG174" s="769"/>
      <c r="AH174" s="826"/>
      <c r="AI174" s="827"/>
    </row>
    <row r="175" spans="1:36" ht="21.95" customHeight="1">
      <c r="A175" s="596">
        <v>10</v>
      </c>
      <c r="B175" s="153"/>
      <c r="C175" s="766"/>
      <c r="D175" s="766"/>
      <c r="E175" s="766"/>
      <c r="F175" s="766"/>
      <c r="G175" s="766"/>
      <c r="H175" s="766"/>
      <c r="I175" s="766"/>
      <c r="J175" s="766"/>
      <c r="K175" s="766"/>
      <c r="L175" s="766"/>
      <c r="M175" s="766"/>
      <c r="N175" s="766"/>
      <c r="O175" s="766"/>
      <c r="P175" s="766"/>
      <c r="Q175" s="766"/>
      <c r="R175" s="766"/>
      <c r="S175" s="766"/>
      <c r="T175" s="766"/>
      <c r="U175" s="766"/>
      <c r="V175" s="766"/>
      <c r="W175" s="768"/>
      <c r="X175" s="766"/>
      <c r="Y175" s="766"/>
      <c r="Z175" s="766"/>
      <c r="AA175" s="766"/>
      <c r="AB175" s="766"/>
      <c r="AC175" s="766"/>
      <c r="AD175" s="766"/>
      <c r="AE175" s="766"/>
      <c r="AF175" s="766"/>
      <c r="AG175" s="783"/>
      <c r="AH175" s="826"/>
      <c r="AI175" s="827"/>
    </row>
    <row r="176" spans="1:36" ht="21.95" customHeight="1">
      <c r="A176" s="596">
        <v>11</v>
      </c>
      <c r="B176" s="153"/>
      <c r="C176" s="766"/>
      <c r="D176" s="766"/>
      <c r="E176" s="766"/>
      <c r="F176" s="766"/>
      <c r="G176" s="766"/>
      <c r="H176" s="766"/>
      <c r="I176" s="766"/>
      <c r="J176" s="766"/>
      <c r="K176" s="766"/>
      <c r="L176" s="766"/>
      <c r="M176" s="766"/>
      <c r="N176" s="766"/>
      <c r="O176" s="766"/>
      <c r="P176" s="766"/>
      <c r="Q176" s="766"/>
      <c r="R176" s="766"/>
      <c r="S176" s="766"/>
      <c r="T176" s="766"/>
      <c r="U176" s="766"/>
      <c r="V176" s="766"/>
      <c r="W176" s="768"/>
      <c r="X176" s="766"/>
      <c r="Y176" s="766"/>
      <c r="Z176" s="766"/>
      <c r="AA176" s="766"/>
      <c r="AB176" s="766"/>
      <c r="AC176" s="766"/>
      <c r="AD176" s="766"/>
      <c r="AE176" s="766"/>
      <c r="AF176" s="766"/>
      <c r="AG176" s="783"/>
      <c r="AH176" s="826"/>
      <c r="AI176" s="827"/>
    </row>
    <row r="177" spans="1:35" ht="21.95" customHeight="1" thickBot="1">
      <c r="A177" s="894">
        <v>12</v>
      </c>
      <c r="B177" s="895"/>
      <c r="C177" s="863"/>
      <c r="D177" s="863"/>
      <c r="E177" s="863"/>
      <c r="F177" s="863"/>
      <c r="G177" s="863"/>
      <c r="H177" s="863"/>
      <c r="I177" s="863"/>
      <c r="J177" s="863"/>
      <c r="K177" s="863"/>
      <c r="L177" s="863"/>
      <c r="M177" s="863"/>
      <c r="N177" s="863"/>
      <c r="O177" s="863"/>
      <c r="P177" s="863"/>
      <c r="Q177" s="863"/>
      <c r="R177" s="863"/>
      <c r="S177" s="863"/>
      <c r="T177" s="863"/>
      <c r="U177" s="863"/>
      <c r="V177" s="863"/>
      <c r="W177" s="867"/>
      <c r="X177" s="863"/>
      <c r="Y177" s="863"/>
      <c r="Z177" s="863"/>
      <c r="AA177" s="863"/>
      <c r="AB177" s="863"/>
      <c r="AC177" s="863"/>
      <c r="AD177" s="863"/>
      <c r="AE177" s="863"/>
      <c r="AF177" s="863"/>
      <c r="AG177" s="896"/>
      <c r="AH177" s="828"/>
      <c r="AI177" s="829"/>
    </row>
    <row r="178" spans="1:35" ht="21" customHeight="1">
      <c r="A178" s="312" t="s">
        <v>659</v>
      </c>
    </row>
    <row r="179" spans="1:35" ht="21" customHeight="1" thickBot="1">
      <c r="A179" s="861"/>
      <c r="B179" s="862" t="s">
        <v>476</v>
      </c>
      <c r="C179" s="880">
        <v>1</v>
      </c>
      <c r="D179" s="863">
        <v>2</v>
      </c>
      <c r="E179" s="863">
        <v>3</v>
      </c>
      <c r="F179" s="863">
        <v>4</v>
      </c>
      <c r="G179" s="863">
        <v>5</v>
      </c>
      <c r="H179" s="863">
        <v>6</v>
      </c>
      <c r="I179" s="880">
        <v>7</v>
      </c>
      <c r="J179" s="880">
        <v>8</v>
      </c>
      <c r="K179" s="863">
        <v>9</v>
      </c>
      <c r="L179" s="863">
        <v>10</v>
      </c>
      <c r="M179" s="863">
        <v>11</v>
      </c>
      <c r="N179" s="863">
        <v>12</v>
      </c>
      <c r="O179" s="863">
        <v>13</v>
      </c>
      <c r="P179" s="880">
        <v>14</v>
      </c>
      <c r="Q179" s="880">
        <v>15</v>
      </c>
      <c r="R179" s="863">
        <v>16</v>
      </c>
      <c r="S179" s="863">
        <v>17</v>
      </c>
      <c r="T179" s="863">
        <v>18</v>
      </c>
      <c r="U179" s="863">
        <v>19</v>
      </c>
      <c r="V179" s="863">
        <v>20</v>
      </c>
      <c r="W179" s="880">
        <v>21</v>
      </c>
      <c r="X179" s="880">
        <v>22</v>
      </c>
      <c r="Y179" s="863">
        <v>23</v>
      </c>
      <c r="Z179" s="863">
        <v>24</v>
      </c>
      <c r="AA179" s="863">
        <v>25</v>
      </c>
      <c r="AB179" s="863">
        <v>26</v>
      </c>
      <c r="AC179" s="863">
        <v>27</v>
      </c>
      <c r="AD179" s="880">
        <v>28</v>
      </c>
      <c r="AE179" s="880">
        <v>29</v>
      </c>
      <c r="AF179" s="863">
        <v>30</v>
      </c>
      <c r="AG179" s="863">
        <v>31</v>
      </c>
      <c r="AH179" s="600"/>
    </row>
    <row r="180" spans="1:35" ht="21" customHeight="1">
      <c r="A180" s="897">
        <v>1</v>
      </c>
      <c r="B180" s="859" t="s">
        <v>807</v>
      </c>
      <c r="C180" s="898"/>
      <c r="D180" s="768">
        <v>6</v>
      </c>
      <c r="E180" s="768">
        <v>6</v>
      </c>
      <c r="F180" s="768">
        <v>6</v>
      </c>
      <c r="G180" s="768">
        <v>6</v>
      </c>
      <c r="H180" s="768">
        <v>6</v>
      </c>
      <c r="I180" s="768" t="s">
        <v>512</v>
      </c>
      <c r="J180" s="768" t="s">
        <v>513</v>
      </c>
      <c r="K180" s="768" t="s">
        <v>481</v>
      </c>
      <c r="L180" s="768" t="s">
        <v>481</v>
      </c>
      <c r="M180" s="768" t="s">
        <v>481</v>
      </c>
      <c r="N180" s="768" t="s">
        <v>481</v>
      </c>
      <c r="O180" s="768">
        <v>7</v>
      </c>
      <c r="P180" s="898"/>
      <c r="Q180" s="898"/>
      <c r="R180" s="1063" t="s">
        <v>485</v>
      </c>
      <c r="S180" s="1053" t="s">
        <v>485</v>
      </c>
      <c r="T180" s="1053" t="s">
        <v>493</v>
      </c>
      <c r="U180" s="11" t="s">
        <v>485</v>
      </c>
      <c r="V180" s="11">
        <v>7</v>
      </c>
      <c r="W180" s="11" t="s">
        <v>515</v>
      </c>
      <c r="X180" s="898" t="s">
        <v>481</v>
      </c>
      <c r="Y180" s="1010" t="s">
        <v>553</v>
      </c>
      <c r="Z180" s="1010" t="s">
        <v>553</v>
      </c>
      <c r="AA180" s="898" t="s">
        <v>553</v>
      </c>
      <c r="AB180" s="898">
        <v>11</v>
      </c>
      <c r="AC180" s="898" t="s">
        <v>481</v>
      </c>
      <c r="AD180" s="898" t="s">
        <v>481</v>
      </c>
      <c r="AE180" s="898" t="s">
        <v>481</v>
      </c>
      <c r="AF180" s="898" t="s">
        <v>491</v>
      </c>
      <c r="AG180" s="898">
        <v>5</v>
      </c>
      <c r="AH180" s="600"/>
    </row>
    <row r="181" spans="1:35" ht="21" customHeight="1">
      <c r="A181" s="552">
        <v>2</v>
      </c>
      <c r="B181" s="601" t="s">
        <v>808</v>
      </c>
      <c r="C181" s="766"/>
      <c r="D181" s="1009" t="s">
        <v>485</v>
      </c>
      <c r="E181" s="1009" t="s">
        <v>485</v>
      </c>
      <c r="F181" s="1009" t="s">
        <v>485</v>
      </c>
      <c r="G181" s="1009" t="s">
        <v>485</v>
      </c>
      <c r="H181" s="1009" t="s">
        <v>485</v>
      </c>
      <c r="I181" s="766"/>
      <c r="J181" s="766"/>
      <c r="K181" s="1147">
        <v>6</v>
      </c>
      <c r="L181" s="1147">
        <v>6</v>
      </c>
      <c r="M181" s="1147">
        <v>6</v>
      </c>
      <c r="N181" s="1147">
        <v>6</v>
      </c>
      <c r="O181" s="766">
        <v>6</v>
      </c>
      <c r="P181" s="766" t="s">
        <v>512</v>
      </c>
      <c r="Q181" s="766" t="s">
        <v>513</v>
      </c>
      <c r="R181" s="766" t="s">
        <v>481</v>
      </c>
      <c r="S181" s="766" t="s">
        <v>481</v>
      </c>
      <c r="T181" s="766" t="s">
        <v>481</v>
      </c>
      <c r="U181" s="766" t="s">
        <v>481</v>
      </c>
      <c r="V181" s="766" t="s">
        <v>481</v>
      </c>
      <c r="W181" s="766"/>
      <c r="X181" s="766"/>
      <c r="Y181" s="172">
        <v>7</v>
      </c>
      <c r="Z181" s="172">
        <v>7</v>
      </c>
      <c r="AA181" s="172">
        <v>7</v>
      </c>
      <c r="AB181" s="172">
        <v>7</v>
      </c>
      <c r="AC181" s="766">
        <v>10</v>
      </c>
      <c r="AD181" s="766" t="s">
        <v>514</v>
      </c>
      <c r="AE181" s="766" t="s">
        <v>514</v>
      </c>
      <c r="AF181" s="766" t="s">
        <v>481</v>
      </c>
      <c r="AG181" s="1218" t="s">
        <v>481</v>
      </c>
      <c r="AH181" s="600"/>
    </row>
    <row r="182" spans="1:35" ht="21" customHeight="1">
      <c r="A182" s="552">
        <v>3</v>
      </c>
      <c r="B182" s="601" t="s">
        <v>809</v>
      </c>
      <c r="C182" s="766"/>
      <c r="D182" s="1009" t="s">
        <v>485</v>
      </c>
      <c r="E182" s="1009" t="s">
        <v>485</v>
      </c>
      <c r="F182" s="1009" t="s">
        <v>485</v>
      </c>
      <c r="G182" s="1009" t="s">
        <v>485</v>
      </c>
      <c r="H182" s="1009" t="s">
        <v>485</v>
      </c>
      <c r="I182" s="766"/>
      <c r="J182" s="766"/>
      <c r="K182" s="1009" t="s">
        <v>485</v>
      </c>
      <c r="L182" s="1009" t="s">
        <v>485</v>
      </c>
      <c r="M182" s="1009" t="s">
        <v>485</v>
      </c>
      <c r="N182" s="1147">
        <v>9</v>
      </c>
      <c r="O182" s="1147">
        <v>9</v>
      </c>
      <c r="P182" s="1147" t="s">
        <v>519</v>
      </c>
      <c r="Q182" s="1147" t="s">
        <v>519</v>
      </c>
      <c r="R182" s="766" t="s">
        <v>481</v>
      </c>
      <c r="S182" s="766" t="s">
        <v>481</v>
      </c>
      <c r="T182" s="766" t="s">
        <v>481</v>
      </c>
      <c r="U182" s="766" t="s">
        <v>481</v>
      </c>
      <c r="V182" s="766" t="s">
        <v>481</v>
      </c>
      <c r="W182" s="766"/>
      <c r="X182" s="766"/>
      <c r="Y182" s="1147">
        <v>6</v>
      </c>
      <c r="Z182" s="1147">
        <v>6</v>
      </c>
      <c r="AA182" s="1159">
        <v>6</v>
      </c>
      <c r="AB182" s="1159">
        <v>6</v>
      </c>
      <c r="AC182" s="1159">
        <v>6</v>
      </c>
      <c r="AD182" s="1159" t="s">
        <v>512</v>
      </c>
      <c r="AE182" s="1159" t="s">
        <v>513</v>
      </c>
      <c r="AF182" s="1159" t="s">
        <v>481</v>
      </c>
      <c r="AG182" s="1159" t="s">
        <v>481</v>
      </c>
      <c r="AH182" s="600"/>
    </row>
    <row r="183" spans="1:35" ht="21" customHeight="1">
      <c r="A183" s="552">
        <v>4</v>
      </c>
      <c r="B183" s="542"/>
      <c r="C183" s="766"/>
      <c r="D183" s="766"/>
      <c r="E183" s="766"/>
      <c r="F183" s="766"/>
      <c r="G183" s="766"/>
      <c r="H183" s="766"/>
      <c r="I183" s="766"/>
      <c r="J183" s="766"/>
      <c r="K183" s="766"/>
      <c r="L183" s="766"/>
      <c r="M183" s="766"/>
      <c r="N183" s="766"/>
      <c r="O183" s="766"/>
      <c r="P183" s="766"/>
      <c r="Q183" s="766"/>
      <c r="R183" s="766"/>
      <c r="S183" s="766"/>
      <c r="T183" s="766"/>
      <c r="U183" s="766"/>
      <c r="V183" s="766"/>
      <c r="W183" s="766"/>
      <c r="X183" s="766"/>
      <c r="Y183" s="766"/>
      <c r="Z183" s="766"/>
      <c r="AA183" s="766"/>
      <c r="AB183" s="766"/>
      <c r="AC183" s="766"/>
      <c r="AD183" s="766"/>
      <c r="AE183" s="766"/>
      <c r="AF183" s="766"/>
      <c r="AG183" s="172"/>
      <c r="AH183" s="600"/>
    </row>
    <row r="184" spans="1:35" ht="21" customHeight="1" thickBot="1">
      <c r="A184" s="861">
        <v>5</v>
      </c>
      <c r="B184" s="874"/>
      <c r="C184" s="863"/>
      <c r="D184" s="863"/>
      <c r="E184" s="863"/>
      <c r="F184" s="863"/>
      <c r="G184" s="863"/>
      <c r="H184" s="863"/>
      <c r="I184" s="863"/>
      <c r="J184" s="863"/>
      <c r="K184" s="863"/>
      <c r="L184" s="863"/>
      <c r="M184" s="863"/>
      <c r="N184" s="863"/>
      <c r="O184" s="863"/>
      <c r="P184" s="863"/>
      <c r="Q184" s="863"/>
      <c r="R184" s="863"/>
      <c r="S184" s="863"/>
      <c r="T184" s="863"/>
      <c r="U184" s="863"/>
      <c r="V184" s="863"/>
      <c r="W184" s="863"/>
      <c r="X184" s="863"/>
      <c r="Y184" s="863"/>
      <c r="Z184" s="863"/>
      <c r="AA184" s="863"/>
      <c r="AB184" s="863"/>
      <c r="AC184" s="863"/>
      <c r="AD184" s="863"/>
      <c r="AE184" s="863"/>
      <c r="AF184" s="863"/>
      <c r="AG184" s="899"/>
      <c r="AH184" s="600"/>
    </row>
    <row r="185" spans="1:35" ht="21" customHeight="1">
      <c r="A185" s="785"/>
      <c r="B185" s="354"/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  <c r="M185" s="139"/>
      <c r="N185" s="786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600"/>
    </row>
    <row r="186" spans="1:35" ht="21.95" customHeight="1" thickBot="1">
      <c r="A186" s="1" t="s">
        <v>663</v>
      </c>
      <c r="B186" s="274"/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</row>
    <row r="187" spans="1:35" ht="21.95" customHeight="1">
      <c r="A187" s="1"/>
      <c r="B187" s="796" t="s">
        <v>664</v>
      </c>
      <c r="C187" s="51" t="s">
        <v>2</v>
      </c>
      <c r="D187" s="51"/>
      <c r="E187" s="51"/>
      <c r="F187" s="51"/>
      <c r="G187" s="798" t="s">
        <v>3</v>
      </c>
      <c r="H187" s="51"/>
      <c r="I187" s="51"/>
      <c r="J187" s="51"/>
      <c r="K187" s="798" t="s">
        <v>4</v>
      </c>
      <c r="L187" s="51"/>
      <c r="M187" s="51"/>
      <c r="N187" s="51"/>
      <c r="O187" s="798" t="s">
        <v>5</v>
      </c>
      <c r="P187" s="51"/>
      <c r="Q187" s="51"/>
      <c r="R187" s="51"/>
      <c r="S187" s="798" t="s">
        <v>6</v>
      </c>
      <c r="T187" s="51"/>
      <c r="U187" s="51"/>
      <c r="V187" s="51"/>
      <c r="W187" s="51"/>
      <c r="X187" s="802" t="s">
        <v>7</v>
      </c>
      <c r="Y187" s="51"/>
      <c r="Z187" s="548"/>
      <c r="AA187" s="7"/>
      <c r="AB187" s="522" t="s">
        <v>8</v>
      </c>
      <c r="AC187" s="51"/>
      <c r="AD187" s="51"/>
      <c r="AE187" s="425" t="s">
        <v>10</v>
      </c>
      <c r="AF187" s="51"/>
      <c r="AG187" s="51"/>
      <c r="AH187" s="51"/>
      <c r="AI187" s="523"/>
    </row>
    <row r="188" spans="1:35" ht="21.95" customHeight="1">
      <c r="A188" s="1"/>
      <c r="B188" s="796">
        <v>3701</v>
      </c>
      <c r="C188" s="55" t="s">
        <v>665</v>
      </c>
      <c r="D188" s="55"/>
      <c r="E188" s="55"/>
      <c r="F188" s="55"/>
      <c r="G188" s="799" t="s">
        <v>124</v>
      </c>
      <c r="H188" s="55"/>
      <c r="I188" s="55"/>
      <c r="J188" s="55"/>
      <c r="K188" s="799" t="s">
        <v>124</v>
      </c>
      <c r="L188" s="55"/>
      <c r="M188" s="55"/>
      <c r="N188" s="55"/>
      <c r="O188" s="799" t="s">
        <v>124</v>
      </c>
      <c r="P188" s="55"/>
      <c r="Q188" s="55"/>
      <c r="R188" s="55"/>
      <c r="S188" s="799" t="s">
        <v>125</v>
      </c>
      <c r="T188" s="55"/>
      <c r="U188" s="55"/>
      <c r="V188" s="55"/>
      <c r="W188" s="55"/>
      <c r="X188" s="803"/>
      <c r="Y188" s="55"/>
      <c r="Z188" s="602"/>
      <c r="AA188" s="14"/>
      <c r="AB188" s="603"/>
      <c r="AC188" s="55"/>
      <c r="AD188" s="55"/>
      <c r="AE188" s="604"/>
      <c r="AF188" s="55"/>
      <c r="AG188" s="55"/>
      <c r="AH188" s="55"/>
      <c r="AI188" s="605"/>
    </row>
    <row r="189" spans="1:35" ht="21.95" customHeight="1">
      <c r="B189" s="796">
        <v>3700</v>
      </c>
      <c r="C189" s="157" t="s">
        <v>535</v>
      </c>
      <c r="D189" s="157"/>
      <c r="E189" s="157"/>
      <c r="F189" s="157"/>
      <c r="G189" s="712" t="s">
        <v>535</v>
      </c>
      <c r="H189" s="157"/>
      <c r="I189" s="157"/>
      <c r="J189" s="157"/>
      <c r="K189" s="712" t="s">
        <v>535</v>
      </c>
      <c r="L189" s="157"/>
      <c r="M189" s="157"/>
      <c r="N189" s="157"/>
      <c r="O189" s="712" t="s">
        <v>535</v>
      </c>
      <c r="P189" s="157"/>
      <c r="Q189" s="157"/>
      <c r="R189" s="157"/>
      <c r="S189" s="712" t="s">
        <v>116</v>
      </c>
      <c r="T189" s="157"/>
      <c r="U189" s="157"/>
      <c r="V189" s="157"/>
      <c r="W189" s="157"/>
      <c r="X189" s="712"/>
      <c r="Y189" s="157"/>
      <c r="Z189" s="564"/>
      <c r="AA189" s="563"/>
      <c r="AB189" s="157"/>
      <c r="AC189" s="157"/>
      <c r="AD189" s="565"/>
      <c r="AE189" s="607"/>
      <c r="AF189" s="157"/>
      <c r="AG189" s="157" t="s">
        <v>28</v>
      </c>
      <c r="AH189" s="565"/>
      <c r="AI189" s="490"/>
    </row>
    <row r="190" spans="1:35" ht="21.95" customHeight="1">
      <c r="A190" s="1"/>
      <c r="B190" s="796">
        <v>8514</v>
      </c>
      <c r="C190" s="157" t="s">
        <v>124</v>
      </c>
      <c r="D190" s="157"/>
      <c r="E190" s="157"/>
      <c r="F190" s="157"/>
      <c r="G190" s="712" t="s">
        <v>124</v>
      </c>
      <c r="H190" s="157"/>
      <c r="I190" s="157"/>
      <c r="J190" s="157"/>
      <c r="K190" s="712" t="s">
        <v>124</v>
      </c>
      <c r="L190" s="157"/>
      <c r="M190" s="157"/>
      <c r="N190" s="157"/>
      <c r="O190" s="712" t="s">
        <v>124</v>
      </c>
      <c r="P190" s="157"/>
      <c r="Q190" s="157"/>
      <c r="R190" s="157"/>
      <c r="S190" s="712" t="s">
        <v>666</v>
      </c>
      <c r="T190" s="157"/>
      <c r="U190" s="157"/>
      <c r="V190" s="157"/>
      <c r="W190" s="157"/>
      <c r="X190" s="712"/>
      <c r="Y190" s="157"/>
      <c r="Z190" s="564"/>
      <c r="AA190" s="121"/>
      <c r="AB190" s="157"/>
      <c r="AC190" s="157"/>
      <c r="AD190" s="565"/>
      <c r="AE190" s="121"/>
      <c r="AF190" s="157"/>
      <c r="AG190" s="157"/>
      <c r="AH190" s="565"/>
      <c r="AI190" s="490"/>
    </row>
    <row r="191" spans="1:35" ht="21.95" customHeight="1">
      <c r="A191" s="1"/>
      <c r="B191" s="796">
        <v>8500</v>
      </c>
      <c r="C191" s="55" t="s">
        <v>11</v>
      </c>
      <c r="D191" s="55"/>
      <c r="E191" s="55"/>
      <c r="F191" s="55"/>
      <c r="G191" s="799" t="s">
        <v>11</v>
      </c>
      <c r="H191" s="55"/>
      <c r="I191" s="55"/>
      <c r="J191" s="55"/>
      <c r="K191" s="799" t="s">
        <v>11</v>
      </c>
      <c r="L191" s="55"/>
      <c r="M191" s="55"/>
      <c r="N191" s="55"/>
      <c r="O191" s="799" t="s">
        <v>11</v>
      </c>
      <c r="P191" s="55"/>
      <c r="Q191" s="55"/>
      <c r="R191" s="55"/>
      <c r="S191" s="799" t="s">
        <v>12</v>
      </c>
      <c r="T191" s="55"/>
      <c r="U191" s="55"/>
      <c r="V191" s="55"/>
      <c r="W191" s="55"/>
      <c r="X191" s="799"/>
      <c r="Y191" s="55"/>
      <c r="Z191" s="609"/>
      <c r="AA191" s="608"/>
      <c r="AB191" s="55"/>
      <c r="AC191" s="55"/>
      <c r="AD191" s="609"/>
      <c r="AE191" s="608"/>
      <c r="AF191" s="55"/>
      <c r="AG191" s="55"/>
      <c r="AH191" s="594"/>
      <c r="AI191" s="605"/>
    </row>
    <row r="192" spans="1:35" ht="21.95" customHeight="1">
      <c r="A192" s="1"/>
      <c r="B192" s="796">
        <v>8514</v>
      </c>
      <c r="C192" s="610" t="s">
        <v>124</v>
      </c>
      <c r="D192" s="610"/>
      <c r="E192" s="610"/>
      <c r="F192" s="610"/>
      <c r="G192" s="800" t="s">
        <v>124</v>
      </c>
      <c r="H192" s="610"/>
      <c r="I192" s="610"/>
      <c r="J192" s="610"/>
      <c r="K192" s="800" t="s">
        <v>124</v>
      </c>
      <c r="L192" s="610"/>
      <c r="M192" s="610"/>
      <c r="N192" s="610"/>
      <c r="O192" s="800" t="s">
        <v>124</v>
      </c>
      <c r="P192" s="610"/>
      <c r="Q192" s="610"/>
      <c r="R192" s="610"/>
      <c r="S192" s="800" t="s">
        <v>666</v>
      </c>
      <c r="T192" s="610"/>
      <c r="U192" s="610"/>
      <c r="V192" s="610"/>
      <c r="W192" s="610"/>
      <c r="X192" s="803"/>
      <c r="Y192" s="55"/>
      <c r="Z192" s="602"/>
      <c r="AA192" s="14"/>
      <c r="AB192" s="603"/>
      <c r="AC192" s="55"/>
      <c r="AD192" s="55"/>
      <c r="AE192" s="604"/>
      <c r="AF192" s="55"/>
      <c r="AG192" s="55"/>
      <c r="AH192" s="55"/>
      <c r="AI192" s="605"/>
    </row>
    <row r="193" spans="1:35" ht="21.95" customHeight="1" thickBot="1">
      <c r="A193" s="1"/>
      <c r="B193" s="797" t="s">
        <v>667</v>
      </c>
      <c r="C193" s="53" t="s">
        <v>668</v>
      </c>
      <c r="D193" s="53"/>
      <c r="E193" s="53"/>
      <c r="F193" s="53"/>
      <c r="G193" s="801" t="s">
        <v>668</v>
      </c>
      <c r="H193" s="53"/>
      <c r="I193" s="53"/>
      <c r="J193" s="53"/>
      <c r="K193" s="53" t="s">
        <v>668</v>
      </c>
      <c r="L193" s="53"/>
      <c r="M193" s="53"/>
      <c r="N193" s="53"/>
      <c r="O193" s="801" t="s">
        <v>668</v>
      </c>
      <c r="P193" s="53"/>
      <c r="Q193" s="53"/>
      <c r="R193" s="53"/>
      <c r="S193" s="801" t="s">
        <v>669</v>
      </c>
      <c r="T193" s="53"/>
      <c r="U193" s="53"/>
      <c r="V193" s="53"/>
      <c r="W193" s="53"/>
      <c r="X193" s="801"/>
      <c r="Y193" s="53"/>
      <c r="Z193" s="571"/>
      <c r="AA193" s="570"/>
      <c r="AB193" s="53"/>
      <c r="AC193" s="53"/>
      <c r="AD193" s="573"/>
      <c r="AE193" s="612"/>
      <c r="AF193" s="53"/>
      <c r="AG193" s="53" t="s">
        <v>28</v>
      </c>
      <c r="AH193" s="573"/>
      <c r="AI193" s="536"/>
    </row>
    <row r="194" spans="1:35" ht="21.95" customHeight="1">
      <c r="A194" s="1"/>
      <c r="B194" s="72"/>
      <c r="C194" s="312"/>
      <c r="F194" s="354"/>
      <c r="G194" s="312"/>
      <c r="J194" s="354"/>
      <c r="K194" s="312"/>
      <c r="N194" s="354"/>
      <c r="O194" s="312"/>
      <c r="R194" s="354"/>
      <c r="S194" s="312"/>
      <c r="V194" s="354"/>
      <c r="W194" s="354"/>
      <c r="Z194" s="354"/>
      <c r="AA194" s="354"/>
      <c r="AD194" s="354"/>
      <c r="AE194" s="354"/>
      <c r="AH194" s="354"/>
    </row>
    <row r="195" spans="1:35" ht="21.95" customHeight="1" thickBot="1">
      <c r="A195" s="1" t="s">
        <v>785</v>
      </c>
      <c r="B195" s="72"/>
      <c r="C195" s="312"/>
      <c r="F195" s="354"/>
      <c r="G195" s="312"/>
      <c r="J195" s="354"/>
      <c r="K195" s="312"/>
      <c r="N195" s="354"/>
      <c r="O195" s="312"/>
      <c r="R195" s="354"/>
      <c r="S195" s="312"/>
      <c r="V195" s="354"/>
      <c r="W195" s="354"/>
      <c r="Z195" s="354"/>
      <c r="AA195" s="354"/>
      <c r="AD195" s="354"/>
      <c r="AE195" s="354"/>
      <c r="AH195" s="354"/>
    </row>
    <row r="196" spans="1:35" ht="21.95" customHeight="1" thickBot="1">
      <c r="A196" s="861"/>
      <c r="B196" s="862" t="s">
        <v>476</v>
      </c>
      <c r="C196" s="880">
        <v>1</v>
      </c>
      <c r="D196" s="863">
        <v>2</v>
      </c>
      <c r="E196" s="863">
        <v>3</v>
      </c>
      <c r="F196" s="863">
        <v>4</v>
      </c>
      <c r="G196" s="863">
        <v>5</v>
      </c>
      <c r="H196" s="863">
        <v>6</v>
      </c>
      <c r="I196" s="880">
        <v>7</v>
      </c>
      <c r="J196" s="880">
        <v>8</v>
      </c>
      <c r="K196" s="863">
        <v>9</v>
      </c>
      <c r="L196" s="863">
        <v>10</v>
      </c>
      <c r="M196" s="863">
        <v>11</v>
      </c>
      <c r="N196" s="863">
        <v>12</v>
      </c>
      <c r="O196" s="863">
        <v>13</v>
      </c>
      <c r="P196" s="880">
        <v>14</v>
      </c>
      <c r="Q196" s="880">
        <v>15</v>
      </c>
      <c r="R196" s="863">
        <v>16</v>
      </c>
      <c r="S196" s="863">
        <v>17</v>
      </c>
      <c r="T196" s="863">
        <v>18</v>
      </c>
      <c r="U196" s="863">
        <v>19</v>
      </c>
      <c r="V196" s="863">
        <v>20</v>
      </c>
      <c r="W196" s="880">
        <v>21</v>
      </c>
      <c r="X196" s="880">
        <v>22</v>
      </c>
      <c r="Y196" s="863">
        <v>23</v>
      </c>
      <c r="Z196" s="863">
        <v>24</v>
      </c>
      <c r="AA196" s="863">
        <v>25</v>
      </c>
      <c r="AB196" s="863">
        <v>26</v>
      </c>
      <c r="AC196" s="863">
        <v>27</v>
      </c>
      <c r="AD196" s="880">
        <v>28</v>
      </c>
      <c r="AE196" s="880">
        <v>29</v>
      </c>
      <c r="AF196" s="863">
        <v>30</v>
      </c>
      <c r="AG196" s="943">
        <v>31</v>
      </c>
      <c r="AH196" s="864" t="s">
        <v>477</v>
      </c>
      <c r="AI196" s="865" t="s">
        <v>478</v>
      </c>
    </row>
    <row r="197" spans="1:35" ht="21.95" customHeight="1">
      <c r="A197" s="897"/>
      <c r="B197" s="900" t="s">
        <v>671</v>
      </c>
      <c r="C197" s="768"/>
      <c r="D197" s="768" t="s">
        <v>491</v>
      </c>
      <c r="E197" s="768" t="s">
        <v>491</v>
      </c>
      <c r="F197" s="768" t="s">
        <v>491</v>
      </c>
      <c r="G197" s="768" t="s">
        <v>491</v>
      </c>
      <c r="H197" s="768" t="s">
        <v>491</v>
      </c>
      <c r="I197" s="768"/>
      <c r="J197" s="768"/>
      <c r="K197" s="768" t="s">
        <v>491</v>
      </c>
      <c r="L197" s="768" t="s">
        <v>491</v>
      </c>
      <c r="M197" s="768" t="s">
        <v>491</v>
      </c>
      <c r="N197" s="768" t="s">
        <v>491</v>
      </c>
      <c r="O197" s="768" t="s">
        <v>491</v>
      </c>
      <c r="P197" s="768"/>
      <c r="Q197" s="768"/>
      <c r="R197" s="768" t="s">
        <v>491</v>
      </c>
      <c r="S197" s="768" t="s">
        <v>491</v>
      </c>
      <c r="T197" s="768" t="s">
        <v>491</v>
      </c>
      <c r="U197" s="768" t="s">
        <v>491</v>
      </c>
      <c r="V197" s="768" t="s">
        <v>491</v>
      </c>
      <c r="W197" s="768"/>
      <c r="X197" s="768"/>
      <c r="Y197" s="768" t="s">
        <v>491</v>
      </c>
      <c r="Z197" s="768" t="s">
        <v>491</v>
      </c>
      <c r="AA197" s="768" t="s">
        <v>491</v>
      </c>
      <c r="AB197" s="768" t="s">
        <v>491</v>
      </c>
      <c r="AC197" s="768" t="s">
        <v>491</v>
      </c>
      <c r="AD197" s="768"/>
      <c r="AE197" s="768"/>
      <c r="AF197" s="768" t="s">
        <v>491</v>
      </c>
      <c r="AG197" s="768" t="s">
        <v>491</v>
      </c>
      <c r="AH197" s="901">
        <v>74</v>
      </c>
      <c r="AI197" s="902">
        <v>37</v>
      </c>
    </row>
    <row r="198" spans="1:35" ht="21.95" customHeight="1">
      <c r="A198" s="614">
        <v>8500</v>
      </c>
      <c r="B198" s="790" t="s">
        <v>156</v>
      </c>
      <c r="C198" s="768"/>
      <c r="D198" s="768" t="s">
        <v>491</v>
      </c>
      <c r="E198" s="768" t="s">
        <v>491</v>
      </c>
      <c r="F198" s="768" t="s">
        <v>491</v>
      </c>
      <c r="G198" s="768" t="s">
        <v>491</v>
      </c>
      <c r="H198" s="768" t="s">
        <v>491</v>
      </c>
      <c r="I198" s="768"/>
      <c r="J198" s="768"/>
      <c r="K198" s="768" t="s">
        <v>491</v>
      </c>
      <c r="L198" s="768" t="s">
        <v>491</v>
      </c>
      <c r="M198" s="768" t="s">
        <v>491</v>
      </c>
      <c r="N198" s="768" t="s">
        <v>491</v>
      </c>
      <c r="O198" s="768" t="s">
        <v>491</v>
      </c>
      <c r="P198" s="768"/>
      <c r="Q198" s="768"/>
      <c r="R198" s="768" t="s">
        <v>491</v>
      </c>
      <c r="S198" s="768" t="s">
        <v>491</v>
      </c>
      <c r="T198" s="768" t="s">
        <v>491</v>
      </c>
      <c r="U198" s="768" t="s">
        <v>491</v>
      </c>
      <c r="V198" s="768" t="s">
        <v>491</v>
      </c>
      <c r="W198" s="768"/>
      <c r="X198" s="768"/>
      <c r="Y198" s="977" t="s">
        <v>491</v>
      </c>
      <c r="Z198" s="977" t="s">
        <v>491</v>
      </c>
      <c r="AA198" s="977" t="s">
        <v>491</v>
      </c>
      <c r="AB198" s="977" t="s">
        <v>491</v>
      </c>
      <c r="AC198" s="977" t="s">
        <v>491</v>
      </c>
      <c r="AD198" s="768"/>
      <c r="AE198" s="768"/>
      <c r="AF198" s="970" t="s">
        <v>491</v>
      </c>
      <c r="AG198" s="970" t="s">
        <v>491</v>
      </c>
      <c r="AH198" s="597">
        <v>37</v>
      </c>
      <c r="AI198" s="598">
        <v>37</v>
      </c>
    </row>
    <row r="199" spans="1:35" ht="21" customHeight="1">
      <c r="A199" s="442"/>
      <c r="B199" s="789" t="s">
        <v>672</v>
      </c>
      <c r="C199" s="768"/>
      <c r="D199" s="768" t="s">
        <v>491</v>
      </c>
      <c r="E199" s="768" t="s">
        <v>491</v>
      </c>
      <c r="F199" s="768" t="s">
        <v>491</v>
      </c>
      <c r="G199" s="768" t="s">
        <v>491</v>
      </c>
      <c r="H199" s="768" t="s">
        <v>491</v>
      </c>
      <c r="I199" s="768"/>
      <c r="J199" s="768"/>
      <c r="K199" s="768" t="s">
        <v>491</v>
      </c>
      <c r="L199" s="768" t="s">
        <v>491</v>
      </c>
      <c r="M199" s="768" t="s">
        <v>491</v>
      </c>
      <c r="N199" s="768" t="s">
        <v>491</v>
      </c>
      <c r="O199" s="768" t="s">
        <v>491</v>
      </c>
      <c r="P199" s="768"/>
      <c r="Q199" s="768"/>
      <c r="R199" s="768" t="s">
        <v>491</v>
      </c>
      <c r="S199" s="768" t="s">
        <v>491</v>
      </c>
      <c r="T199" s="768" t="s">
        <v>491</v>
      </c>
      <c r="U199" s="768" t="s">
        <v>491</v>
      </c>
      <c r="V199" s="768" t="s">
        <v>491</v>
      </c>
      <c r="W199" s="768"/>
      <c r="X199" s="768"/>
      <c r="Y199" s="768" t="s">
        <v>491</v>
      </c>
      <c r="Z199" s="768" t="s">
        <v>491</v>
      </c>
      <c r="AA199" s="768" t="s">
        <v>491</v>
      </c>
      <c r="AB199" s="768" t="s">
        <v>491</v>
      </c>
      <c r="AC199" s="768" t="s">
        <v>491</v>
      </c>
      <c r="AD199" s="768"/>
      <c r="AE199" s="768"/>
      <c r="AF199" s="768" t="s">
        <v>491</v>
      </c>
      <c r="AG199" s="768" t="s">
        <v>491</v>
      </c>
      <c r="AH199" s="597">
        <v>67</v>
      </c>
      <c r="AI199" s="598">
        <v>37</v>
      </c>
    </row>
    <row r="200" spans="1:35" ht="21" customHeight="1">
      <c r="A200" s="442">
        <v>8521</v>
      </c>
      <c r="B200" s="789" t="s">
        <v>673</v>
      </c>
      <c r="C200" s="1038"/>
      <c r="D200" s="1038" t="s">
        <v>491</v>
      </c>
      <c r="E200" s="1038" t="s">
        <v>491</v>
      </c>
      <c r="F200" s="1038" t="s">
        <v>491</v>
      </c>
      <c r="G200" s="1038" t="s">
        <v>491</v>
      </c>
      <c r="H200" s="1038" t="s">
        <v>491</v>
      </c>
      <c r="I200" s="1038"/>
      <c r="J200" s="1038"/>
      <c r="K200" s="1038" t="s">
        <v>491</v>
      </c>
      <c r="L200" s="1038" t="s">
        <v>491</v>
      </c>
      <c r="M200" s="1038" t="s">
        <v>491</v>
      </c>
      <c r="N200" s="1038" t="s">
        <v>491</v>
      </c>
      <c r="O200" s="1038" t="s">
        <v>491</v>
      </c>
      <c r="P200" s="1038"/>
      <c r="Q200" s="1038"/>
      <c r="R200" s="1038" t="s">
        <v>491</v>
      </c>
      <c r="S200" s="1038" t="s">
        <v>491</v>
      </c>
      <c r="T200" s="1038" t="s">
        <v>491</v>
      </c>
      <c r="U200" s="1038" t="s">
        <v>491</v>
      </c>
      <c r="V200" s="1038" t="s">
        <v>491</v>
      </c>
      <c r="W200" s="1038"/>
      <c r="X200" s="1038"/>
      <c r="Y200" s="1038" t="s">
        <v>491</v>
      </c>
      <c r="Z200" s="1038" t="s">
        <v>491</v>
      </c>
      <c r="AA200" s="1038" t="s">
        <v>491</v>
      </c>
      <c r="AB200" s="1038" t="s">
        <v>491</v>
      </c>
      <c r="AC200" s="1038" t="s">
        <v>491</v>
      </c>
      <c r="AD200" s="1038"/>
      <c r="AE200" s="1038"/>
      <c r="AF200" s="1038" t="s">
        <v>491</v>
      </c>
      <c r="AG200" s="768" t="s">
        <v>491</v>
      </c>
      <c r="AH200" s="597">
        <v>111</v>
      </c>
      <c r="AI200" s="598">
        <v>37</v>
      </c>
    </row>
    <row r="201" spans="1:35" ht="21" customHeight="1">
      <c r="A201" s="442"/>
      <c r="B201" s="791" t="s">
        <v>674</v>
      </c>
      <c r="C201" s="768"/>
      <c r="D201" s="768" t="s">
        <v>491</v>
      </c>
      <c r="E201" s="768" t="s">
        <v>491</v>
      </c>
      <c r="F201" s="768" t="s">
        <v>491</v>
      </c>
      <c r="G201" s="768" t="s">
        <v>491</v>
      </c>
      <c r="H201" s="768" t="s">
        <v>491</v>
      </c>
      <c r="I201" s="768"/>
      <c r="J201" s="768"/>
      <c r="K201" s="768" t="s">
        <v>491</v>
      </c>
      <c r="L201" s="768" t="s">
        <v>491</v>
      </c>
      <c r="M201" s="768" t="s">
        <v>491</v>
      </c>
      <c r="N201" s="768" t="s">
        <v>491</v>
      </c>
      <c r="O201" s="768" t="s">
        <v>491</v>
      </c>
      <c r="P201" s="768"/>
      <c r="Q201" s="768"/>
      <c r="R201" s="768" t="s">
        <v>491</v>
      </c>
      <c r="S201" s="768" t="s">
        <v>491</v>
      </c>
      <c r="T201" s="768" t="s">
        <v>491</v>
      </c>
      <c r="U201" s="768" t="s">
        <v>491</v>
      </c>
      <c r="V201" s="768" t="s">
        <v>491</v>
      </c>
      <c r="W201" s="768"/>
      <c r="X201" s="768"/>
      <c r="Y201" s="768" t="s">
        <v>491</v>
      </c>
      <c r="Z201" s="768" t="s">
        <v>491</v>
      </c>
      <c r="AA201" s="768" t="s">
        <v>491</v>
      </c>
      <c r="AB201" s="768" t="s">
        <v>491</v>
      </c>
      <c r="AC201" s="768" t="s">
        <v>491</v>
      </c>
      <c r="AD201" s="768"/>
      <c r="AE201" s="768"/>
      <c r="AF201" s="970" t="s">
        <v>491</v>
      </c>
      <c r="AG201" s="970" t="s">
        <v>491</v>
      </c>
      <c r="AH201" s="597">
        <v>24</v>
      </c>
      <c r="AI201" s="598">
        <v>37</v>
      </c>
    </row>
    <row r="202" spans="1:35" ht="21" customHeight="1">
      <c r="A202" s="442">
        <v>8514</v>
      </c>
      <c r="B202" s="542" t="s">
        <v>675</v>
      </c>
      <c r="C202" s="768"/>
      <c r="D202" s="768" t="s">
        <v>491</v>
      </c>
      <c r="E202" s="768" t="s">
        <v>491</v>
      </c>
      <c r="F202" s="768" t="s">
        <v>491</v>
      </c>
      <c r="G202" s="768" t="s">
        <v>491</v>
      </c>
      <c r="H202" s="768" t="s">
        <v>491</v>
      </c>
      <c r="I202" s="768"/>
      <c r="J202" s="768"/>
      <c r="K202" s="768" t="s">
        <v>491</v>
      </c>
      <c r="L202" s="768" t="s">
        <v>491</v>
      </c>
      <c r="M202" s="768" t="s">
        <v>491</v>
      </c>
      <c r="N202" s="768" t="s">
        <v>491</v>
      </c>
      <c r="O202" s="768" t="s">
        <v>491</v>
      </c>
      <c r="P202" s="768"/>
      <c r="Q202" s="768"/>
      <c r="R202" s="768" t="s">
        <v>491</v>
      </c>
      <c r="S202" s="768" t="s">
        <v>491</v>
      </c>
      <c r="T202" s="768" t="s">
        <v>491</v>
      </c>
      <c r="U202" s="768" t="s">
        <v>491</v>
      </c>
      <c r="V202" s="768" t="s">
        <v>491</v>
      </c>
      <c r="W202" s="768"/>
      <c r="X202" s="768"/>
      <c r="Y202" s="768" t="s">
        <v>491</v>
      </c>
      <c r="Z202" s="768" t="s">
        <v>491</v>
      </c>
      <c r="AA202" s="768" t="s">
        <v>491</v>
      </c>
      <c r="AB202" s="768" t="s">
        <v>491</v>
      </c>
      <c r="AC202" s="768" t="s">
        <v>491</v>
      </c>
      <c r="AD202" s="768"/>
      <c r="AE202" s="768"/>
      <c r="AF202" s="977" t="s">
        <v>491</v>
      </c>
      <c r="AG202" s="977" t="s">
        <v>491</v>
      </c>
      <c r="AH202" s="597">
        <v>38</v>
      </c>
      <c r="AI202" s="598">
        <v>0</v>
      </c>
    </row>
    <row r="203" spans="1:35" ht="21.95" customHeight="1">
      <c r="A203" s="442">
        <v>3701</v>
      </c>
      <c r="B203" s="789" t="s">
        <v>433</v>
      </c>
      <c r="C203" s="768"/>
      <c r="D203" s="768" t="s">
        <v>491</v>
      </c>
      <c r="E203" s="768" t="s">
        <v>491</v>
      </c>
      <c r="F203" s="768" t="s">
        <v>491</v>
      </c>
      <c r="G203" s="1038" t="s">
        <v>491</v>
      </c>
      <c r="H203" s="1038" t="s">
        <v>493</v>
      </c>
      <c r="I203" s="768"/>
      <c r="J203" s="768"/>
      <c r="K203" s="768" t="s">
        <v>491</v>
      </c>
      <c r="L203" s="768" t="s">
        <v>491</v>
      </c>
      <c r="M203" s="768" t="s">
        <v>491</v>
      </c>
      <c r="N203" s="768" t="s">
        <v>491</v>
      </c>
      <c r="O203" s="768" t="s">
        <v>491</v>
      </c>
      <c r="P203" s="768"/>
      <c r="Q203" s="768"/>
      <c r="R203" s="768" t="s">
        <v>491</v>
      </c>
      <c r="S203" s="768" t="s">
        <v>491</v>
      </c>
      <c r="T203" s="768" t="s">
        <v>491</v>
      </c>
      <c r="U203" s="768" t="s">
        <v>491</v>
      </c>
      <c r="V203" s="768" t="s">
        <v>491</v>
      </c>
      <c r="W203" s="768"/>
      <c r="X203" s="768"/>
      <c r="Y203" s="768" t="s">
        <v>491</v>
      </c>
      <c r="Z203" s="768" t="s">
        <v>491</v>
      </c>
      <c r="AA203" s="768" t="s">
        <v>491</v>
      </c>
      <c r="AB203" s="768" t="s">
        <v>491</v>
      </c>
      <c r="AC203" s="768" t="s">
        <v>491</v>
      </c>
      <c r="AD203" s="768"/>
      <c r="AE203" s="768"/>
      <c r="AF203" s="768" t="s">
        <v>491</v>
      </c>
      <c r="AG203" s="768" t="s">
        <v>491</v>
      </c>
      <c r="AH203" s="597">
        <v>37</v>
      </c>
      <c r="AI203" s="598">
        <v>37</v>
      </c>
    </row>
    <row r="204" spans="1:35" ht="21.95" customHeight="1">
      <c r="A204" s="442">
        <v>3701</v>
      </c>
      <c r="B204" s="789" t="s">
        <v>786</v>
      </c>
      <c r="C204" s="768"/>
      <c r="D204" s="768" t="s">
        <v>491</v>
      </c>
      <c r="E204" s="768" t="s">
        <v>491</v>
      </c>
      <c r="F204" s="768" t="s">
        <v>491</v>
      </c>
      <c r="G204" s="768" t="s">
        <v>491</v>
      </c>
      <c r="H204" s="768" t="s">
        <v>491</v>
      </c>
      <c r="I204" s="768"/>
      <c r="J204" s="768"/>
      <c r="K204" s="768" t="s">
        <v>491</v>
      </c>
      <c r="L204" s="768" t="s">
        <v>491</v>
      </c>
      <c r="M204" s="768" t="s">
        <v>491</v>
      </c>
      <c r="N204" s="768" t="s">
        <v>491</v>
      </c>
      <c r="O204" s="768" t="s">
        <v>491</v>
      </c>
      <c r="P204" s="768"/>
      <c r="Q204" s="768"/>
      <c r="R204" s="764">
        <v>19</v>
      </c>
      <c r="S204" s="764">
        <v>19</v>
      </c>
      <c r="T204" s="764">
        <v>19</v>
      </c>
      <c r="U204" s="764">
        <v>19</v>
      </c>
      <c r="V204" s="764">
        <v>19</v>
      </c>
      <c r="W204" s="768"/>
      <c r="X204" s="768"/>
      <c r="Y204" s="768" t="s">
        <v>491</v>
      </c>
      <c r="Z204" s="768" t="s">
        <v>491</v>
      </c>
      <c r="AA204" s="768" t="s">
        <v>491</v>
      </c>
      <c r="AB204" s="768" t="s">
        <v>491</v>
      </c>
      <c r="AC204" s="768" t="s">
        <v>491</v>
      </c>
      <c r="AD204" s="768"/>
      <c r="AE204" s="768"/>
      <c r="AF204" s="768" t="s">
        <v>491</v>
      </c>
      <c r="AG204" s="768" t="s">
        <v>491</v>
      </c>
      <c r="AH204" s="597">
        <v>185</v>
      </c>
      <c r="AI204" s="598">
        <v>37</v>
      </c>
    </row>
    <row r="205" spans="1:35" ht="21.95" customHeight="1">
      <c r="A205" s="442">
        <v>3701</v>
      </c>
      <c r="B205" s="789" t="s">
        <v>438</v>
      </c>
      <c r="C205" s="768"/>
      <c r="D205" s="768" t="s">
        <v>491</v>
      </c>
      <c r="E205" s="1038" t="s">
        <v>493</v>
      </c>
      <c r="F205" s="768" t="s">
        <v>491</v>
      </c>
      <c r="G205" s="768" t="s">
        <v>491</v>
      </c>
      <c r="H205" s="768" t="s">
        <v>491</v>
      </c>
      <c r="I205" s="768"/>
      <c r="J205" s="768"/>
      <c r="K205" s="768" t="s">
        <v>491</v>
      </c>
      <c r="L205" s="768" t="s">
        <v>491</v>
      </c>
      <c r="M205" s="768" t="s">
        <v>491</v>
      </c>
      <c r="N205" s="768" t="s">
        <v>491</v>
      </c>
      <c r="O205" s="768" t="s">
        <v>491</v>
      </c>
      <c r="P205" s="768"/>
      <c r="Q205" s="768"/>
      <c r="R205" s="764" t="s">
        <v>485</v>
      </c>
      <c r="S205" s="764" t="s">
        <v>485</v>
      </c>
      <c r="T205" s="764" t="s">
        <v>485</v>
      </c>
      <c r="U205" s="764" t="s">
        <v>485</v>
      </c>
      <c r="V205" s="764" t="s">
        <v>485</v>
      </c>
      <c r="W205" s="768"/>
      <c r="X205" s="768"/>
      <c r="Y205" s="768" t="s">
        <v>491</v>
      </c>
      <c r="Z205" s="768" t="s">
        <v>491</v>
      </c>
      <c r="AA205" s="768" t="s">
        <v>491</v>
      </c>
      <c r="AB205" s="980" t="s">
        <v>491</v>
      </c>
      <c r="AC205" s="980" t="s">
        <v>491</v>
      </c>
      <c r="AD205" s="768"/>
      <c r="AE205" s="768"/>
      <c r="AF205" s="980" t="s">
        <v>491</v>
      </c>
      <c r="AG205" s="980" t="s">
        <v>491</v>
      </c>
      <c r="AH205" s="597">
        <v>2</v>
      </c>
      <c r="AI205" s="598">
        <v>0</v>
      </c>
    </row>
    <row r="206" spans="1:35" ht="21.95" customHeight="1">
      <c r="A206" s="442">
        <v>3701</v>
      </c>
      <c r="B206" s="789" t="s">
        <v>439</v>
      </c>
      <c r="C206" s="768"/>
      <c r="D206" s="768" t="s">
        <v>491</v>
      </c>
      <c r="E206" s="768" t="s">
        <v>491</v>
      </c>
      <c r="F206" s="768" t="s">
        <v>491</v>
      </c>
      <c r="G206" s="768" t="s">
        <v>491</v>
      </c>
      <c r="H206" s="768" t="s">
        <v>491</v>
      </c>
      <c r="I206" s="768"/>
      <c r="J206" s="768"/>
      <c r="K206" s="764">
        <v>19</v>
      </c>
      <c r="L206" s="764">
        <v>19</v>
      </c>
      <c r="M206" s="764">
        <v>19</v>
      </c>
      <c r="N206" s="764">
        <v>19</v>
      </c>
      <c r="O206" s="764">
        <v>19</v>
      </c>
      <c r="P206" s="768"/>
      <c r="Q206" s="768"/>
      <c r="R206" s="768" t="s">
        <v>491</v>
      </c>
      <c r="S206" s="768" t="s">
        <v>491</v>
      </c>
      <c r="T206" s="768" t="s">
        <v>491</v>
      </c>
      <c r="U206" s="768" t="s">
        <v>491</v>
      </c>
      <c r="V206" s="768" t="s">
        <v>491</v>
      </c>
      <c r="W206" s="768"/>
      <c r="X206" s="768"/>
      <c r="Y206" s="768" t="s">
        <v>491</v>
      </c>
      <c r="Z206" s="768" t="s">
        <v>491</v>
      </c>
      <c r="AA206" s="768" t="s">
        <v>491</v>
      </c>
      <c r="AB206" s="768" t="s">
        <v>491</v>
      </c>
      <c r="AC206" s="768" t="s">
        <v>491</v>
      </c>
      <c r="AD206" s="768"/>
      <c r="AE206" s="768"/>
      <c r="AF206" s="768" t="s">
        <v>491</v>
      </c>
      <c r="AG206" s="768" t="s">
        <v>491</v>
      </c>
      <c r="AH206" s="597">
        <v>2.5</v>
      </c>
      <c r="AI206" s="598">
        <v>31</v>
      </c>
    </row>
    <row r="207" spans="1:35" ht="21.95" customHeight="1">
      <c r="A207" s="442">
        <v>3701</v>
      </c>
      <c r="B207" s="789" t="s">
        <v>677</v>
      </c>
      <c r="C207" s="768"/>
      <c r="D207" s="764">
        <v>19</v>
      </c>
      <c r="E207" s="764">
        <v>19</v>
      </c>
      <c r="F207" s="764">
        <v>19</v>
      </c>
      <c r="G207" s="764">
        <v>19</v>
      </c>
      <c r="H207" s="764">
        <v>19</v>
      </c>
      <c r="I207" s="768"/>
      <c r="J207" s="768"/>
      <c r="K207" s="764" t="s">
        <v>485</v>
      </c>
      <c r="L207" s="764" t="s">
        <v>485</v>
      </c>
      <c r="M207" s="764" t="s">
        <v>485</v>
      </c>
      <c r="N207" s="764" t="s">
        <v>485</v>
      </c>
      <c r="O207" s="764" t="s">
        <v>485</v>
      </c>
      <c r="P207" s="768"/>
      <c r="Q207" s="768"/>
      <c r="R207" s="768" t="s">
        <v>491</v>
      </c>
      <c r="S207" s="768" t="s">
        <v>491</v>
      </c>
      <c r="T207" s="768" t="s">
        <v>491</v>
      </c>
      <c r="U207" s="768" t="s">
        <v>491</v>
      </c>
      <c r="V207" s="768" t="s">
        <v>491</v>
      </c>
      <c r="W207" s="768"/>
      <c r="X207" s="768"/>
      <c r="Y207" s="768" t="s">
        <v>491</v>
      </c>
      <c r="Z207" s="768" t="s">
        <v>491</v>
      </c>
      <c r="AA207" s="768" t="s">
        <v>491</v>
      </c>
      <c r="AB207" s="768" t="s">
        <v>491</v>
      </c>
      <c r="AC207" s="768" t="s">
        <v>491</v>
      </c>
      <c r="AD207" s="768"/>
      <c r="AE207" s="768"/>
      <c r="AF207" s="768" t="s">
        <v>491</v>
      </c>
      <c r="AG207" s="768" t="s">
        <v>491</v>
      </c>
      <c r="AH207" s="597">
        <v>84.25</v>
      </c>
      <c r="AI207" s="598">
        <v>37</v>
      </c>
    </row>
    <row r="208" spans="1:35" ht="21.95" customHeight="1">
      <c r="A208" s="442">
        <v>3701</v>
      </c>
      <c r="B208" s="542" t="s">
        <v>678</v>
      </c>
      <c r="C208" s="768"/>
      <c r="D208" s="768" t="s">
        <v>491</v>
      </c>
      <c r="E208" s="768" t="s">
        <v>491</v>
      </c>
      <c r="F208" s="768" t="s">
        <v>491</v>
      </c>
      <c r="G208" s="768" t="s">
        <v>491</v>
      </c>
      <c r="H208" s="768" t="s">
        <v>491</v>
      </c>
      <c r="I208" s="768"/>
      <c r="J208" s="768"/>
      <c r="K208" s="768" t="s">
        <v>491</v>
      </c>
      <c r="L208" s="768" t="s">
        <v>491</v>
      </c>
      <c r="M208" s="768" t="s">
        <v>491</v>
      </c>
      <c r="N208" s="768" t="s">
        <v>491</v>
      </c>
      <c r="O208" s="768" t="s">
        <v>491</v>
      </c>
      <c r="P208" s="768"/>
      <c r="Q208" s="768"/>
      <c r="R208" s="768" t="s">
        <v>491</v>
      </c>
      <c r="S208" s="1038" t="s">
        <v>491</v>
      </c>
      <c r="T208" s="1038" t="s">
        <v>491</v>
      </c>
      <c r="U208" s="1038" t="s">
        <v>491</v>
      </c>
      <c r="V208" s="1038" t="s">
        <v>491</v>
      </c>
      <c r="W208" s="768"/>
      <c r="X208" s="768"/>
      <c r="Y208" s="764">
        <v>19</v>
      </c>
      <c r="Z208" s="764">
        <v>19</v>
      </c>
      <c r="AA208" s="764">
        <v>19</v>
      </c>
      <c r="AB208" s="764">
        <v>19</v>
      </c>
      <c r="AC208" s="764">
        <v>19</v>
      </c>
      <c r="AD208" s="768"/>
      <c r="AE208" s="768"/>
      <c r="AF208" s="768" t="s">
        <v>491</v>
      </c>
      <c r="AG208" s="768" t="s">
        <v>491</v>
      </c>
      <c r="AH208" s="597">
        <v>23</v>
      </c>
      <c r="AI208" s="598">
        <v>37</v>
      </c>
    </row>
    <row r="209" spans="1:35" ht="21.95" customHeight="1">
      <c r="A209" s="442">
        <v>3701</v>
      </c>
      <c r="B209" s="821" t="s">
        <v>679</v>
      </c>
      <c r="C209" s="768"/>
      <c r="D209" s="764" t="s">
        <v>485</v>
      </c>
      <c r="E209" s="764" t="s">
        <v>485</v>
      </c>
      <c r="F209" s="764" t="s">
        <v>485</v>
      </c>
      <c r="G209" s="764" t="s">
        <v>485</v>
      </c>
      <c r="H209" s="764" t="s">
        <v>485</v>
      </c>
      <c r="I209" s="768"/>
      <c r="J209" s="768"/>
      <c r="K209" s="768" t="s">
        <v>491</v>
      </c>
      <c r="L209" s="768" t="s">
        <v>491</v>
      </c>
      <c r="M209" s="768" t="s">
        <v>491</v>
      </c>
      <c r="N209" s="768" t="s">
        <v>491</v>
      </c>
      <c r="O209" s="768" t="s">
        <v>491</v>
      </c>
      <c r="P209" s="768"/>
      <c r="Q209" s="768"/>
      <c r="R209" s="768" t="s">
        <v>491</v>
      </c>
      <c r="S209" s="768" t="s">
        <v>491</v>
      </c>
      <c r="T209" s="768" t="s">
        <v>491</v>
      </c>
      <c r="U209" s="768" t="s">
        <v>491</v>
      </c>
      <c r="V209" s="768" t="s">
        <v>491</v>
      </c>
      <c r="W209" s="768"/>
      <c r="X209" s="768"/>
      <c r="Y209" s="768" t="s">
        <v>491</v>
      </c>
      <c r="Z209" s="768" t="s">
        <v>491</v>
      </c>
      <c r="AA209" s="768" t="s">
        <v>491</v>
      </c>
      <c r="AB209" s="980" t="s">
        <v>491</v>
      </c>
      <c r="AC209" s="980" t="s">
        <v>491</v>
      </c>
      <c r="AD209" s="768"/>
      <c r="AE209" s="768"/>
      <c r="AF209" s="980" t="s">
        <v>491</v>
      </c>
      <c r="AG209" s="980">
        <v>19</v>
      </c>
      <c r="AH209" s="597">
        <v>10</v>
      </c>
      <c r="AI209" s="598">
        <v>0</v>
      </c>
    </row>
    <row r="210" spans="1:35" ht="21.95" customHeight="1">
      <c r="A210" s="820">
        <v>3701</v>
      </c>
      <c r="B210" s="792" t="s">
        <v>680</v>
      </c>
      <c r="C210" s="768"/>
      <c r="D210" s="768" t="s">
        <v>491</v>
      </c>
      <c r="E210" s="768" t="s">
        <v>491</v>
      </c>
      <c r="F210" s="768" t="s">
        <v>491</v>
      </c>
      <c r="G210" s="768" t="s">
        <v>491</v>
      </c>
      <c r="H210" s="970" t="s">
        <v>491</v>
      </c>
      <c r="I210" s="970"/>
      <c r="J210" s="970"/>
      <c r="K210" s="970" t="s">
        <v>491</v>
      </c>
      <c r="L210" s="970" t="s">
        <v>491</v>
      </c>
      <c r="M210" s="970" t="s">
        <v>491</v>
      </c>
      <c r="N210" s="970" t="s">
        <v>491</v>
      </c>
      <c r="O210" s="970" t="s">
        <v>491</v>
      </c>
      <c r="P210" s="768"/>
      <c r="Q210" s="768"/>
      <c r="R210" s="768" t="s">
        <v>491</v>
      </c>
      <c r="S210" s="768" t="s">
        <v>491</v>
      </c>
      <c r="T210" s="768" t="s">
        <v>491</v>
      </c>
      <c r="U210" s="768" t="s">
        <v>491</v>
      </c>
      <c r="V210" s="768" t="s">
        <v>491</v>
      </c>
      <c r="W210" s="768"/>
      <c r="X210" s="768"/>
      <c r="Y210" s="768" t="s">
        <v>491</v>
      </c>
      <c r="Z210" s="768" t="s">
        <v>491</v>
      </c>
      <c r="AA210" s="768" t="s">
        <v>491</v>
      </c>
      <c r="AB210" s="768" t="s">
        <v>491</v>
      </c>
      <c r="AC210" s="768" t="s">
        <v>491</v>
      </c>
      <c r="AD210" s="768"/>
      <c r="AE210" s="768"/>
      <c r="AF210" s="768" t="s">
        <v>491</v>
      </c>
      <c r="AG210" s="768" t="s">
        <v>491</v>
      </c>
      <c r="AH210" s="597">
        <v>31</v>
      </c>
      <c r="AI210" s="598">
        <v>37</v>
      </c>
    </row>
    <row r="211" spans="1:35" ht="21.95" customHeight="1" thickBot="1">
      <c r="A211" s="442">
        <v>3701</v>
      </c>
      <c r="B211" s="904" t="s">
        <v>681</v>
      </c>
      <c r="C211" s="768"/>
      <c r="D211" s="768" t="s">
        <v>491</v>
      </c>
      <c r="E211" s="768" t="s">
        <v>491</v>
      </c>
      <c r="F211" s="768" t="s">
        <v>491</v>
      </c>
      <c r="G211" s="768" t="s">
        <v>491</v>
      </c>
      <c r="H211" s="768" t="s">
        <v>491</v>
      </c>
      <c r="I211" s="768"/>
      <c r="J211" s="768"/>
      <c r="K211" s="768" t="s">
        <v>491</v>
      </c>
      <c r="L211" s="768" t="s">
        <v>491</v>
      </c>
      <c r="M211" s="768" t="s">
        <v>491</v>
      </c>
      <c r="N211" s="768" t="s">
        <v>491</v>
      </c>
      <c r="O211" s="768" t="s">
        <v>491</v>
      </c>
      <c r="P211" s="768"/>
      <c r="Q211" s="768"/>
      <c r="R211" s="1038" t="s">
        <v>491</v>
      </c>
      <c r="S211" s="1038" t="s">
        <v>491</v>
      </c>
      <c r="T211" s="1038" t="s">
        <v>491</v>
      </c>
      <c r="U211" s="1038" t="s">
        <v>491</v>
      </c>
      <c r="V211" s="1038" t="s">
        <v>491</v>
      </c>
      <c r="W211" s="768"/>
      <c r="X211" s="768"/>
      <c r="Y211" s="768" t="s">
        <v>491</v>
      </c>
      <c r="Z211" s="768" t="s">
        <v>491</v>
      </c>
      <c r="AA211" s="768" t="s">
        <v>491</v>
      </c>
      <c r="AB211" s="768" t="s">
        <v>491</v>
      </c>
      <c r="AC211" s="768" t="s">
        <v>491</v>
      </c>
      <c r="AD211" s="768"/>
      <c r="AE211" s="768"/>
      <c r="AF211" s="768" t="s">
        <v>491</v>
      </c>
      <c r="AG211" s="768" t="s">
        <v>491</v>
      </c>
      <c r="AH211" s="597">
        <v>96</v>
      </c>
      <c r="AI211" s="598">
        <v>37</v>
      </c>
    </row>
    <row r="212" spans="1:35" ht="21.95" customHeight="1">
      <c r="A212" s="442">
        <v>3701</v>
      </c>
      <c r="B212" s="789" t="s">
        <v>436</v>
      </c>
      <c r="C212" s="768"/>
      <c r="D212" s="768" t="s">
        <v>491</v>
      </c>
      <c r="E212" s="768" t="s">
        <v>491</v>
      </c>
      <c r="F212" s="768" t="s">
        <v>491</v>
      </c>
      <c r="G212" s="768" t="s">
        <v>491</v>
      </c>
      <c r="H212" s="768" t="s">
        <v>491</v>
      </c>
      <c r="I212" s="768"/>
      <c r="J212" s="768"/>
      <c r="K212" s="768" t="s">
        <v>491</v>
      </c>
      <c r="L212" s="768" t="s">
        <v>491</v>
      </c>
      <c r="M212" s="768" t="s">
        <v>491</v>
      </c>
      <c r="N212" s="768" t="s">
        <v>491</v>
      </c>
      <c r="O212" s="768" t="s">
        <v>491</v>
      </c>
      <c r="P212" s="768"/>
      <c r="Q212" s="768"/>
      <c r="R212" s="768" t="s">
        <v>491</v>
      </c>
      <c r="S212" s="768" t="s">
        <v>491</v>
      </c>
      <c r="T212" s="768" t="s">
        <v>491</v>
      </c>
      <c r="U212" s="768" t="s">
        <v>491</v>
      </c>
      <c r="V212" s="768" t="s">
        <v>491</v>
      </c>
      <c r="W212" s="768"/>
      <c r="X212" s="768"/>
      <c r="Y212" s="768" t="s">
        <v>491</v>
      </c>
      <c r="Z212" s="768" t="s">
        <v>491</v>
      </c>
      <c r="AA212" s="768" t="s">
        <v>491</v>
      </c>
      <c r="AB212" s="768" t="s">
        <v>491</v>
      </c>
      <c r="AC212" s="768" t="s">
        <v>491</v>
      </c>
      <c r="AD212" s="768"/>
      <c r="AE212" s="768"/>
      <c r="AF212" s="980" t="s">
        <v>491</v>
      </c>
      <c r="AG212" s="980" t="s">
        <v>491</v>
      </c>
      <c r="AH212" s="597">
        <v>1.75</v>
      </c>
      <c r="AI212" s="598">
        <v>13.75</v>
      </c>
    </row>
    <row r="213" spans="1:35" ht="21.95" customHeight="1">
      <c r="A213" s="442">
        <v>3701</v>
      </c>
      <c r="B213" s="1301" t="s">
        <v>188</v>
      </c>
      <c r="C213" s="768"/>
      <c r="D213" s="970" t="s">
        <v>491</v>
      </c>
      <c r="E213" s="970" t="s">
        <v>491</v>
      </c>
      <c r="F213" s="970" t="s">
        <v>491</v>
      </c>
      <c r="G213" s="970" t="s">
        <v>491</v>
      </c>
      <c r="H213" s="970" t="s">
        <v>491</v>
      </c>
      <c r="I213" s="970"/>
      <c r="J213" s="970"/>
      <c r="K213" s="768" t="s">
        <v>491</v>
      </c>
      <c r="L213" s="768" t="s">
        <v>491</v>
      </c>
      <c r="M213" s="768" t="s">
        <v>491</v>
      </c>
      <c r="N213" s="768" t="s">
        <v>491</v>
      </c>
      <c r="O213" s="768" t="s">
        <v>491</v>
      </c>
      <c r="P213" s="768"/>
      <c r="Q213" s="768"/>
      <c r="R213" s="768" t="s">
        <v>491</v>
      </c>
      <c r="S213" s="768" t="s">
        <v>491</v>
      </c>
      <c r="T213" s="768" t="s">
        <v>491</v>
      </c>
      <c r="U213" s="768" t="s">
        <v>491</v>
      </c>
      <c r="V213" s="768" t="s">
        <v>491</v>
      </c>
      <c r="W213" s="768"/>
      <c r="X213" s="768"/>
      <c r="Y213" s="768" t="s">
        <v>491</v>
      </c>
      <c r="Z213" s="768" t="s">
        <v>491</v>
      </c>
      <c r="AA213" s="768" t="s">
        <v>491</v>
      </c>
      <c r="AB213" s="768" t="s">
        <v>491</v>
      </c>
      <c r="AC213" s="768" t="s">
        <v>491</v>
      </c>
      <c r="AD213" s="768"/>
      <c r="AE213" s="768"/>
      <c r="AF213" s="768" t="s">
        <v>491</v>
      </c>
      <c r="AG213" s="768" t="s">
        <v>491</v>
      </c>
      <c r="AH213" s="597">
        <v>50</v>
      </c>
      <c r="AI213" s="598">
        <v>37</v>
      </c>
    </row>
    <row r="214" spans="1:35" ht="21.95" customHeight="1" thickBot="1">
      <c r="A214" s="903">
        <v>3701</v>
      </c>
      <c r="B214" s="904" t="s">
        <v>788</v>
      </c>
      <c r="C214" s="905"/>
      <c r="D214" s="768" t="s">
        <v>491</v>
      </c>
      <c r="E214" s="768" t="s">
        <v>491</v>
      </c>
      <c r="F214" s="768" t="s">
        <v>491</v>
      </c>
      <c r="G214" s="768" t="s">
        <v>491</v>
      </c>
      <c r="H214" s="768" t="s">
        <v>491</v>
      </c>
      <c r="I214" s="768"/>
      <c r="J214" s="768"/>
      <c r="K214" s="768" t="s">
        <v>491</v>
      </c>
      <c r="L214" s="768" t="s">
        <v>491</v>
      </c>
      <c r="M214" s="768" t="s">
        <v>491</v>
      </c>
      <c r="N214" s="768" t="s">
        <v>491</v>
      </c>
      <c r="O214" s="768" t="s">
        <v>491</v>
      </c>
      <c r="P214" s="768"/>
      <c r="Q214" s="768"/>
      <c r="R214" s="768" t="s">
        <v>491</v>
      </c>
      <c r="S214" s="768" t="s">
        <v>491</v>
      </c>
      <c r="T214" s="768" t="s">
        <v>491</v>
      </c>
      <c r="U214" s="768" t="s">
        <v>491</v>
      </c>
      <c r="V214" s="768" t="s">
        <v>491</v>
      </c>
      <c r="W214" s="768"/>
      <c r="X214" s="768"/>
      <c r="Y214" s="768" t="s">
        <v>491</v>
      </c>
      <c r="Z214" s="768" t="s">
        <v>491</v>
      </c>
      <c r="AA214" s="768" t="s">
        <v>491</v>
      </c>
      <c r="AB214" s="768" t="s">
        <v>491</v>
      </c>
      <c r="AC214" s="768" t="s">
        <v>491</v>
      </c>
      <c r="AD214" s="768"/>
      <c r="AE214" s="768"/>
      <c r="AF214" s="768" t="s">
        <v>491</v>
      </c>
      <c r="AG214" s="768" t="s">
        <v>491</v>
      </c>
      <c r="AH214" s="597"/>
      <c r="AI214" s="598"/>
    </row>
    <row r="215" spans="1:35" ht="21.95" customHeight="1">
      <c r="A215" s="574"/>
      <c r="B215" s="615"/>
      <c r="C215" s="555"/>
      <c r="D215" s="555"/>
      <c r="E215" s="555"/>
      <c r="F215" s="555"/>
      <c r="G215" s="555"/>
      <c r="H215" s="555"/>
      <c r="I215" s="555"/>
      <c r="J215" s="555"/>
      <c r="K215" s="517"/>
      <c r="L215" s="555"/>
      <c r="M215" s="555"/>
      <c r="N215" s="555"/>
      <c r="O215" s="555"/>
      <c r="P215" s="538"/>
      <c r="Q215" s="538"/>
      <c r="R215" s="538"/>
      <c r="S215" s="555"/>
      <c r="T215" s="555"/>
      <c r="U215" s="555"/>
      <c r="V215" s="555"/>
      <c r="W215" s="555"/>
      <c r="X215" s="555"/>
      <c r="Y215" s="555"/>
      <c r="Z215" s="555"/>
      <c r="AA215" s="555"/>
      <c r="AB215" s="555"/>
      <c r="AC215" s="555"/>
      <c r="AD215" s="555"/>
      <c r="AE215" s="555"/>
      <c r="AF215" s="555"/>
      <c r="AG215" s="555"/>
      <c r="AH215" s="998">
        <v>87</v>
      </c>
      <c r="AI215" s="998">
        <v>21.5</v>
      </c>
    </row>
    <row r="216" spans="1:35" ht="21" customHeight="1" thickBot="1">
      <c r="A216" s="1" t="s">
        <v>682</v>
      </c>
    </row>
    <row r="217" spans="1:35" ht="21" customHeight="1">
      <c r="B217" s="201" t="s">
        <v>664</v>
      </c>
      <c r="C217" s="7"/>
      <c r="D217" s="522" t="s">
        <v>2</v>
      </c>
      <c r="E217" s="51"/>
      <c r="F217" s="548"/>
      <c r="G217" s="7"/>
      <c r="H217" s="522" t="s">
        <v>3</v>
      </c>
      <c r="I217" s="51"/>
      <c r="J217" s="548"/>
      <c r="K217" s="7"/>
      <c r="L217" s="522" t="s">
        <v>4</v>
      </c>
      <c r="M217" s="51"/>
      <c r="N217" s="548"/>
      <c r="O217" s="7"/>
      <c r="P217" s="522" t="s">
        <v>5</v>
      </c>
      <c r="Q217" s="51"/>
      <c r="R217" s="548"/>
      <c r="S217" s="7"/>
      <c r="T217" s="522" t="s">
        <v>6</v>
      </c>
      <c r="U217" s="51"/>
      <c r="V217" s="548"/>
      <c r="W217" s="7"/>
      <c r="X217" s="522" t="s">
        <v>7</v>
      </c>
      <c r="Y217" s="51"/>
      <c r="Z217" s="548"/>
      <c r="AA217" s="7"/>
      <c r="AB217" s="522" t="s">
        <v>8</v>
      </c>
      <c r="AC217" s="51"/>
      <c r="AD217" s="51"/>
      <c r="AE217" s="425" t="s">
        <v>10</v>
      </c>
      <c r="AF217" s="51"/>
      <c r="AG217" s="51"/>
      <c r="AH217" s="51"/>
      <c r="AI217" s="523"/>
    </row>
    <row r="218" spans="1:35" ht="21" customHeight="1">
      <c r="B218" s="9">
        <v>8502</v>
      </c>
      <c r="C218" s="14" t="s">
        <v>11</v>
      </c>
      <c r="D218" s="603"/>
      <c r="E218" s="55"/>
      <c r="F218" s="602"/>
      <c r="G218" s="14" t="s">
        <v>11</v>
      </c>
      <c r="H218" s="603"/>
      <c r="I218" s="55"/>
      <c r="J218" s="602"/>
      <c r="K218" s="14" t="s">
        <v>11</v>
      </c>
      <c r="L218" s="603"/>
      <c r="M218" s="55"/>
      <c r="N218" s="602"/>
      <c r="O218" s="14" t="s">
        <v>11</v>
      </c>
      <c r="P218" s="603"/>
      <c r="Q218" s="55"/>
      <c r="R218" s="602"/>
      <c r="S218" s="14" t="s">
        <v>12</v>
      </c>
      <c r="T218" s="603"/>
      <c r="U218" s="55"/>
      <c r="V218" s="602"/>
      <c r="W218" s="14"/>
      <c r="X218" s="603"/>
      <c r="Y218" s="55"/>
      <c r="Z218" s="602"/>
      <c r="AA218" s="14"/>
      <c r="AB218" s="603"/>
      <c r="AC218" s="55"/>
      <c r="AD218" s="55"/>
      <c r="AE218" s="604"/>
      <c r="AF218" s="55"/>
      <c r="AG218" s="55"/>
      <c r="AH218" s="55"/>
      <c r="AI218" s="605"/>
    </row>
    <row r="219" spans="1:35" ht="21" customHeight="1">
      <c r="B219" s="606">
        <v>3701</v>
      </c>
      <c r="C219" s="121" t="s">
        <v>11</v>
      </c>
      <c r="D219" s="131"/>
      <c r="E219" s="55"/>
      <c r="F219" s="602"/>
      <c r="G219" s="121" t="s">
        <v>11</v>
      </c>
      <c r="H219" s="603"/>
      <c r="I219" s="55"/>
      <c r="J219" s="602"/>
      <c r="K219" s="121" t="s">
        <v>11</v>
      </c>
      <c r="L219" s="603"/>
      <c r="M219" s="55"/>
      <c r="N219" s="602"/>
      <c r="O219" s="121" t="s">
        <v>11</v>
      </c>
      <c r="P219" s="603"/>
      <c r="Q219" s="55"/>
      <c r="R219" s="602"/>
      <c r="S219" s="14" t="s">
        <v>12</v>
      </c>
      <c r="T219" s="603"/>
      <c r="U219" s="55"/>
      <c r="V219" s="602"/>
      <c r="W219" s="14"/>
      <c r="X219" s="603"/>
      <c r="Y219" s="55"/>
      <c r="Z219" s="602"/>
      <c r="AA219" s="14"/>
      <c r="AB219" s="603"/>
      <c r="AC219" s="55"/>
      <c r="AD219" s="55"/>
      <c r="AE219" s="604"/>
      <c r="AF219" s="55"/>
      <c r="AG219" s="55"/>
      <c r="AH219" s="55"/>
      <c r="AI219" s="605"/>
    </row>
    <row r="220" spans="1:35" ht="21" customHeight="1">
      <c r="B220" s="606">
        <v>3705</v>
      </c>
      <c r="C220" s="121" t="s">
        <v>147</v>
      </c>
      <c r="D220" s="131"/>
      <c r="E220" s="55"/>
      <c r="F220" s="602"/>
      <c r="G220" s="121" t="s">
        <v>147</v>
      </c>
      <c r="H220" s="603"/>
      <c r="I220" s="55"/>
      <c r="J220" s="602"/>
      <c r="K220" s="121" t="s">
        <v>147</v>
      </c>
      <c r="L220" s="603"/>
      <c r="M220" s="55"/>
      <c r="N220" s="602"/>
      <c r="O220" s="121" t="s">
        <v>147</v>
      </c>
      <c r="P220" s="603"/>
      <c r="Q220" s="55"/>
      <c r="R220" s="602"/>
      <c r="S220" s="121" t="s">
        <v>537</v>
      </c>
      <c r="T220" s="603"/>
      <c r="U220" s="55"/>
      <c r="V220" s="602"/>
      <c r="W220" s="14"/>
      <c r="X220" s="603"/>
      <c r="Y220" s="55"/>
      <c r="Z220" s="602"/>
      <c r="AA220" s="14"/>
      <c r="AB220" s="603"/>
      <c r="AC220" s="55"/>
      <c r="AD220" s="55"/>
      <c r="AE220" s="604"/>
      <c r="AF220" s="55"/>
      <c r="AG220" s="55"/>
      <c r="AH220" s="55"/>
      <c r="AI220" s="605"/>
    </row>
    <row r="221" spans="1:35" ht="21" customHeight="1">
      <c r="B221" s="606">
        <v>3702</v>
      </c>
      <c r="C221" s="563" t="s">
        <v>683</v>
      </c>
      <c r="D221" s="131"/>
      <c r="E221" s="55"/>
      <c r="F221" s="602"/>
      <c r="G221" s="563" t="s">
        <v>683</v>
      </c>
      <c r="H221" s="131"/>
      <c r="I221" s="55"/>
      <c r="J221" s="602"/>
      <c r="K221" s="563" t="s">
        <v>683</v>
      </c>
      <c r="L221" s="131"/>
      <c r="M221" s="55"/>
      <c r="N221" s="602"/>
      <c r="O221" s="563" t="s">
        <v>683</v>
      </c>
      <c r="P221" s="131"/>
      <c r="Q221" s="55"/>
      <c r="R221" s="602"/>
      <c r="S221" s="563" t="s">
        <v>270</v>
      </c>
      <c r="T221" s="131"/>
      <c r="U221" s="55"/>
      <c r="V221" s="602"/>
      <c r="W221" s="14"/>
      <c r="X221" s="603"/>
      <c r="Y221" s="55"/>
      <c r="Z221" s="602"/>
      <c r="AA221" s="14"/>
      <c r="AB221" s="603"/>
      <c r="AC221" s="55"/>
      <c r="AD221" s="55"/>
      <c r="AE221" s="604"/>
      <c r="AF221" s="55"/>
      <c r="AG221" s="55"/>
      <c r="AH221" s="55"/>
      <c r="AI221" s="605"/>
    </row>
    <row r="222" spans="1:35" ht="21" customHeight="1">
      <c r="B222" s="606"/>
      <c r="C222" s="563"/>
      <c r="D222" s="131"/>
      <c r="E222" s="55"/>
      <c r="F222" s="602"/>
      <c r="G222" s="603"/>
      <c r="H222" s="603"/>
      <c r="I222" s="55"/>
      <c r="J222" s="602"/>
      <c r="K222" s="603"/>
      <c r="L222" s="603"/>
      <c r="M222" s="55"/>
      <c r="N222" s="602"/>
      <c r="O222" s="603"/>
      <c r="P222" s="603"/>
      <c r="Q222" s="55"/>
      <c r="R222" s="602"/>
      <c r="S222" s="603"/>
      <c r="T222" s="603"/>
      <c r="U222" s="55"/>
      <c r="V222" s="602"/>
      <c r="W222" s="14"/>
      <c r="X222" s="603"/>
      <c r="Y222" s="55"/>
      <c r="Z222" s="602"/>
      <c r="AA222" s="14"/>
      <c r="AB222" s="603"/>
      <c r="AC222" s="55"/>
      <c r="AD222" s="55"/>
      <c r="AE222" s="604"/>
      <c r="AF222" s="55"/>
      <c r="AG222" s="55"/>
      <c r="AH222" s="55"/>
      <c r="AI222" s="605"/>
    </row>
    <row r="223" spans="1:35" ht="21" customHeight="1">
      <c r="B223" s="606" t="s">
        <v>324</v>
      </c>
      <c r="C223" s="563" t="s">
        <v>684</v>
      </c>
      <c r="D223" s="131"/>
      <c r="E223" s="55"/>
      <c r="F223" s="602"/>
      <c r="G223" s="563" t="s">
        <v>684</v>
      </c>
      <c r="H223" s="131"/>
      <c r="I223" s="55"/>
      <c r="J223" s="602"/>
      <c r="K223" s="563" t="s">
        <v>684</v>
      </c>
      <c r="L223" s="131"/>
      <c r="M223" s="55"/>
      <c r="N223" s="602"/>
      <c r="O223" s="563" t="s">
        <v>684</v>
      </c>
      <c r="P223" s="131"/>
      <c r="Q223" s="55"/>
      <c r="R223" s="602"/>
      <c r="S223" s="603" t="s">
        <v>685</v>
      </c>
      <c r="T223" s="603"/>
      <c r="U223" s="55"/>
      <c r="V223" s="602"/>
      <c r="W223" s="14"/>
      <c r="X223" s="603"/>
      <c r="Y223" s="55"/>
      <c r="Z223" s="602"/>
      <c r="AA223" s="14"/>
      <c r="AB223" s="603"/>
      <c r="AC223" s="55"/>
      <c r="AD223" s="55"/>
      <c r="AE223" s="604"/>
      <c r="AF223" s="55"/>
      <c r="AG223" s="55"/>
      <c r="AH223" s="55"/>
      <c r="AI223" s="605"/>
    </row>
    <row r="224" spans="1:35" ht="21" customHeight="1">
      <c r="B224" s="606" t="s">
        <v>325</v>
      </c>
      <c r="C224" s="563" t="s">
        <v>686</v>
      </c>
      <c r="D224" s="131"/>
      <c r="E224" s="55"/>
      <c r="F224" s="602"/>
      <c r="G224" s="563" t="s">
        <v>686</v>
      </c>
      <c r="H224" s="131"/>
      <c r="I224" s="55"/>
      <c r="J224" s="602"/>
      <c r="K224" s="563" t="s">
        <v>686</v>
      </c>
      <c r="L224" s="131"/>
      <c r="M224" s="55"/>
      <c r="N224" s="602"/>
      <c r="O224" s="563" t="s">
        <v>686</v>
      </c>
      <c r="P224" s="131"/>
      <c r="Q224" s="55"/>
      <c r="R224" s="602"/>
      <c r="S224" s="603" t="s">
        <v>687</v>
      </c>
      <c r="T224" s="603"/>
      <c r="U224" s="55"/>
      <c r="V224" s="602"/>
      <c r="W224" s="14"/>
      <c r="X224" s="603"/>
      <c r="Y224" s="55"/>
      <c r="Z224" s="602"/>
      <c r="AA224" s="14"/>
      <c r="AB224" s="603"/>
      <c r="AC224" s="55"/>
      <c r="AD224" s="55"/>
      <c r="AE224" s="604"/>
      <c r="AF224" s="55"/>
      <c r="AG224" s="55"/>
      <c r="AH224" s="55"/>
      <c r="AI224" s="605"/>
    </row>
    <row r="225" spans="1:35" ht="21" customHeight="1" thickBot="1">
      <c r="B225" s="611" t="s">
        <v>326</v>
      </c>
      <c r="C225" s="570" t="s">
        <v>688</v>
      </c>
      <c r="D225" s="48"/>
      <c r="E225" s="616"/>
      <c r="F225" s="240"/>
      <c r="G225" s="570" t="s">
        <v>688</v>
      </c>
      <c r="H225" s="48"/>
      <c r="I225" s="616"/>
      <c r="J225" s="240"/>
      <c r="K225" s="570" t="s">
        <v>688</v>
      </c>
      <c r="L225" s="48"/>
      <c r="M225" s="616"/>
      <c r="N225" s="240"/>
      <c r="O225" s="570" t="s">
        <v>688</v>
      </c>
      <c r="P225" s="48"/>
      <c r="Q225" s="616"/>
      <c r="R225" s="240"/>
      <c r="S225" s="149" t="s">
        <v>689</v>
      </c>
      <c r="T225" s="149"/>
      <c r="U225" s="616"/>
      <c r="V225" s="240"/>
      <c r="W225" s="617"/>
      <c r="X225" s="149"/>
      <c r="Y225" s="616"/>
      <c r="Z225" s="240"/>
      <c r="AA225" s="617"/>
      <c r="AB225" s="149"/>
      <c r="AC225" s="616"/>
      <c r="AD225" s="616"/>
      <c r="AE225" s="618"/>
      <c r="AF225" s="616"/>
      <c r="AG225" s="616"/>
      <c r="AH225" s="616"/>
      <c r="AI225" s="619"/>
    </row>
    <row r="226" spans="1:35" ht="21" customHeight="1">
      <c r="B226" s="274"/>
      <c r="C226" s="312"/>
      <c r="D226" s="72"/>
      <c r="G226" s="312"/>
      <c r="H226" s="72"/>
      <c r="K226" s="312"/>
      <c r="L226" s="72"/>
      <c r="O226" s="312"/>
      <c r="P226" s="72"/>
      <c r="S226" s="312"/>
      <c r="T226" s="312"/>
      <c r="X226" s="312"/>
      <c r="AB226" s="312"/>
      <c r="AE226" s="312"/>
    </row>
    <row r="227" spans="1:35" ht="21" customHeight="1" thickBot="1">
      <c r="A227" s="620" t="s">
        <v>789</v>
      </c>
    </row>
    <row r="228" spans="1:35" ht="21" customHeight="1" thickBot="1">
      <c r="A228" s="861"/>
      <c r="B228" s="862" t="s">
        <v>476</v>
      </c>
      <c r="C228" s="880">
        <v>1</v>
      </c>
      <c r="D228" s="863">
        <v>2</v>
      </c>
      <c r="E228" s="863">
        <v>3</v>
      </c>
      <c r="F228" s="863">
        <v>4</v>
      </c>
      <c r="G228" s="863">
        <v>5</v>
      </c>
      <c r="H228" s="863">
        <v>6</v>
      </c>
      <c r="I228" s="880">
        <v>7</v>
      </c>
      <c r="J228" s="880">
        <v>8</v>
      </c>
      <c r="K228" s="863">
        <v>9</v>
      </c>
      <c r="L228" s="863">
        <v>10</v>
      </c>
      <c r="M228" s="863">
        <v>11</v>
      </c>
      <c r="N228" s="863">
        <v>12</v>
      </c>
      <c r="O228" s="863">
        <v>13</v>
      </c>
      <c r="P228" s="880">
        <v>14</v>
      </c>
      <c r="Q228" s="880">
        <v>15</v>
      </c>
      <c r="R228" s="863">
        <v>16</v>
      </c>
      <c r="S228" s="863">
        <v>17</v>
      </c>
      <c r="T228" s="863">
        <v>18</v>
      </c>
      <c r="U228" s="863">
        <v>19</v>
      </c>
      <c r="V228" s="863">
        <v>20</v>
      </c>
      <c r="W228" s="880">
        <v>21</v>
      </c>
      <c r="X228" s="880">
        <v>22</v>
      </c>
      <c r="Y228" s="863">
        <v>23</v>
      </c>
      <c r="Z228" s="863">
        <v>24</v>
      </c>
      <c r="AA228" s="863">
        <v>25</v>
      </c>
      <c r="AB228" s="863">
        <v>26</v>
      </c>
      <c r="AC228" s="863">
        <v>27</v>
      </c>
      <c r="AD228" s="880">
        <v>28</v>
      </c>
      <c r="AE228" s="880">
        <v>29</v>
      </c>
      <c r="AF228" s="863">
        <v>30</v>
      </c>
      <c r="AG228" s="863">
        <v>31</v>
      </c>
      <c r="AH228" s="864" t="s">
        <v>477</v>
      </c>
      <c r="AI228" s="865" t="s">
        <v>478</v>
      </c>
    </row>
    <row r="229" spans="1:35" ht="21" customHeight="1">
      <c r="A229" s="438">
        <v>3702</v>
      </c>
      <c r="B229" s="54"/>
      <c r="C229" s="871"/>
      <c r="D229" s="764">
        <v>1</v>
      </c>
      <c r="E229" s="764">
        <v>1</v>
      </c>
      <c r="F229" s="871">
        <v>1</v>
      </c>
      <c r="G229" s="871">
        <v>1</v>
      </c>
      <c r="H229" s="871">
        <v>1</v>
      </c>
      <c r="I229" s="871"/>
      <c r="J229" s="871"/>
      <c r="K229" s="871">
        <v>2</v>
      </c>
      <c r="L229" s="871">
        <v>2</v>
      </c>
      <c r="M229" s="871">
        <v>2</v>
      </c>
      <c r="N229" s="871">
        <v>2</v>
      </c>
      <c r="O229" s="871">
        <v>2</v>
      </c>
      <c r="P229" s="871"/>
      <c r="Q229" s="871"/>
      <c r="R229" s="764">
        <v>1</v>
      </c>
      <c r="S229" s="764">
        <v>1</v>
      </c>
      <c r="T229" s="871">
        <v>1</v>
      </c>
      <c r="U229" s="871">
        <v>1</v>
      </c>
      <c r="V229" s="871">
        <v>1</v>
      </c>
      <c r="W229" s="871"/>
      <c r="X229" s="871"/>
      <c r="Y229" s="871">
        <v>2</v>
      </c>
      <c r="Z229" s="871">
        <v>2</v>
      </c>
      <c r="AA229" s="871">
        <v>2</v>
      </c>
      <c r="AB229" s="871">
        <v>2</v>
      </c>
      <c r="AC229" s="871">
        <v>2</v>
      </c>
      <c r="AD229" s="871"/>
      <c r="AE229" s="871"/>
      <c r="AF229" s="764">
        <v>1</v>
      </c>
      <c r="AG229" s="764">
        <v>1</v>
      </c>
      <c r="AH229" s="510">
        <v>0</v>
      </c>
      <c r="AI229" s="511">
        <v>0</v>
      </c>
    </row>
    <row r="230" spans="1:35" ht="21" customHeight="1">
      <c r="A230" s="442">
        <v>3701</v>
      </c>
      <c r="B230" s="153" t="s">
        <v>692</v>
      </c>
      <c r="C230" s="762"/>
      <c r="D230" s="977" t="s">
        <v>491</v>
      </c>
      <c r="E230" s="768" t="s">
        <v>491</v>
      </c>
      <c r="F230" s="762" t="s">
        <v>491</v>
      </c>
      <c r="G230" s="762" t="s">
        <v>491</v>
      </c>
      <c r="H230" s="762" t="s">
        <v>491</v>
      </c>
      <c r="I230" s="762"/>
      <c r="J230" s="762"/>
      <c r="K230" s="762" t="s">
        <v>491</v>
      </c>
      <c r="L230" s="762" t="s">
        <v>491</v>
      </c>
      <c r="M230" s="762" t="s">
        <v>491</v>
      </c>
      <c r="N230" s="762" t="s">
        <v>491</v>
      </c>
      <c r="O230" s="762" t="s">
        <v>491</v>
      </c>
      <c r="P230" s="762"/>
      <c r="Q230" s="762"/>
      <c r="R230" s="768" t="s">
        <v>491</v>
      </c>
      <c r="S230" s="768" t="s">
        <v>491</v>
      </c>
      <c r="T230" s="762" t="s">
        <v>491</v>
      </c>
      <c r="U230" s="762" t="s">
        <v>491</v>
      </c>
      <c r="V230" s="762" t="s">
        <v>491</v>
      </c>
      <c r="W230" s="762"/>
      <c r="X230" s="762"/>
      <c r="Y230" s="762" t="s">
        <v>491</v>
      </c>
      <c r="Z230" s="762" t="s">
        <v>491</v>
      </c>
      <c r="AA230" s="762" t="s">
        <v>491</v>
      </c>
      <c r="AB230" s="762" t="s">
        <v>491</v>
      </c>
      <c r="AC230" s="762" t="s">
        <v>491</v>
      </c>
      <c r="AD230" s="762"/>
      <c r="AE230" s="762"/>
      <c r="AF230" s="768" t="s">
        <v>491</v>
      </c>
      <c r="AG230" s="768" t="s">
        <v>491</v>
      </c>
      <c r="AH230" s="924">
        <v>0</v>
      </c>
      <c r="AI230" s="925">
        <v>37</v>
      </c>
    </row>
    <row r="231" spans="1:35" ht="21" customHeight="1">
      <c r="A231" s="442">
        <v>3702</v>
      </c>
      <c r="B231" s="153" t="s">
        <v>693</v>
      </c>
      <c r="C231" s="762"/>
      <c r="D231" s="768">
        <v>2</v>
      </c>
      <c r="E231" s="768">
        <v>2</v>
      </c>
      <c r="F231" s="762">
        <v>2</v>
      </c>
      <c r="G231" s="762">
        <v>2</v>
      </c>
      <c r="H231" s="762">
        <v>2</v>
      </c>
      <c r="I231" s="762"/>
      <c r="J231" s="762"/>
      <c r="K231" s="762">
        <v>1</v>
      </c>
      <c r="L231" s="762">
        <v>1</v>
      </c>
      <c r="M231" s="762">
        <v>1</v>
      </c>
      <c r="N231" s="762">
        <v>1</v>
      </c>
      <c r="O231" s="762">
        <v>1</v>
      </c>
      <c r="P231" s="762"/>
      <c r="Q231" s="762"/>
      <c r="R231" s="768">
        <v>2</v>
      </c>
      <c r="S231" s="768">
        <v>2</v>
      </c>
      <c r="T231" s="762">
        <v>2</v>
      </c>
      <c r="U231" s="762">
        <v>2</v>
      </c>
      <c r="V231" s="762">
        <v>2</v>
      </c>
      <c r="W231" s="762"/>
      <c r="X231" s="762"/>
      <c r="Y231" s="762">
        <v>1</v>
      </c>
      <c r="Z231" s="762">
        <v>1</v>
      </c>
      <c r="AA231" s="762">
        <v>1</v>
      </c>
      <c r="AB231" s="762">
        <v>1</v>
      </c>
      <c r="AC231" s="762">
        <v>1</v>
      </c>
      <c r="AD231" s="762"/>
      <c r="AE231" s="762"/>
      <c r="AF231" s="768">
        <v>2</v>
      </c>
      <c r="AG231" s="768">
        <v>2</v>
      </c>
      <c r="AH231" s="924">
        <v>140.5</v>
      </c>
      <c r="AI231" s="925">
        <v>7.5</v>
      </c>
    </row>
    <row r="232" spans="1:35" ht="21" customHeight="1">
      <c r="A232" s="621">
        <v>3706</v>
      </c>
      <c r="B232" s="854"/>
      <c r="C232" s="768"/>
      <c r="D232" s="768"/>
      <c r="E232" s="768"/>
      <c r="F232" s="768"/>
      <c r="G232" s="768"/>
      <c r="H232" s="768"/>
      <c r="I232" s="768"/>
      <c r="J232" s="768"/>
      <c r="K232" s="768"/>
      <c r="L232" s="768"/>
      <c r="M232" s="768"/>
      <c r="N232" s="768"/>
      <c r="O232" s="768"/>
      <c r="P232" s="768"/>
      <c r="Q232" s="768"/>
      <c r="R232" s="768"/>
      <c r="S232" s="768"/>
      <c r="T232" s="768"/>
      <c r="U232" s="768"/>
      <c r="V232" s="768"/>
      <c r="W232" s="768"/>
      <c r="X232" s="768"/>
      <c r="Y232" s="768"/>
      <c r="Z232" s="768"/>
      <c r="AA232" s="768"/>
      <c r="AB232" s="768"/>
      <c r="AC232" s="768"/>
      <c r="AD232" s="768"/>
      <c r="AE232" s="768"/>
      <c r="AF232" s="768"/>
      <c r="AG232" s="768"/>
      <c r="AH232" s="924">
        <v>111</v>
      </c>
      <c r="AI232" s="925">
        <v>37</v>
      </c>
    </row>
    <row r="233" spans="1:35" ht="21" customHeight="1">
      <c r="A233" s="622"/>
      <c r="B233" s="623" t="s">
        <v>695</v>
      </c>
      <c r="C233" s="940"/>
      <c r="D233" s="940"/>
      <c r="E233" s="940"/>
      <c r="F233" s="940"/>
      <c r="G233" s="940"/>
      <c r="H233" s="940"/>
      <c r="I233" s="940"/>
      <c r="J233" s="940"/>
      <c r="K233" s="940"/>
      <c r="L233" s="940"/>
      <c r="M233" s="940"/>
      <c r="N233" s="940"/>
      <c r="O233" s="940"/>
      <c r="P233" s="940"/>
      <c r="Q233" s="940"/>
      <c r="R233" s="940"/>
      <c r="S233" s="940"/>
      <c r="T233" s="940"/>
      <c r="U233" s="940"/>
      <c r="V233" s="940"/>
      <c r="W233" s="940"/>
      <c r="X233" s="940"/>
      <c r="Y233" s="940"/>
      <c r="Z233" s="940"/>
      <c r="AA233" s="940"/>
      <c r="AB233" s="940"/>
      <c r="AC233" s="940"/>
      <c r="AD233" s="940"/>
      <c r="AE233" s="940"/>
      <c r="AF233" s="940"/>
      <c r="AG233" s="922"/>
      <c r="AH233" s="624"/>
      <c r="AI233" s="625"/>
    </row>
    <row r="234" spans="1:35" ht="21" customHeight="1">
      <c r="A234" s="442">
        <v>3702</v>
      </c>
      <c r="B234" s="793" t="s">
        <v>696</v>
      </c>
      <c r="C234" s="762"/>
      <c r="D234" s="762" t="s">
        <v>697</v>
      </c>
      <c r="E234" s="762" t="s">
        <v>697</v>
      </c>
      <c r="F234" s="762" t="s">
        <v>697</v>
      </c>
      <c r="G234" s="762" t="s">
        <v>697</v>
      </c>
      <c r="H234" s="762" t="s">
        <v>697</v>
      </c>
      <c r="I234" s="762"/>
      <c r="J234" s="762"/>
      <c r="K234" s="762" t="s">
        <v>697</v>
      </c>
      <c r="L234" s="762" t="s">
        <v>697</v>
      </c>
      <c r="M234" s="762" t="s">
        <v>697</v>
      </c>
      <c r="N234" s="762" t="s">
        <v>697</v>
      </c>
      <c r="O234" s="762" t="s">
        <v>697</v>
      </c>
      <c r="P234" s="762"/>
      <c r="Q234" s="762"/>
      <c r="R234" s="762" t="s">
        <v>697</v>
      </c>
      <c r="S234" s="978" t="s">
        <v>697</v>
      </c>
      <c r="T234" s="762" t="s">
        <v>697</v>
      </c>
      <c r="U234" s="762" t="s">
        <v>697</v>
      </c>
      <c r="V234" s="762" t="s">
        <v>697</v>
      </c>
      <c r="W234" s="762"/>
      <c r="X234" s="762"/>
      <c r="Y234" s="762" t="s">
        <v>697</v>
      </c>
      <c r="Z234" s="762" t="s">
        <v>697</v>
      </c>
      <c r="AA234" s="762" t="s">
        <v>697</v>
      </c>
      <c r="AB234" s="762" t="s">
        <v>697</v>
      </c>
      <c r="AC234" s="762" t="s">
        <v>697</v>
      </c>
      <c r="AD234" s="762"/>
      <c r="AE234" s="762"/>
      <c r="AF234" s="762" t="s">
        <v>697</v>
      </c>
      <c r="AG234" s="762" t="s">
        <v>697</v>
      </c>
      <c r="AH234" s="924">
        <v>52</v>
      </c>
      <c r="AI234" s="925">
        <v>37</v>
      </c>
    </row>
    <row r="235" spans="1:35" ht="21" customHeight="1">
      <c r="A235" s="442"/>
      <c r="B235" s="153" t="s">
        <v>698</v>
      </c>
      <c r="C235" s="762"/>
      <c r="D235" s="762" t="s">
        <v>699</v>
      </c>
      <c r="E235" s="762" t="s">
        <v>699</v>
      </c>
      <c r="F235" s="762" t="s">
        <v>699</v>
      </c>
      <c r="G235" s="762" t="s">
        <v>699</v>
      </c>
      <c r="H235" s="762" t="s">
        <v>699</v>
      </c>
      <c r="I235" s="762"/>
      <c r="J235" s="762"/>
      <c r="K235" s="762" t="s">
        <v>699</v>
      </c>
      <c r="L235" s="762" t="s">
        <v>699</v>
      </c>
      <c r="M235" s="762" t="s">
        <v>699</v>
      </c>
      <c r="N235" s="762" t="s">
        <v>699</v>
      </c>
      <c r="O235" s="762" t="s">
        <v>699</v>
      </c>
      <c r="P235" s="762"/>
      <c r="Q235" s="762"/>
      <c r="R235" s="762" t="s">
        <v>699</v>
      </c>
      <c r="S235" s="762" t="s">
        <v>699</v>
      </c>
      <c r="T235" s="762" t="s">
        <v>699</v>
      </c>
      <c r="U235" s="762" t="s">
        <v>699</v>
      </c>
      <c r="V235" s="762" t="s">
        <v>699</v>
      </c>
      <c r="W235" s="762"/>
      <c r="X235" s="762"/>
      <c r="Y235" s="762" t="s">
        <v>699</v>
      </c>
      <c r="Z235" s="762" t="s">
        <v>699</v>
      </c>
      <c r="AA235" s="762" t="s">
        <v>699</v>
      </c>
      <c r="AB235" s="762" t="s">
        <v>699</v>
      </c>
      <c r="AC235" s="762" t="s">
        <v>699</v>
      </c>
      <c r="AD235" s="762"/>
      <c r="AE235" s="762"/>
      <c r="AF235" s="762" t="s">
        <v>699</v>
      </c>
      <c r="AG235" s="762" t="s">
        <v>699</v>
      </c>
      <c r="AH235" s="924">
        <v>18</v>
      </c>
      <c r="AI235" s="925">
        <v>0</v>
      </c>
    </row>
    <row r="236" spans="1:35" ht="21" customHeight="1" thickBot="1">
      <c r="A236" s="906"/>
      <c r="B236" s="895" t="s">
        <v>700</v>
      </c>
      <c r="C236" s="875"/>
      <c r="D236" s="875" t="s">
        <v>701</v>
      </c>
      <c r="E236" s="875" t="s">
        <v>701</v>
      </c>
      <c r="F236" s="875" t="s">
        <v>701</v>
      </c>
      <c r="G236" s="875" t="s">
        <v>701</v>
      </c>
      <c r="H236" s="875" t="s">
        <v>701</v>
      </c>
      <c r="I236" s="875"/>
      <c r="J236" s="875"/>
      <c r="K236" s="875" t="s">
        <v>701</v>
      </c>
      <c r="L236" s="875" t="s">
        <v>701</v>
      </c>
      <c r="M236" s="875" t="s">
        <v>701</v>
      </c>
      <c r="N236" s="875" t="s">
        <v>701</v>
      </c>
      <c r="O236" s="875" t="s">
        <v>701</v>
      </c>
      <c r="P236" s="875"/>
      <c r="Q236" s="875"/>
      <c r="R236" s="875" t="s">
        <v>701</v>
      </c>
      <c r="S236" s="875" t="s">
        <v>701</v>
      </c>
      <c r="T236" s="875" t="s">
        <v>701</v>
      </c>
      <c r="U236" s="875" t="s">
        <v>701</v>
      </c>
      <c r="V236" s="875" t="s">
        <v>701</v>
      </c>
      <c r="W236" s="1178"/>
      <c r="X236" s="875"/>
      <c r="Y236" s="990" t="s">
        <v>701</v>
      </c>
      <c r="Z236" s="990" t="s">
        <v>701</v>
      </c>
      <c r="AA236" s="990" t="s">
        <v>701</v>
      </c>
      <c r="AB236" s="1324" t="s">
        <v>701</v>
      </c>
      <c r="AC236" s="1324" t="s">
        <v>701</v>
      </c>
      <c r="AD236" s="1324"/>
      <c r="AE236" s="1324"/>
      <c r="AF236" s="875" t="s">
        <v>701</v>
      </c>
      <c r="AG236" s="875" t="s">
        <v>701</v>
      </c>
      <c r="AH236" s="868">
        <v>0</v>
      </c>
      <c r="AI236" s="869">
        <v>22</v>
      </c>
    </row>
    <row r="237" spans="1:35" ht="21" customHeight="1"/>
    <row r="238" spans="1:35" ht="21" customHeight="1"/>
    <row r="239" spans="1:35" ht="21" customHeight="1" thickBot="1">
      <c r="A239" s="1" t="s">
        <v>702</v>
      </c>
    </row>
    <row r="240" spans="1:35" ht="21" customHeight="1">
      <c r="B240" s="201" t="s">
        <v>664</v>
      </c>
      <c r="C240" s="7"/>
      <c r="D240" s="522" t="s">
        <v>2</v>
      </c>
      <c r="E240" s="51"/>
      <c r="F240" s="548"/>
      <c r="G240" s="7"/>
      <c r="H240" s="522" t="s">
        <v>3</v>
      </c>
      <c r="I240" s="51"/>
      <c r="J240" s="548"/>
      <c r="K240" s="7"/>
      <c r="L240" s="522" t="s">
        <v>4</v>
      </c>
      <c r="M240" s="51"/>
      <c r="N240" s="548"/>
      <c r="O240" s="7"/>
      <c r="P240" s="522" t="s">
        <v>5</v>
      </c>
      <c r="Q240" s="51"/>
      <c r="R240" s="548"/>
      <c r="S240" s="7"/>
      <c r="T240" s="522" t="s">
        <v>6</v>
      </c>
      <c r="U240" s="51"/>
      <c r="V240" s="548"/>
      <c r="W240" s="7"/>
      <c r="X240" s="522" t="s">
        <v>7</v>
      </c>
      <c r="Y240" s="51"/>
      <c r="Z240" s="548"/>
      <c r="AA240" s="7"/>
      <c r="AB240" s="522" t="s">
        <v>8</v>
      </c>
      <c r="AC240" s="51"/>
      <c r="AD240" s="51"/>
      <c r="AE240" s="425" t="s">
        <v>10</v>
      </c>
      <c r="AF240" s="51"/>
      <c r="AG240" s="51"/>
      <c r="AH240" s="51"/>
      <c r="AI240" s="523"/>
    </row>
    <row r="241" spans="1:35" ht="21" customHeight="1">
      <c r="B241" s="9">
        <v>8500</v>
      </c>
      <c r="C241" s="121" t="s">
        <v>33</v>
      </c>
      <c r="D241" s="603"/>
      <c r="E241" s="55"/>
      <c r="F241" s="602"/>
      <c r="G241" s="121" t="s">
        <v>33</v>
      </c>
      <c r="H241" s="603"/>
      <c r="I241" s="55"/>
      <c r="J241" s="602"/>
      <c r="K241" s="121" t="s">
        <v>33</v>
      </c>
      <c r="L241" s="603"/>
      <c r="M241" s="55"/>
      <c r="N241" s="602"/>
      <c r="O241" s="121" t="s">
        <v>33</v>
      </c>
      <c r="P241" s="603"/>
      <c r="Q241" s="55"/>
      <c r="R241" s="602"/>
      <c r="S241" s="121" t="s">
        <v>34</v>
      </c>
      <c r="T241" s="603"/>
      <c r="U241" s="55"/>
      <c r="V241" s="602"/>
      <c r="W241" s="14"/>
      <c r="X241" s="603"/>
      <c r="Y241" s="55"/>
      <c r="Z241" s="602"/>
      <c r="AA241" s="14"/>
      <c r="AB241" s="603"/>
      <c r="AC241" s="55"/>
      <c r="AD241" s="55"/>
      <c r="AE241" s="604"/>
      <c r="AF241" s="55"/>
      <c r="AG241" s="55"/>
      <c r="AH241" s="55"/>
      <c r="AI241" s="605"/>
    </row>
    <row r="242" spans="1:35" ht="21" customHeight="1" thickBot="1">
      <c r="B242" s="163" t="s">
        <v>703</v>
      </c>
      <c r="C242" s="626" t="s">
        <v>704</v>
      </c>
      <c r="D242" s="627"/>
      <c r="E242" s="616"/>
      <c r="F242" s="240"/>
      <c r="G242" s="626" t="s">
        <v>704</v>
      </c>
      <c r="H242" s="149"/>
      <c r="I242" s="616"/>
      <c r="J242" s="240"/>
      <c r="K242" s="626" t="s">
        <v>704</v>
      </c>
      <c r="L242" s="149"/>
      <c r="M242" s="616"/>
      <c r="N242" s="240"/>
      <c r="O242" s="626" t="s">
        <v>705</v>
      </c>
      <c r="P242" s="149"/>
      <c r="Q242" s="616"/>
      <c r="R242" s="240"/>
      <c r="S242" s="626" t="s">
        <v>16</v>
      </c>
      <c r="T242" s="149"/>
      <c r="U242" s="616"/>
      <c r="V242" s="240"/>
      <c r="W242" s="617"/>
      <c r="X242" s="149"/>
      <c r="Y242" s="616"/>
      <c r="Z242" s="240"/>
      <c r="AA242" s="617"/>
      <c r="AB242" s="149"/>
      <c r="AC242" s="616"/>
      <c r="AD242" s="616"/>
      <c r="AE242" s="618"/>
      <c r="AF242" s="616"/>
      <c r="AG242" s="616"/>
      <c r="AH242" s="616"/>
      <c r="AI242" s="619"/>
    </row>
    <row r="243" spans="1:35" ht="21" customHeight="1" thickBot="1">
      <c r="A243" s="60" t="s">
        <v>789</v>
      </c>
    </row>
    <row r="244" spans="1:35" ht="21" customHeight="1" thickBot="1">
      <c r="A244" s="911"/>
      <c r="B244" s="862" t="s">
        <v>476</v>
      </c>
      <c r="C244" s="880">
        <v>1</v>
      </c>
      <c r="D244" s="863">
        <v>2</v>
      </c>
      <c r="E244" s="863">
        <v>3</v>
      </c>
      <c r="F244" s="863">
        <v>4</v>
      </c>
      <c r="G244" s="863">
        <v>5</v>
      </c>
      <c r="H244" s="863">
        <v>6</v>
      </c>
      <c r="I244" s="880">
        <v>7</v>
      </c>
      <c r="J244" s="880">
        <v>8</v>
      </c>
      <c r="K244" s="863">
        <v>9</v>
      </c>
      <c r="L244" s="863">
        <v>10</v>
      </c>
      <c r="M244" s="863">
        <v>11</v>
      </c>
      <c r="N244" s="863">
        <v>12</v>
      </c>
      <c r="O244" s="863">
        <v>13</v>
      </c>
      <c r="P244" s="880">
        <v>14</v>
      </c>
      <c r="Q244" s="880">
        <v>15</v>
      </c>
      <c r="R244" s="863">
        <v>16</v>
      </c>
      <c r="S244" s="863">
        <v>17</v>
      </c>
      <c r="T244" s="863">
        <v>18</v>
      </c>
      <c r="U244" s="863">
        <v>19</v>
      </c>
      <c r="V244" s="863">
        <v>20</v>
      </c>
      <c r="W244" s="880">
        <v>21</v>
      </c>
      <c r="X244" s="880">
        <v>22</v>
      </c>
      <c r="Y244" s="863">
        <v>23</v>
      </c>
      <c r="Z244" s="863">
        <v>24</v>
      </c>
      <c r="AA244" s="863">
        <v>25</v>
      </c>
      <c r="AB244" s="863">
        <v>26</v>
      </c>
      <c r="AC244" s="863">
        <v>27</v>
      </c>
      <c r="AD244" s="880">
        <v>28</v>
      </c>
      <c r="AE244" s="880">
        <v>29</v>
      </c>
      <c r="AF244" s="863">
        <v>30</v>
      </c>
      <c r="AG244" s="943">
        <v>31</v>
      </c>
      <c r="AH244" s="864" t="s">
        <v>477</v>
      </c>
      <c r="AI244" s="865" t="s">
        <v>478</v>
      </c>
    </row>
    <row r="245" spans="1:35" ht="21" customHeight="1">
      <c r="A245" s="14">
        <v>8500</v>
      </c>
      <c r="B245" s="908" t="s">
        <v>707</v>
      </c>
      <c r="C245" s="768"/>
      <c r="D245" s="768" t="s">
        <v>491</v>
      </c>
      <c r="E245" s="768" t="s">
        <v>491</v>
      </c>
      <c r="F245" s="768" t="s">
        <v>491</v>
      </c>
      <c r="G245" s="768" t="s">
        <v>491</v>
      </c>
      <c r="H245" s="768" t="s">
        <v>491</v>
      </c>
      <c r="I245" s="768"/>
      <c r="J245" s="768"/>
      <c r="K245" s="768" t="s">
        <v>491</v>
      </c>
      <c r="L245" s="768" t="s">
        <v>491</v>
      </c>
      <c r="M245" s="768" t="s">
        <v>491</v>
      </c>
      <c r="N245" s="768" t="s">
        <v>491</v>
      </c>
      <c r="O245" s="768" t="s">
        <v>491</v>
      </c>
      <c r="P245" s="768"/>
      <c r="Q245" s="768"/>
      <c r="R245" s="768" t="s">
        <v>491</v>
      </c>
      <c r="S245" s="768" t="s">
        <v>491</v>
      </c>
      <c r="T245" s="768" t="s">
        <v>491</v>
      </c>
      <c r="U245" s="768" t="s">
        <v>491</v>
      </c>
      <c r="V245" s="768" t="s">
        <v>491</v>
      </c>
      <c r="W245" s="768"/>
      <c r="X245" s="768"/>
      <c r="Y245" s="768" t="s">
        <v>491</v>
      </c>
      <c r="Z245" s="768" t="s">
        <v>491</v>
      </c>
      <c r="AA245" s="768" t="s">
        <v>491</v>
      </c>
      <c r="AB245" s="768" t="s">
        <v>491</v>
      </c>
      <c r="AC245" s="768" t="s">
        <v>491</v>
      </c>
      <c r="AD245" s="768"/>
      <c r="AE245" s="768"/>
      <c r="AF245" s="768" t="s">
        <v>491</v>
      </c>
      <c r="AG245" s="768" t="s">
        <v>491</v>
      </c>
      <c r="AH245" s="909">
        <v>76</v>
      </c>
      <c r="AI245" s="910">
        <v>37</v>
      </c>
    </row>
    <row r="246" spans="1:35" ht="21" customHeight="1">
      <c r="A246" s="500" t="s">
        <v>708</v>
      </c>
      <c r="B246" s="153" t="s">
        <v>709</v>
      </c>
      <c r="C246" s="762"/>
      <c r="D246" s="762" t="s">
        <v>491</v>
      </c>
      <c r="E246" s="762" t="s">
        <v>491</v>
      </c>
      <c r="F246" s="762" t="s">
        <v>491</v>
      </c>
      <c r="G246" s="762" t="s">
        <v>491</v>
      </c>
      <c r="H246" s="762" t="s">
        <v>481</v>
      </c>
      <c r="I246" s="762"/>
      <c r="J246" s="762"/>
      <c r="K246" s="762" t="s">
        <v>491</v>
      </c>
      <c r="L246" s="762" t="s">
        <v>491</v>
      </c>
      <c r="M246" s="762" t="s">
        <v>491</v>
      </c>
      <c r="N246" s="768" t="s">
        <v>491</v>
      </c>
      <c r="O246" s="768" t="s">
        <v>491</v>
      </c>
      <c r="P246" s="762"/>
      <c r="Q246" s="762"/>
      <c r="R246" s="762" t="s">
        <v>491</v>
      </c>
      <c r="S246" s="762" t="s">
        <v>491</v>
      </c>
      <c r="T246" s="762" t="s">
        <v>491</v>
      </c>
      <c r="U246" s="762" t="s">
        <v>491</v>
      </c>
      <c r="V246" s="762" t="s">
        <v>481</v>
      </c>
      <c r="W246" s="762"/>
      <c r="X246" s="762"/>
      <c r="Y246" s="762" t="s">
        <v>491</v>
      </c>
      <c r="Z246" s="762" t="s">
        <v>491</v>
      </c>
      <c r="AA246" s="762" t="s">
        <v>491</v>
      </c>
      <c r="AB246" s="768" t="s">
        <v>491</v>
      </c>
      <c r="AC246" s="768" t="s">
        <v>491</v>
      </c>
      <c r="AD246" s="762"/>
      <c r="AE246" s="762"/>
      <c r="AF246" s="762" t="s">
        <v>491</v>
      </c>
      <c r="AG246" s="762" t="s">
        <v>491</v>
      </c>
      <c r="AH246" s="628">
        <v>10</v>
      </c>
      <c r="AI246" s="629">
        <v>37</v>
      </c>
    </row>
    <row r="247" spans="1:35" ht="21.95" customHeight="1">
      <c r="A247" s="442"/>
      <c r="B247" s="153" t="s">
        <v>710</v>
      </c>
      <c r="C247" s="966"/>
      <c r="D247" s="966" t="s">
        <v>491</v>
      </c>
      <c r="E247" s="966" t="s">
        <v>491</v>
      </c>
      <c r="F247" s="966" t="s">
        <v>491</v>
      </c>
      <c r="G247" s="966" t="s">
        <v>491</v>
      </c>
      <c r="H247" s="966" t="s">
        <v>491</v>
      </c>
      <c r="I247" s="966"/>
      <c r="J247" s="966"/>
      <c r="K247" s="762" t="s">
        <v>491</v>
      </c>
      <c r="L247" s="762" t="s">
        <v>491</v>
      </c>
      <c r="M247" s="762" t="s">
        <v>491</v>
      </c>
      <c r="N247" s="768" t="s">
        <v>491</v>
      </c>
      <c r="O247" s="768" t="s">
        <v>491</v>
      </c>
      <c r="P247" s="762"/>
      <c r="Q247" s="762"/>
      <c r="R247" s="762" t="s">
        <v>491</v>
      </c>
      <c r="S247" s="762" t="s">
        <v>491</v>
      </c>
      <c r="T247" s="762" t="s">
        <v>491</v>
      </c>
      <c r="U247" s="762" t="s">
        <v>491</v>
      </c>
      <c r="V247" s="762" t="s">
        <v>491</v>
      </c>
      <c r="W247" s="762"/>
      <c r="X247" s="762"/>
      <c r="Y247" s="762" t="s">
        <v>491</v>
      </c>
      <c r="Z247" s="762" t="s">
        <v>491</v>
      </c>
      <c r="AA247" s="762" t="s">
        <v>491</v>
      </c>
      <c r="AB247" s="768" t="s">
        <v>491</v>
      </c>
      <c r="AC247" s="768" t="s">
        <v>491</v>
      </c>
      <c r="AD247" s="762"/>
      <c r="AE247" s="762"/>
      <c r="AF247" s="762" t="s">
        <v>491</v>
      </c>
      <c r="AG247" s="762" t="s">
        <v>491</v>
      </c>
      <c r="AH247" s="628">
        <v>21</v>
      </c>
      <c r="AI247" s="629">
        <v>0</v>
      </c>
    </row>
    <row r="248" spans="1:35" ht="21.95" customHeight="1">
      <c r="A248" s="516">
        <v>3701</v>
      </c>
      <c r="B248" s="134" t="s">
        <v>711</v>
      </c>
      <c r="C248" s="848"/>
      <c r="D248" s="848" t="s">
        <v>491</v>
      </c>
      <c r="E248" s="848" t="s">
        <v>491</v>
      </c>
      <c r="F248" s="848" t="s">
        <v>491</v>
      </c>
      <c r="G248" s="848" t="s">
        <v>491</v>
      </c>
      <c r="H248" s="848" t="s">
        <v>491</v>
      </c>
      <c r="I248" s="848"/>
      <c r="J248" s="848"/>
      <c r="K248" s="848" t="s">
        <v>491</v>
      </c>
      <c r="L248" s="848" t="s">
        <v>491</v>
      </c>
      <c r="M248" s="848" t="s">
        <v>491</v>
      </c>
      <c r="N248" s="772" t="s">
        <v>491</v>
      </c>
      <c r="O248" s="772" t="s">
        <v>491</v>
      </c>
      <c r="P248" s="848"/>
      <c r="Q248" s="848"/>
      <c r="R248" s="848" t="s">
        <v>491</v>
      </c>
      <c r="S248" s="848" t="s">
        <v>491</v>
      </c>
      <c r="T248" s="848" t="s">
        <v>491</v>
      </c>
      <c r="U248" s="848" t="s">
        <v>491</v>
      </c>
      <c r="V248" s="848" t="s">
        <v>491</v>
      </c>
      <c r="W248" s="848"/>
      <c r="X248" s="848"/>
      <c r="Y248" s="848" t="s">
        <v>491</v>
      </c>
      <c r="Z248" s="848" t="s">
        <v>491</v>
      </c>
      <c r="AA248" s="848" t="s">
        <v>491</v>
      </c>
      <c r="AB248" s="772" t="s">
        <v>491</v>
      </c>
      <c r="AC248" s="772" t="s">
        <v>491</v>
      </c>
      <c r="AD248" s="848"/>
      <c r="AE248" s="848"/>
      <c r="AF248" s="848" t="s">
        <v>491</v>
      </c>
      <c r="AG248" s="848" t="s">
        <v>491</v>
      </c>
      <c r="AH248" s="849">
        <v>0</v>
      </c>
      <c r="AI248" s="850">
        <v>37</v>
      </c>
    </row>
    <row r="249" spans="1:35" ht="21" customHeight="1">
      <c r="A249" s="793">
        <v>8500</v>
      </c>
      <c r="B249" s="227" t="s">
        <v>712</v>
      </c>
      <c r="C249" s="852"/>
      <c r="D249" s="852" t="s">
        <v>491</v>
      </c>
      <c r="E249" s="852" t="s">
        <v>491</v>
      </c>
      <c r="F249" s="852" t="s">
        <v>491</v>
      </c>
      <c r="G249" s="852" t="s">
        <v>491</v>
      </c>
      <c r="H249" s="852" t="s">
        <v>491</v>
      </c>
      <c r="I249" s="852"/>
      <c r="J249" s="852"/>
      <c r="K249" s="852" t="s">
        <v>491</v>
      </c>
      <c r="L249" s="852" t="s">
        <v>491</v>
      </c>
      <c r="M249" s="852" t="s">
        <v>491</v>
      </c>
      <c r="N249" s="782" t="s">
        <v>491</v>
      </c>
      <c r="O249" s="782" t="s">
        <v>491</v>
      </c>
      <c r="P249" s="852"/>
      <c r="Q249" s="852"/>
      <c r="R249" s="852" t="s">
        <v>491</v>
      </c>
      <c r="S249" s="852" t="s">
        <v>491</v>
      </c>
      <c r="T249" s="852" t="s">
        <v>491</v>
      </c>
      <c r="U249" s="852" t="s">
        <v>491</v>
      </c>
      <c r="V249" s="852" t="s">
        <v>491</v>
      </c>
      <c r="W249" s="852"/>
      <c r="X249" s="852"/>
      <c r="Y249" s="852" t="s">
        <v>491</v>
      </c>
      <c r="Z249" s="852" t="s">
        <v>491</v>
      </c>
      <c r="AA249" s="852" t="s">
        <v>491</v>
      </c>
      <c r="AB249" s="782" t="s">
        <v>491</v>
      </c>
      <c r="AC249" s="782" t="s">
        <v>491</v>
      </c>
      <c r="AD249" s="852"/>
      <c r="AE249" s="852"/>
      <c r="AF249" s="984" t="s">
        <v>491</v>
      </c>
      <c r="AG249" s="984" t="s">
        <v>491</v>
      </c>
      <c r="AH249" s="849">
        <v>185</v>
      </c>
      <c r="AI249" s="850">
        <v>37</v>
      </c>
    </row>
    <row r="250" spans="1:35" ht="21.95" customHeight="1">
      <c r="A250" s="856">
        <v>3350</v>
      </c>
      <c r="B250" s="855"/>
      <c r="C250" s="852"/>
      <c r="D250" s="852" t="s">
        <v>491</v>
      </c>
      <c r="E250" s="852" t="s">
        <v>491</v>
      </c>
      <c r="F250" s="852" t="s">
        <v>491</v>
      </c>
      <c r="G250" s="852" t="s">
        <v>491</v>
      </c>
      <c r="H250" s="852" t="s">
        <v>491</v>
      </c>
      <c r="I250" s="852"/>
      <c r="J250" s="852"/>
      <c r="K250" s="852" t="s">
        <v>491</v>
      </c>
      <c r="L250" s="852" t="s">
        <v>491</v>
      </c>
      <c r="M250" s="852" t="s">
        <v>491</v>
      </c>
      <c r="N250" s="782" t="s">
        <v>491</v>
      </c>
      <c r="O250" s="782" t="s">
        <v>491</v>
      </c>
      <c r="P250" s="852"/>
      <c r="Q250" s="852"/>
      <c r="R250" s="852" t="s">
        <v>491</v>
      </c>
      <c r="S250" s="852" t="s">
        <v>491</v>
      </c>
      <c r="T250" s="852" t="s">
        <v>491</v>
      </c>
      <c r="U250" s="852" t="s">
        <v>491</v>
      </c>
      <c r="V250" s="852" t="s">
        <v>491</v>
      </c>
      <c r="W250" s="852"/>
      <c r="X250" s="852"/>
      <c r="Y250" s="852" t="s">
        <v>491</v>
      </c>
      <c r="Z250" s="852" t="s">
        <v>491</v>
      </c>
      <c r="AA250" s="852" t="s">
        <v>491</v>
      </c>
      <c r="AB250" s="782" t="s">
        <v>491</v>
      </c>
      <c r="AC250" s="782" t="s">
        <v>491</v>
      </c>
      <c r="AD250" s="852"/>
      <c r="AE250" s="852"/>
      <c r="AF250" s="852" t="s">
        <v>491</v>
      </c>
      <c r="AG250" s="852" t="s">
        <v>491</v>
      </c>
      <c r="AH250" s="849"/>
      <c r="AI250" s="850"/>
    </row>
    <row r="251" spans="1:35" ht="21.95" customHeight="1">
      <c r="A251" s="1136"/>
      <c r="B251" s="1137"/>
      <c r="C251" s="1138"/>
      <c r="D251" s="1138" t="s">
        <v>491</v>
      </c>
      <c r="E251" s="1138" t="s">
        <v>491</v>
      </c>
      <c r="F251" s="1138" t="s">
        <v>491</v>
      </c>
      <c r="G251" s="1138" t="s">
        <v>491</v>
      </c>
      <c r="H251" s="1138" t="s">
        <v>491</v>
      </c>
      <c r="I251" s="1138"/>
      <c r="J251" s="1138"/>
      <c r="K251" s="1138" t="s">
        <v>491</v>
      </c>
      <c r="L251" s="1138" t="s">
        <v>491</v>
      </c>
      <c r="M251" s="1138" t="s">
        <v>491</v>
      </c>
      <c r="N251" s="1139" t="s">
        <v>491</v>
      </c>
      <c r="O251" s="1139" t="s">
        <v>491</v>
      </c>
      <c r="P251" s="1138"/>
      <c r="Q251" s="1138"/>
      <c r="R251" s="1138" t="s">
        <v>491</v>
      </c>
      <c r="S251" s="1138" t="s">
        <v>491</v>
      </c>
      <c r="T251" s="1138" t="s">
        <v>491</v>
      </c>
      <c r="U251" s="1138" t="s">
        <v>491</v>
      </c>
      <c r="V251" s="1138" t="s">
        <v>491</v>
      </c>
      <c r="W251" s="1138"/>
      <c r="X251" s="1138"/>
      <c r="Y251" s="1138" t="s">
        <v>491</v>
      </c>
      <c r="Z251" s="1138" t="s">
        <v>491</v>
      </c>
      <c r="AA251" s="1138" t="s">
        <v>491</v>
      </c>
      <c r="AB251" s="1139" t="s">
        <v>491</v>
      </c>
      <c r="AC251" s="1139" t="s">
        <v>491</v>
      </c>
      <c r="AD251" s="1138"/>
      <c r="AE251" s="1138"/>
      <c r="AF251" s="1138" t="s">
        <v>491</v>
      </c>
      <c r="AG251" s="1138" t="s">
        <v>491</v>
      </c>
      <c r="AH251" s="849"/>
      <c r="AI251" s="850"/>
    </row>
    <row r="252" spans="1:35" ht="21.95" customHeight="1">
      <c r="A252" s="856"/>
      <c r="B252" s="1142"/>
      <c r="C252" s="852"/>
      <c r="D252" s="852"/>
      <c r="E252" s="852"/>
      <c r="F252" s="852"/>
      <c r="G252" s="852"/>
      <c r="H252" s="852"/>
      <c r="I252" s="852"/>
      <c r="J252" s="852"/>
      <c r="K252" s="852"/>
      <c r="L252" s="852"/>
      <c r="M252" s="852"/>
      <c r="N252" s="782"/>
      <c r="O252" s="782"/>
      <c r="P252" s="852"/>
      <c r="Q252" s="852"/>
      <c r="R252" s="852"/>
      <c r="S252" s="852"/>
      <c r="T252" s="852"/>
      <c r="U252" s="852"/>
      <c r="V252" s="852"/>
      <c r="W252" s="852"/>
      <c r="X252" s="852"/>
      <c r="Y252" s="852"/>
      <c r="Z252" s="852"/>
      <c r="AA252" s="852"/>
      <c r="AB252" s="782"/>
      <c r="AC252" s="782"/>
      <c r="AD252" s="852"/>
      <c r="AE252" s="852"/>
      <c r="AF252" s="852"/>
      <c r="AG252" s="852"/>
      <c r="AH252" s="1141"/>
      <c r="AI252" s="1141"/>
    </row>
    <row r="253" spans="1:35" ht="21.95" customHeight="1">
      <c r="A253" s="793"/>
      <c r="B253" s="1142"/>
      <c r="C253" s="793"/>
      <c r="D253" s="793"/>
      <c r="E253" s="793"/>
      <c r="F253" s="793"/>
      <c r="G253" s="793"/>
      <c r="H253" s="793"/>
      <c r="I253" s="793"/>
      <c r="J253" s="793"/>
      <c r="K253" s="793"/>
      <c r="L253" s="793"/>
      <c r="M253" s="793"/>
      <c r="N253" s="793"/>
      <c r="O253" s="793"/>
      <c r="P253" s="793"/>
      <c r="Q253" s="793"/>
      <c r="R253" s="793"/>
      <c r="S253" s="793"/>
      <c r="T253" s="793"/>
      <c r="U253" s="793"/>
      <c r="V253" s="793"/>
      <c r="W253" s="793"/>
      <c r="X253" s="793"/>
      <c r="Y253" s="793"/>
      <c r="Z253" s="793"/>
      <c r="AA253" s="793"/>
      <c r="AB253" s="793"/>
      <c r="AC253" s="793"/>
      <c r="AD253" s="793"/>
      <c r="AE253" s="793"/>
      <c r="AF253" s="793"/>
      <c r="AG253" s="852"/>
      <c r="AH253" s="1141"/>
      <c r="AI253" s="793"/>
    </row>
    <row r="255" spans="1:35" ht="25.5" customHeight="1" thickBot="1">
      <c r="A255" s="1" t="s">
        <v>716</v>
      </c>
    </row>
    <row r="256" spans="1:35" ht="21" customHeight="1">
      <c r="A256" s="1"/>
      <c r="B256" s="201" t="s">
        <v>664</v>
      </c>
      <c r="C256" s="7"/>
      <c r="D256" s="522" t="s">
        <v>2</v>
      </c>
      <c r="E256" s="51"/>
      <c r="F256" s="548"/>
      <c r="G256" s="7"/>
      <c r="H256" s="522" t="s">
        <v>3</v>
      </c>
      <c r="I256" s="51"/>
      <c r="J256" s="548"/>
      <c r="K256" s="7"/>
      <c r="L256" s="522" t="s">
        <v>4</v>
      </c>
      <c r="M256" s="51"/>
      <c r="N256" s="548"/>
      <c r="O256" s="7"/>
      <c r="P256" s="522" t="s">
        <v>5</v>
      </c>
      <c r="Q256" s="51"/>
      <c r="R256" s="548"/>
      <c r="S256" s="7"/>
      <c r="T256" s="522" t="s">
        <v>6</v>
      </c>
      <c r="U256" s="51"/>
      <c r="V256" s="548"/>
      <c r="W256" s="7"/>
      <c r="X256" s="522" t="s">
        <v>7</v>
      </c>
      <c r="Y256" s="51"/>
      <c r="Z256" s="548"/>
      <c r="AA256" s="7"/>
      <c r="AB256" s="522" t="s">
        <v>8</v>
      </c>
      <c r="AC256" s="51"/>
      <c r="AD256" s="51"/>
      <c r="AE256" s="425" t="s">
        <v>10</v>
      </c>
      <c r="AF256" s="51"/>
      <c r="AG256" s="51"/>
      <c r="AH256" s="51"/>
      <c r="AI256" s="523"/>
    </row>
    <row r="257" spans="1:35" ht="21" customHeight="1">
      <c r="A257" s="1"/>
      <c r="B257" s="9"/>
      <c r="C257" s="14"/>
      <c r="D257" s="603"/>
      <c r="E257" s="55"/>
      <c r="F257" s="602"/>
      <c r="G257" s="14"/>
      <c r="H257" s="603"/>
      <c r="I257" s="55"/>
      <c r="J257" s="602"/>
      <c r="K257" s="14"/>
      <c r="L257" s="603"/>
      <c r="M257" s="55"/>
      <c r="N257" s="602"/>
      <c r="O257" s="14"/>
      <c r="P257" s="603"/>
      <c r="Q257" s="55"/>
      <c r="R257" s="602"/>
      <c r="S257" s="14"/>
      <c r="T257" s="603"/>
      <c r="U257" s="55"/>
      <c r="V257" s="602"/>
      <c r="W257" s="14"/>
      <c r="X257" s="603"/>
      <c r="Y257" s="55"/>
      <c r="Z257" s="602"/>
      <c r="AA257" s="14"/>
      <c r="AB257" s="603"/>
      <c r="AC257" s="55"/>
      <c r="AD257" s="55"/>
      <c r="AE257" s="604"/>
      <c r="AF257" s="55"/>
      <c r="AG257" s="55"/>
      <c r="AH257" s="55"/>
      <c r="AI257" s="605"/>
    </row>
    <row r="258" spans="1:35" ht="21" customHeight="1">
      <c r="B258" s="606"/>
      <c r="C258" s="121"/>
      <c r="D258" s="157"/>
      <c r="E258" s="157"/>
      <c r="F258" s="564"/>
      <c r="G258" s="121"/>
      <c r="H258" s="157"/>
      <c r="I258" s="157"/>
      <c r="J258" s="564"/>
      <c r="K258" s="121"/>
      <c r="L258" s="157"/>
      <c r="M258" s="157"/>
      <c r="N258" s="564"/>
      <c r="O258" s="121"/>
      <c r="P258" s="157"/>
      <c r="Q258" s="157"/>
      <c r="R258" s="564"/>
      <c r="S258" s="121"/>
      <c r="T258" s="157"/>
      <c r="U258" s="157"/>
      <c r="V258" s="564"/>
      <c r="W258" s="121"/>
      <c r="X258" s="157"/>
      <c r="Y258" s="157"/>
      <c r="Z258" s="564"/>
      <c r="AA258" s="563"/>
      <c r="AB258" s="157"/>
      <c r="AC258" s="157"/>
      <c r="AD258" s="565"/>
      <c r="AE258" s="607"/>
      <c r="AF258" s="157"/>
      <c r="AG258" s="157" t="s">
        <v>28</v>
      </c>
      <c r="AH258" s="565"/>
      <c r="AI258" s="490"/>
    </row>
    <row r="259" spans="1:35" ht="21" customHeight="1" thickBot="1">
      <c r="A259" s="1"/>
      <c r="B259" s="47"/>
      <c r="C259" s="570"/>
      <c r="D259" s="53"/>
      <c r="E259" s="53"/>
      <c r="F259" s="571"/>
      <c r="G259" s="570"/>
      <c r="H259" s="53"/>
      <c r="I259" s="53"/>
      <c r="J259" s="571"/>
      <c r="K259" s="570"/>
      <c r="L259" s="53"/>
      <c r="M259" s="53"/>
      <c r="N259" s="571"/>
      <c r="O259" s="570"/>
      <c r="P259" s="53"/>
      <c r="Q259" s="53"/>
      <c r="R259" s="571"/>
      <c r="S259" s="570"/>
      <c r="T259" s="53"/>
      <c r="U259" s="53"/>
      <c r="V259" s="571"/>
      <c r="W259" s="57"/>
      <c r="X259" s="53"/>
      <c r="Y259" s="53"/>
      <c r="Z259" s="571"/>
      <c r="AA259" s="57"/>
      <c r="AB259" s="53"/>
      <c r="AC259" s="53"/>
      <c r="AD259" s="573"/>
      <c r="AE259" s="57"/>
      <c r="AF259" s="53"/>
      <c r="AG259" s="53"/>
      <c r="AH259" s="573"/>
      <c r="AI259" s="536"/>
    </row>
    <row r="260" spans="1:35" ht="33" customHeight="1" thickBot="1">
      <c r="A260" s="1" t="s">
        <v>790</v>
      </c>
      <c r="B260" s="72"/>
      <c r="C260" s="312"/>
      <c r="F260" s="354"/>
      <c r="G260" s="312"/>
      <c r="J260" s="354"/>
      <c r="K260" s="312"/>
      <c r="N260" s="354"/>
      <c r="O260" s="312"/>
      <c r="R260" s="354"/>
      <c r="S260" s="312"/>
      <c r="V260" s="354"/>
      <c r="W260" s="354"/>
      <c r="Z260" s="354"/>
      <c r="AA260" s="354"/>
      <c r="AD260" s="354"/>
      <c r="AE260" s="354"/>
      <c r="AH260" s="354"/>
    </row>
    <row r="261" spans="1:35" ht="21" customHeight="1" thickBot="1">
      <c r="A261" s="861" t="s">
        <v>475</v>
      </c>
      <c r="B261" s="862" t="s">
        <v>476</v>
      </c>
      <c r="C261" s="880">
        <v>1</v>
      </c>
      <c r="D261" s="863">
        <v>2</v>
      </c>
      <c r="E261" s="863">
        <v>3</v>
      </c>
      <c r="F261" s="863">
        <v>4</v>
      </c>
      <c r="G261" s="863">
        <v>5</v>
      </c>
      <c r="H261" s="863">
        <v>6</v>
      </c>
      <c r="I261" s="880">
        <v>7</v>
      </c>
      <c r="J261" s="880">
        <v>8</v>
      </c>
      <c r="K261" s="863">
        <v>9</v>
      </c>
      <c r="L261" s="863">
        <v>10</v>
      </c>
      <c r="M261" s="863">
        <v>11</v>
      </c>
      <c r="N261" s="863">
        <v>12</v>
      </c>
      <c r="O261" s="863">
        <v>13</v>
      </c>
      <c r="P261" s="880">
        <v>14</v>
      </c>
      <c r="Q261" s="880">
        <v>15</v>
      </c>
      <c r="R261" s="863">
        <v>16</v>
      </c>
      <c r="S261" s="863">
        <v>17</v>
      </c>
      <c r="T261" s="863">
        <v>18</v>
      </c>
      <c r="U261" s="863">
        <v>19</v>
      </c>
      <c r="V261" s="863">
        <v>20</v>
      </c>
      <c r="W261" s="880">
        <v>21</v>
      </c>
      <c r="X261" s="880">
        <v>22</v>
      </c>
      <c r="Y261" s="863">
        <v>23</v>
      </c>
      <c r="Z261" s="863">
        <v>24</v>
      </c>
      <c r="AA261" s="863">
        <v>25</v>
      </c>
      <c r="AB261" s="863">
        <v>26</v>
      </c>
      <c r="AC261" s="863">
        <v>27</v>
      </c>
      <c r="AD261" s="880">
        <v>28</v>
      </c>
      <c r="AE261" s="880">
        <v>29</v>
      </c>
      <c r="AF261" s="863">
        <v>30</v>
      </c>
      <c r="AG261" s="943">
        <v>31</v>
      </c>
      <c r="AH261" s="864" t="s">
        <v>477</v>
      </c>
      <c r="AI261" s="865" t="s">
        <v>478</v>
      </c>
    </row>
    <row r="262" spans="1:35" ht="21" customHeight="1">
      <c r="A262" s="438"/>
      <c r="B262" s="916" t="s">
        <v>718</v>
      </c>
      <c r="C262" s="768"/>
      <c r="D262" s="768" t="s">
        <v>491</v>
      </c>
      <c r="E262" s="768" t="s">
        <v>491</v>
      </c>
      <c r="F262" s="768" t="s">
        <v>491</v>
      </c>
      <c r="G262" s="768" t="s">
        <v>491</v>
      </c>
      <c r="H262" s="768" t="s">
        <v>491</v>
      </c>
      <c r="I262" s="768"/>
      <c r="J262" s="768"/>
      <c r="K262" s="768" t="s">
        <v>491</v>
      </c>
      <c r="L262" s="768" t="s">
        <v>491</v>
      </c>
      <c r="M262" s="768" t="s">
        <v>491</v>
      </c>
      <c r="N262" s="768" t="s">
        <v>491</v>
      </c>
      <c r="O262" s="768" t="s">
        <v>491</v>
      </c>
      <c r="P262" s="768"/>
      <c r="Q262" s="768"/>
      <c r="R262" s="768" t="s">
        <v>491</v>
      </c>
      <c r="S262" s="768" t="s">
        <v>491</v>
      </c>
      <c r="T262" s="768" t="s">
        <v>491</v>
      </c>
      <c r="U262" s="768" t="s">
        <v>491</v>
      </c>
      <c r="V262" s="970" t="s">
        <v>491</v>
      </c>
      <c r="W262" s="768"/>
      <c r="X262" s="768"/>
      <c r="Y262" s="768" t="s">
        <v>491</v>
      </c>
      <c r="Z262" s="768" t="s">
        <v>491</v>
      </c>
      <c r="AA262" s="768" t="s">
        <v>491</v>
      </c>
      <c r="AB262" s="768" t="s">
        <v>491</v>
      </c>
      <c r="AC262" s="768" t="s">
        <v>491</v>
      </c>
      <c r="AD262" s="768"/>
      <c r="AE262" s="768"/>
      <c r="AF262" s="768" t="s">
        <v>491</v>
      </c>
      <c r="AG262" s="768" t="s">
        <v>491</v>
      </c>
      <c r="AH262" s="909">
        <v>52</v>
      </c>
      <c r="AI262" s="910">
        <v>37</v>
      </c>
    </row>
    <row r="263" spans="1:35" ht="21" customHeight="1">
      <c r="A263" s="442"/>
      <c r="B263" s="613" t="s">
        <v>719</v>
      </c>
      <c r="C263" s="762"/>
      <c r="D263" s="978" t="s">
        <v>491</v>
      </c>
      <c r="E263" s="762" t="s">
        <v>491</v>
      </c>
      <c r="F263" s="762" t="s">
        <v>491</v>
      </c>
      <c r="G263" s="762" t="s">
        <v>491</v>
      </c>
      <c r="H263" s="762" t="s">
        <v>491</v>
      </c>
      <c r="I263" s="762"/>
      <c r="J263" s="762"/>
      <c r="K263" s="762" t="s">
        <v>491</v>
      </c>
      <c r="L263" s="762" t="s">
        <v>491</v>
      </c>
      <c r="M263" s="762" t="s">
        <v>491</v>
      </c>
      <c r="N263" s="768" t="s">
        <v>491</v>
      </c>
      <c r="O263" s="768" t="s">
        <v>491</v>
      </c>
      <c r="P263" s="762"/>
      <c r="Q263" s="762"/>
      <c r="R263" s="762" t="s">
        <v>491</v>
      </c>
      <c r="S263" s="762" t="s">
        <v>491</v>
      </c>
      <c r="T263" s="762" t="s">
        <v>491</v>
      </c>
      <c r="U263" s="762" t="s">
        <v>491</v>
      </c>
      <c r="V263" s="762" t="s">
        <v>491</v>
      </c>
      <c r="W263" s="762"/>
      <c r="X263" s="762"/>
      <c r="Y263" s="762" t="s">
        <v>491</v>
      </c>
      <c r="Z263" s="762" t="s">
        <v>491</v>
      </c>
      <c r="AA263" s="762" t="s">
        <v>491</v>
      </c>
      <c r="AB263" s="768" t="s">
        <v>491</v>
      </c>
      <c r="AC263" s="768" t="s">
        <v>491</v>
      </c>
      <c r="AD263" s="762"/>
      <c r="AE263" s="762"/>
      <c r="AF263" s="762" t="s">
        <v>491</v>
      </c>
      <c r="AG263" s="762" t="s">
        <v>491</v>
      </c>
      <c r="AH263" s="628">
        <v>1</v>
      </c>
      <c r="AI263" s="629">
        <v>0</v>
      </c>
    </row>
    <row r="264" spans="1:35" ht="21" customHeight="1">
      <c r="A264" s="442"/>
      <c r="B264" s="613" t="s">
        <v>720</v>
      </c>
      <c r="C264" s="762"/>
      <c r="D264" s="762" t="s">
        <v>491</v>
      </c>
      <c r="E264" s="762" t="s">
        <v>491</v>
      </c>
      <c r="F264" s="1015" t="s">
        <v>491</v>
      </c>
      <c r="G264" s="1015" t="s">
        <v>491</v>
      </c>
      <c r="H264" s="1015" t="s">
        <v>493</v>
      </c>
      <c r="I264" s="762"/>
      <c r="J264" s="762"/>
      <c r="K264" s="762" t="s">
        <v>491</v>
      </c>
      <c r="L264" s="762" t="s">
        <v>491</v>
      </c>
      <c r="M264" s="762" t="s">
        <v>491</v>
      </c>
      <c r="N264" s="768" t="s">
        <v>491</v>
      </c>
      <c r="O264" s="768" t="s">
        <v>491</v>
      </c>
      <c r="P264" s="762"/>
      <c r="Q264" s="762"/>
      <c r="R264" s="762" t="s">
        <v>491</v>
      </c>
      <c r="S264" s="762" t="s">
        <v>491</v>
      </c>
      <c r="T264" s="762" t="s">
        <v>491</v>
      </c>
      <c r="U264" s="762" t="s">
        <v>491</v>
      </c>
      <c r="V264" s="762" t="s">
        <v>491</v>
      </c>
      <c r="W264" s="762"/>
      <c r="X264" s="762"/>
      <c r="Y264" s="762" t="s">
        <v>491</v>
      </c>
      <c r="Z264" s="762" t="s">
        <v>491</v>
      </c>
      <c r="AA264" s="762" t="s">
        <v>491</v>
      </c>
      <c r="AB264" s="768" t="s">
        <v>491</v>
      </c>
      <c r="AC264" s="768" t="s">
        <v>491</v>
      </c>
      <c r="AD264" s="762"/>
      <c r="AE264" s="762"/>
      <c r="AF264" s="966" t="s">
        <v>491</v>
      </c>
      <c r="AG264" s="966" t="s">
        <v>491</v>
      </c>
      <c r="AH264" s="628">
        <v>28</v>
      </c>
      <c r="AI264" s="629">
        <v>30</v>
      </c>
    </row>
    <row r="265" spans="1:35" ht="21" customHeight="1">
      <c r="A265" s="442"/>
      <c r="B265" s="613" t="s">
        <v>721</v>
      </c>
      <c r="C265" s="762"/>
      <c r="D265" s="762" t="s">
        <v>491</v>
      </c>
      <c r="E265" s="762" t="s">
        <v>491</v>
      </c>
      <c r="F265" s="762" t="s">
        <v>491</v>
      </c>
      <c r="G265" s="762" t="s">
        <v>491</v>
      </c>
      <c r="H265" s="966" t="s">
        <v>491</v>
      </c>
      <c r="I265" s="762"/>
      <c r="J265" s="762"/>
      <c r="K265" s="762" t="s">
        <v>491</v>
      </c>
      <c r="L265" s="762" t="s">
        <v>491</v>
      </c>
      <c r="M265" s="762" t="s">
        <v>491</v>
      </c>
      <c r="N265" s="768" t="s">
        <v>491</v>
      </c>
      <c r="O265" s="970" t="s">
        <v>491</v>
      </c>
      <c r="P265" s="762"/>
      <c r="Q265" s="762"/>
      <c r="R265" s="762" t="s">
        <v>491</v>
      </c>
      <c r="S265" s="966" t="s">
        <v>491</v>
      </c>
      <c r="T265" s="762" t="s">
        <v>491</v>
      </c>
      <c r="U265" s="762" t="s">
        <v>491</v>
      </c>
      <c r="V265" s="966" t="s">
        <v>491</v>
      </c>
      <c r="W265" s="762"/>
      <c r="X265" s="762"/>
      <c r="Y265" s="762" t="s">
        <v>491</v>
      </c>
      <c r="Z265" s="762" t="s">
        <v>491</v>
      </c>
      <c r="AA265" s="762" t="s">
        <v>491</v>
      </c>
      <c r="AB265" s="768" t="s">
        <v>491</v>
      </c>
      <c r="AC265" s="970" t="s">
        <v>491</v>
      </c>
      <c r="AD265" s="762"/>
      <c r="AE265" s="762"/>
      <c r="AF265" s="762" t="s">
        <v>491</v>
      </c>
      <c r="AG265" s="1015" t="s">
        <v>493</v>
      </c>
      <c r="AH265" s="628">
        <v>74</v>
      </c>
      <c r="AI265" s="629">
        <v>0</v>
      </c>
    </row>
    <row r="266" spans="1:35" ht="21" customHeight="1">
      <c r="A266" s="442"/>
      <c r="B266" s="613" t="s">
        <v>722</v>
      </c>
      <c r="C266" s="762"/>
      <c r="D266" s="762" t="s">
        <v>491</v>
      </c>
      <c r="E266" s="762" t="s">
        <v>491</v>
      </c>
      <c r="F266" s="762" t="s">
        <v>491</v>
      </c>
      <c r="G266" s="762" t="s">
        <v>491</v>
      </c>
      <c r="H266" s="762" t="s">
        <v>491</v>
      </c>
      <c r="I266" s="762"/>
      <c r="J266" s="762"/>
      <c r="K266" s="762" t="s">
        <v>491</v>
      </c>
      <c r="L266" s="762" t="s">
        <v>491</v>
      </c>
      <c r="M266" s="762" t="s">
        <v>491</v>
      </c>
      <c r="N266" s="768" t="s">
        <v>491</v>
      </c>
      <c r="O266" s="768" t="s">
        <v>491</v>
      </c>
      <c r="P266" s="762"/>
      <c r="Q266" s="762"/>
      <c r="R266" s="762" t="s">
        <v>491</v>
      </c>
      <c r="S266" s="762" t="s">
        <v>491</v>
      </c>
      <c r="T266" s="762" t="s">
        <v>491</v>
      </c>
      <c r="U266" s="762" t="s">
        <v>491</v>
      </c>
      <c r="V266" s="762" t="s">
        <v>491</v>
      </c>
      <c r="W266" s="762"/>
      <c r="X266" s="762"/>
      <c r="Y266" s="1015" t="s">
        <v>491</v>
      </c>
      <c r="Z266" s="1015" t="s">
        <v>491</v>
      </c>
      <c r="AA266" s="1015" t="s">
        <v>491</v>
      </c>
      <c r="AB266" s="1038" t="s">
        <v>491</v>
      </c>
      <c r="AC266" s="1038" t="s">
        <v>491</v>
      </c>
      <c r="AD266" s="762"/>
      <c r="AE266" s="762"/>
      <c r="AF266" s="762" t="s">
        <v>491</v>
      </c>
      <c r="AG266" s="762" t="s">
        <v>491</v>
      </c>
      <c r="AH266" s="628">
        <v>55</v>
      </c>
      <c r="AI266" s="629">
        <v>5</v>
      </c>
    </row>
    <row r="267" spans="1:35" ht="21" customHeight="1">
      <c r="A267" s="442"/>
      <c r="B267" s="613" t="s">
        <v>723</v>
      </c>
      <c r="C267" s="762"/>
      <c r="D267" s="762" t="s">
        <v>491</v>
      </c>
      <c r="E267" s="762" t="s">
        <v>491</v>
      </c>
      <c r="F267" s="762" t="s">
        <v>491</v>
      </c>
      <c r="G267" s="762" t="s">
        <v>491</v>
      </c>
      <c r="H267" s="762" t="s">
        <v>491</v>
      </c>
      <c r="I267" s="762"/>
      <c r="J267" s="762"/>
      <c r="K267" s="762" t="s">
        <v>491</v>
      </c>
      <c r="L267" s="762" t="s">
        <v>491</v>
      </c>
      <c r="M267" s="762" t="s">
        <v>491</v>
      </c>
      <c r="N267" s="768" t="s">
        <v>491</v>
      </c>
      <c r="O267" s="768" t="s">
        <v>491</v>
      </c>
      <c r="P267" s="762"/>
      <c r="Q267" s="762"/>
      <c r="R267" s="762" t="s">
        <v>491</v>
      </c>
      <c r="S267" s="762" t="s">
        <v>491</v>
      </c>
      <c r="T267" s="762" t="s">
        <v>491</v>
      </c>
      <c r="U267" s="762" t="s">
        <v>491</v>
      </c>
      <c r="V267" s="762" t="s">
        <v>491</v>
      </c>
      <c r="W267" s="762"/>
      <c r="X267" s="762"/>
      <c r="Y267" s="762" t="s">
        <v>491</v>
      </c>
      <c r="Z267" s="762" t="s">
        <v>491</v>
      </c>
      <c r="AA267" s="762" t="s">
        <v>491</v>
      </c>
      <c r="AB267" s="768" t="s">
        <v>491</v>
      </c>
      <c r="AC267" s="768" t="s">
        <v>491</v>
      </c>
      <c r="AD267" s="762"/>
      <c r="AE267" s="762"/>
      <c r="AF267" s="762" t="s">
        <v>491</v>
      </c>
      <c r="AG267" s="762" t="s">
        <v>491</v>
      </c>
      <c r="AH267" s="628">
        <v>4</v>
      </c>
      <c r="AI267" s="629">
        <v>37</v>
      </c>
    </row>
    <row r="268" spans="1:35" ht="21" customHeight="1">
      <c r="A268" s="442"/>
      <c r="B268" s="613" t="s">
        <v>724</v>
      </c>
      <c r="C268" s="762"/>
      <c r="D268" s="762" t="s">
        <v>491</v>
      </c>
      <c r="E268" s="762" t="s">
        <v>491</v>
      </c>
      <c r="F268" s="762" t="s">
        <v>491</v>
      </c>
      <c r="G268" s="762" t="s">
        <v>491</v>
      </c>
      <c r="H268" s="762" t="s">
        <v>491</v>
      </c>
      <c r="I268" s="762"/>
      <c r="J268" s="762"/>
      <c r="K268" s="762" t="s">
        <v>491</v>
      </c>
      <c r="L268" s="762" t="s">
        <v>491</v>
      </c>
      <c r="M268" s="762" t="s">
        <v>491</v>
      </c>
      <c r="N268" s="768" t="s">
        <v>491</v>
      </c>
      <c r="O268" s="1144" t="s">
        <v>491</v>
      </c>
      <c r="P268" s="762"/>
      <c r="Q268" s="762"/>
      <c r="R268" s="1015" t="s">
        <v>491</v>
      </c>
      <c r="S268" s="1015" t="s">
        <v>491</v>
      </c>
      <c r="T268" s="1015" t="s">
        <v>491</v>
      </c>
      <c r="U268" s="1015" t="s">
        <v>491</v>
      </c>
      <c r="V268" s="1015" t="s">
        <v>493</v>
      </c>
      <c r="W268" s="762"/>
      <c r="X268" s="762"/>
      <c r="Y268" s="762" t="s">
        <v>491</v>
      </c>
      <c r="Z268" s="762" t="s">
        <v>491</v>
      </c>
      <c r="AA268" s="762" t="s">
        <v>491</v>
      </c>
      <c r="AB268" s="768" t="s">
        <v>491</v>
      </c>
      <c r="AC268" s="768" t="s">
        <v>491</v>
      </c>
      <c r="AD268" s="762"/>
      <c r="AE268" s="762"/>
      <c r="AF268" s="762" t="s">
        <v>491</v>
      </c>
      <c r="AG268" s="979" t="s">
        <v>491</v>
      </c>
      <c r="AH268" s="628">
        <v>8</v>
      </c>
      <c r="AI268" s="629">
        <v>25</v>
      </c>
    </row>
    <row r="269" spans="1:35" ht="21" customHeight="1">
      <c r="A269" s="442"/>
      <c r="B269" s="613" t="s">
        <v>725</v>
      </c>
      <c r="C269" s="762"/>
      <c r="D269" s="762" t="s">
        <v>491</v>
      </c>
      <c r="E269" s="762" t="s">
        <v>491</v>
      </c>
      <c r="F269" s="762" t="s">
        <v>491</v>
      </c>
      <c r="G269" s="762" t="s">
        <v>491</v>
      </c>
      <c r="H269" s="762" t="s">
        <v>491</v>
      </c>
      <c r="I269" s="762"/>
      <c r="J269" s="762"/>
      <c r="K269" s="762" t="s">
        <v>491</v>
      </c>
      <c r="L269" s="762" t="s">
        <v>491</v>
      </c>
      <c r="M269" s="762" t="s">
        <v>491</v>
      </c>
      <c r="N269" s="768" t="s">
        <v>491</v>
      </c>
      <c r="O269" s="970" t="s">
        <v>491</v>
      </c>
      <c r="P269" s="762"/>
      <c r="Q269" s="762"/>
      <c r="R269" s="979" t="s">
        <v>491</v>
      </c>
      <c r="S269" s="979" t="s">
        <v>491</v>
      </c>
      <c r="T269" s="979" t="s">
        <v>491</v>
      </c>
      <c r="U269" s="762" t="s">
        <v>491</v>
      </c>
      <c r="V269" s="762" t="s">
        <v>491</v>
      </c>
      <c r="W269" s="762"/>
      <c r="X269" s="762"/>
      <c r="Y269" s="762" t="s">
        <v>491</v>
      </c>
      <c r="Z269" s="762" t="s">
        <v>491</v>
      </c>
      <c r="AA269" s="762" t="s">
        <v>491</v>
      </c>
      <c r="AB269" s="970" t="s">
        <v>491</v>
      </c>
      <c r="AC269" s="970" t="s">
        <v>491</v>
      </c>
      <c r="AD269" s="762"/>
      <c r="AE269" s="762"/>
      <c r="AF269" s="762" t="s">
        <v>491</v>
      </c>
      <c r="AG269" s="762" t="s">
        <v>491</v>
      </c>
      <c r="AH269" s="628">
        <v>59</v>
      </c>
      <c r="AI269" s="629">
        <v>37</v>
      </c>
    </row>
    <row r="270" spans="1:35" ht="21" customHeight="1">
      <c r="A270" s="442"/>
      <c r="B270" s="613" t="s">
        <v>726</v>
      </c>
      <c r="C270" s="762"/>
      <c r="D270" s="1015" t="s">
        <v>491</v>
      </c>
      <c r="E270" s="1015" t="s">
        <v>491</v>
      </c>
      <c r="F270" s="1015" t="s">
        <v>491</v>
      </c>
      <c r="G270" s="1015" t="s">
        <v>491</v>
      </c>
      <c r="H270" s="1015" t="s">
        <v>491</v>
      </c>
      <c r="I270" s="1015"/>
      <c r="J270" s="1015"/>
      <c r="K270" s="1015" t="s">
        <v>491</v>
      </c>
      <c r="L270" s="1015" t="s">
        <v>491</v>
      </c>
      <c r="M270" s="1015" t="s">
        <v>491</v>
      </c>
      <c r="N270" s="1038" t="s">
        <v>491</v>
      </c>
      <c r="O270" s="1038" t="s">
        <v>491</v>
      </c>
      <c r="P270" s="1015"/>
      <c r="Q270" s="1015"/>
      <c r="R270" s="1015" t="s">
        <v>491</v>
      </c>
      <c r="S270" s="1015" t="s">
        <v>491</v>
      </c>
      <c r="T270" s="1015" t="s">
        <v>491</v>
      </c>
      <c r="U270" s="1015" t="s">
        <v>491</v>
      </c>
      <c r="V270" s="1015" t="s">
        <v>491</v>
      </c>
      <c r="W270" s="1015"/>
      <c r="X270" s="1015"/>
      <c r="Y270" s="1015" t="s">
        <v>491</v>
      </c>
      <c r="Z270" s="1015" t="s">
        <v>491</v>
      </c>
      <c r="AA270" s="1015" t="s">
        <v>491</v>
      </c>
      <c r="AB270" s="1038" t="s">
        <v>491</v>
      </c>
      <c r="AC270" s="1038" t="s">
        <v>491</v>
      </c>
      <c r="AD270" s="1015"/>
      <c r="AE270" s="1015"/>
      <c r="AF270" s="1015" t="s">
        <v>491</v>
      </c>
      <c r="AG270" s="1015" t="s">
        <v>491</v>
      </c>
      <c r="AH270" s="628">
        <v>98</v>
      </c>
      <c r="AI270" s="629">
        <v>37</v>
      </c>
    </row>
    <row r="271" spans="1:35" ht="21" customHeight="1">
      <c r="A271" s="442"/>
      <c r="B271" s="613" t="s">
        <v>727</v>
      </c>
      <c r="C271" s="762"/>
      <c r="D271" s="553" t="s">
        <v>491</v>
      </c>
      <c r="E271" s="553" t="s">
        <v>491</v>
      </c>
      <c r="F271" s="553" t="s">
        <v>491</v>
      </c>
      <c r="G271" s="553" t="s">
        <v>491</v>
      </c>
      <c r="H271" s="553" t="s">
        <v>491</v>
      </c>
      <c r="I271" s="762"/>
      <c r="J271" s="762"/>
      <c r="K271" s="762" t="s">
        <v>491</v>
      </c>
      <c r="L271" s="762" t="s">
        <v>491</v>
      </c>
      <c r="M271" s="762" t="s">
        <v>491</v>
      </c>
      <c r="N271" s="768" t="s">
        <v>491</v>
      </c>
      <c r="O271" s="768" t="s">
        <v>491</v>
      </c>
      <c r="P271" s="762"/>
      <c r="Q271" s="762"/>
      <c r="R271" s="762" t="s">
        <v>491</v>
      </c>
      <c r="S271" s="762" t="s">
        <v>491</v>
      </c>
      <c r="T271" s="762" t="s">
        <v>491</v>
      </c>
      <c r="U271" s="762" t="s">
        <v>491</v>
      </c>
      <c r="V271" s="762" t="s">
        <v>491</v>
      </c>
      <c r="W271" s="762"/>
      <c r="X271" s="762"/>
      <c r="Y271" s="762" t="s">
        <v>491</v>
      </c>
      <c r="Z271" s="762" t="s">
        <v>491</v>
      </c>
      <c r="AA271" s="762" t="s">
        <v>491</v>
      </c>
      <c r="AB271" s="768" t="s">
        <v>491</v>
      </c>
      <c r="AC271" s="768" t="s">
        <v>491</v>
      </c>
      <c r="AD271" s="762"/>
      <c r="AE271" s="762"/>
      <c r="AF271" s="966" t="s">
        <v>491</v>
      </c>
      <c r="AG271" s="966" t="s">
        <v>491</v>
      </c>
      <c r="AH271" s="628">
        <v>55</v>
      </c>
      <c r="AI271" s="629">
        <v>1</v>
      </c>
    </row>
    <row r="272" spans="1:35" ht="21" customHeight="1">
      <c r="A272" s="442"/>
      <c r="B272" s="153" t="s">
        <v>728</v>
      </c>
      <c r="C272" s="762"/>
      <c r="D272" s="762" t="s">
        <v>491</v>
      </c>
      <c r="E272" s="762" t="s">
        <v>491</v>
      </c>
      <c r="F272" s="762" t="s">
        <v>491</v>
      </c>
      <c r="G272" s="762" t="s">
        <v>491</v>
      </c>
      <c r="H272" s="762" t="s">
        <v>491</v>
      </c>
      <c r="I272" s="762"/>
      <c r="J272" s="762"/>
      <c r="K272" s="762" t="s">
        <v>491</v>
      </c>
      <c r="L272" s="762" t="s">
        <v>491</v>
      </c>
      <c r="M272" s="762" t="s">
        <v>491</v>
      </c>
      <c r="N272" s="768" t="s">
        <v>491</v>
      </c>
      <c r="O272" s="768" t="s">
        <v>491</v>
      </c>
      <c r="P272" s="762"/>
      <c r="Q272" s="762"/>
      <c r="R272" s="762" t="s">
        <v>491</v>
      </c>
      <c r="S272" s="762" t="s">
        <v>491</v>
      </c>
      <c r="T272" s="762" t="s">
        <v>491</v>
      </c>
      <c r="U272" s="762" t="s">
        <v>491</v>
      </c>
      <c r="V272" s="762" t="s">
        <v>491</v>
      </c>
      <c r="W272" s="762"/>
      <c r="X272" s="762"/>
      <c r="Y272" s="762" t="s">
        <v>491</v>
      </c>
      <c r="Z272" s="762" t="s">
        <v>491</v>
      </c>
      <c r="AA272" s="762" t="s">
        <v>491</v>
      </c>
      <c r="AB272" s="768" t="s">
        <v>491</v>
      </c>
      <c r="AC272" s="768" t="s">
        <v>491</v>
      </c>
      <c r="AD272" s="762"/>
      <c r="AE272" s="762"/>
      <c r="AF272" s="762" t="s">
        <v>491</v>
      </c>
      <c r="AG272" s="762" t="s">
        <v>491</v>
      </c>
      <c r="AH272" s="628">
        <v>38</v>
      </c>
      <c r="AI272" s="629">
        <v>0</v>
      </c>
    </row>
    <row r="273" spans="1:35" ht="21" customHeight="1">
      <c r="A273" s="442"/>
      <c r="B273" s="153" t="s">
        <v>729</v>
      </c>
      <c r="C273" s="762"/>
      <c r="D273" s="762" t="s">
        <v>491</v>
      </c>
      <c r="E273" s="762" t="s">
        <v>491</v>
      </c>
      <c r="F273" s="762" t="s">
        <v>491</v>
      </c>
      <c r="G273" s="762" t="s">
        <v>491</v>
      </c>
      <c r="H273" s="762" t="s">
        <v>491</v>
      </c>
      <c r="I273" s="762"/>
      <c r="J273" s="762"/>
      <c r="K273" s="762" t="s">
        <v>491</v>
      </c>
      <c r="L273" s="762" t="s">
        <v>491</v>
      </c>
      <c r="M273" s="762" t="s">
        <v>491</v>
      </c>
      <c r="N273" s="768" t="s">
        <v>491</v>
      </c>
      <c r="O273" s="768" t="s">
        <v>491</v>
      </c>
      <c r="P273" s="762"/>
      <c r="Q273" s="762"/>
      <c r="R273" s="762" t="s">
        <v>491</v>
      </c>
      <c r="S273" s="762" t="s">
        <v>491</v>
      </c>
      <c r="T273" s="762" t="s">
        <v>491</v>
      </c>
      <c r="U273" s="762" t="s">
        <v>491</v>
      </c>
      <c r="V273" s="762" t="s">
        <v>491</v>
      </c>
      <c r="W273" s="762"/>
      <c r="X273" s="762"/>
      <c r="Y273" s="762" t="s">
        <v>491</v>
      </c>
      <c r="Z273" s="762" t="s">
        <v>491</v>
      </c>
      <c r="AA273" s="762" t="s">
        <v>491</v>
      </c>
      <c r="AB273" s="768" t="s">
        <v>491</v>
      </c>
      <c r="AC273" s="768" t="s">
        <v>491</v>
      </c>
      <c r="AD273" s="762"/>
      <c r="AE273" s="762"/>
      <c r="AF273" s="762" t="s">
        <v>491</v>
      </c>
      <c r="AG273" s="762" t="s">
        <v>491</v>
      </c>
      <c r="AH273" s="628">
        <v>54</v>
      </c>
      <c r="AI273" s="629">
        <v>0</v>
      </c>
    </row>
    <row r="274" spans="1:35" ht="21" customHeight="1">
      <c r="A274" s="134"/>
      <c r="B274" s="134" t="s">
        <v>730</v>
      </c>
      <c r="C274" s="848"/>
      <c r="D274" s="848" t="s">
        <v>491</v>
      </c>
      <c r="E274" s="848" t="s">
        <v>491</v>
      </c>
      <c r="F274" s="848" t="s">
        <v>491</v>
      </c>
      <c r="G274" s="848" t="s">
        <v>491</v>
      </c>
      <c r="H274" s="848" t="s">
        <v>491</v>
      </c>
      <c r="I274" s="848"/>
      <c r="J274" s="848"/>
      <c r="K274" s="848" t="s">
        <v>491</v>
      </c>
      <c r="L274" s="848" t="s">
        <v>491</v>
      </c>
      <c r="M274" s="848" t="s">
        <v>491</v>
      </c>
      <c r="N274" s="772" t="s">
        <v>491</v>
      </c>
      <c r="O274" s="772" t="s">
        <v>491</v>
      </c>
      <c r="P274" s="848"/>
      <c r="Q274" s="848"/>
      <c r="R274" s="848" t="s">
        <v>491</v>
      </c>
      <c r="S274" s="848" t="s">
        <v>491</v>
      </c>
      <c r="T274" s="848" t="s">
        <v>491</v>
      </c>
      <c r="U274" s="848" t="s">
        <v>491</v>
      </c>
      <c r="V274" s="848" t="s">
        <v>491</v>
      </c>
      <c r="W274" s="848"/>
      <c r="X274" s="848"/>
      <c r="Y274" s="848" t="s">
        <v>491</v>
      </c>
      <c r="Z274" s="848" t="s">
        <v>491</v>
      </c>
      <c r="AA274" s="848" t="s">
        <v>491</v>
      </c>
      <c r="AB274" s="772" t="s">
        <v>491</v>
      </c>
      <c r="AC274" s="772" t="s">
        <v>491</v>
      </c>
      <c r="AD274" s="848"/>
      <c r="AE274" s="848"/>
      <c r="AF274" s="848" t="s">
        <v>491</v>
      </c>
      <c r="AG274" s="848" t="s">
        <v>491</v>
      </c>
      <c r="AH274" s="849">
        <v>24</v>
      </c>
      <c r="AI274" s="850">
        <v>2</v>
      </c>
    </row>
    <row r="275" spans="1:35" ht="21" customHeight="1" thickBot="1">
      <c r="A275" s="917"/>
      <c r="B275" s="917" t="s">
        <v>731</v>
      </c>
      <c r="C275" s="875"/>
      <c r="D275" s="1087" t="s">
        <v>491</v>
      </c>
      <c r="E275" s="1087" t="s">
        <v>491</v>
      </c>
      <c r="F275" s="1087" t="s">
        <v>491</v>
      </c>
      <c r="G275" s="1087" t="s">
        <v>491</v>
      </c>
      <c r="H275" s="1087" t="s">
        <v>491</v>
      </c>
      <c r="I275" s="1087"/>
      <c r="J275" s="1087"/>
      <c r="K275" s="1087" t="s">
        <v>491</v>
      </c>
      <c r="L275" s="1087" t="s">
        <v>491</v>
      </c>
      <c r="M275" s="1087" t="s">
        <v>491</v>
      </c>
      <c r="N275" s="1205" t="s">
        <v>491</v>
      </c>
      <c r="O275" s="1205" t="s">
        <v>491</v>
      </c>
      <c r="P275" s="1087"/>
      <c r="Q275" s="1087"/>
      <c r="R275" s="1087" t="s">
        <v>491</v>
      </c>
      <c r="S275" s="1087" t="s">
        <v>491</v>
      </c>
      <c r="T275" s="1087" t="s">
        <v>491</v>
      </c>
      <c r="U275" s="1087" t="s">
        <v>491</v>
      </c>
      <c r="V275" s="1087" t="s">
        <v>491</v>
      </c>
      <c r="W275" s="1087"/>
      <c r="X275" s="1087"/>
      <c r="Y275" s="1087" t="s">
        <v>491</v>
      </c>
      <c r="Z275" s="1087" t="s">
        <v>491</v>
      </c>
      <c r="AA275" s="1087" t="s">
        <v>491</v>
      </c>
      <c r="AB275" s="1205" t="s">
        <v>491</v>
      </c>
      <c r="AC275" s="1205" t="s">
        <v>491</v>
      </c>
      <c r="AD275" s="1087"/>
      <c r="AE275" s="1087"/>
      <c r="AF275" s="1087" t="s">
        <v>491</v>
      </c>
      <c r="AG275" s="1087" t="s">
        <v>491</v>
      </c>
      <c r="AH275" s="914">
        <v>185</v>
      </c>
      <c r="AI275" s="915">
        <v>37</v>
      </c>
    </row>
  </sheetData>
  <sheetProtection password="CC44" sheet="1" objects="1" scenarios="1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59" max="16383" man="1"/>
  </rowBreaks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33"/>
  <dimension ref="A1:AN275"/>
  <sheetViews>
    <sheetView topLeftCell="A132" zoomScale="70" zoomScaleNormal="70" workbookViewId="0">
      <selection activeCell="AM145" sqref="AM144:AM145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449</v>
      </c>
    </row>
    <row r="2" spans="1:35" ht="13.35" customHeight="1">
      <c r="B2" s="443" t="s">
        <v>450</v>
      </c>
      <c r="C2" s="444" t="s">
        <v>451</v>
      </c>
      <c r="D2" s="445"/>
      <c r="E2" s="446" t="s">
        <v>452</v>
      </c>
      <c r="F2" s="447"/>
      <c r="G2" s="448"/>
      <c r="H2" s="448"/>
      <c r="I2" s="448"/>
      <c r="J2" s="448"/>
      <c r="K2" s="449"/>
      <c r="L2" s="450" t="s">
        <v>453</v>
      </c>
      <c r="M2" s="451"/>
      <c r="N2" s="380"/>
      <c r="O2" s="452" t="s">
        <v>454</v>
      </c>
      <c r="P2" s="453"/>
      <c r="Q2" s="454"/>
      <c r="R2" s="455"/>
      <c r="S2" s="456" t="s">
        <v>455</v>
      </c>
      <c r="T2" s="457"/>
      <c r="U2" s="458"/>
      <c r="V2" s="457"/>
      <c r="W2" s="459" t="s">
        <v>456</v>
      </c>
      <c r="X2" s="368"/>
      <c r="Y2" s="460"/>
      <c r="Z2" s="461" t="s">
        <v>457</v>
      </c>
      <c r="AA2" s="462"/>
      <c r="AB2" s="463"/>
      <c r="AC2" s="464"/>
      <c r="AD2" s="465" t="s">
        <v>458</v>
      </c>
      <c r="AE2" s="466"/>
      <c r="AF2" s="466"/>
      <c r="AG2" s="467"/>
    </row>
    <row r="3" spans="1:35" ht="13.35" customHeight="1">
      <c r="A3" s="1"/>
      <c r="B3" s="468" t="s">
        <v>459</v>
      </c>
      <c r="C3" s="469" t="s">
        <v>460</v>
      </c>
      <c r="D3" s="470"/>
      <c r="E3" s="471"/>
      <c r="F3" s="472"/>
      <c r="G3" s="472"/>
      <c r="H3" s="473" t="s">
        <v>461</v>
      </c>
      <c r="I3" s="474"/>
      <c r="J3" s="474"/>
      <c r="K3" s="475"/>
      <c r="L3" s="476" t="s">
        <v>462</v>
      </c>
      <c r="M3" s="157"/>
      <c r="N3" s="477"/>
      <c r="O3" s="474"/>
      <c r="P3" s="474"/>
      <c r="Q3" s="474"/>
      <c r="R3" s="474"/>
      <c r="S3" s="55"/>
      <c r="T3" s="478" t="s">
        <v>463</v>
      </c>
      <c r="U3" s="479"/>
      <c r="V3" s="480"/>
      <c r="W3" s="481"/>
      <c r="X3" s="482"/>
      <c r="Y3" s="473" t="s">
        <v>464</v>
      </c>
      <c r="Z3" s="157"/>
      <c r="AA3" s="157"/>
      <c r="AB3" s="483"/>
      <c r="AC3" s="484"/>
      <c r="AD3" s="485" t="s">
        <v>465</v>
      </c>
      <c r="AE3" s="486"/>
      <c r="AF3" s="486"/>
      <c r="AG3" s="487"/>
    </row>
    <row r="4" spans="1:35" ht="13.35" customHeight="1">
      <c r="A4" s="1" t="s">
        <v>776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 t="s">
        <v>14</v>
      </c>
      <c r="B5" s="1"/>
    </row>
    <row r="6" spans="1:35" ht="21.95" customHeight="1">
      <c r="A6" s="488" t="s">
        <v>467</v>
      </c>
      <c r="B6" s="157"/>
      <c r="C6" s="489"/>
      <c r="D6" s="488" t="s">
        <v>468</v>
      </c>
      <c r="E6" s="157"/>
      <c r="F6" s="157"/>
      <c r="G6" s="157"/>
      <c r="H6" s="490"/>
      <c r="I6" s="157"/>
      <c r="J6" s="157"/>
      <c r="K6" s="157"/>
      <c r="L6" s="488" t="s">
        <v>769</v>
      </c>
      <c r="M6" s="157"/>
      <c r="N6" s="157"/>
      <c r="O6" s="157"/>
      <c r="P6" s="157"/>
      <c r="Q6" s="157"/>
      <c r="R6" s="157"/>
      <c r="S6" s="489"/>
      <c r="T6" s="491" t="s">
        <v>470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35" ht="21.95" customHeight="1">
      <c r="A7" s="488" t="s">
        <v>471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472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35" ht="21.95" customHeight="1">
      <c r="A8" s="496" t="s">
        <v>473</v>
      </c>
      <c r="L8" s="496"/>
      <c r="AB8" s="1"/>
    </row>
    <row r="9" spans="1:35" ht="21.95" customHeight="1" thickBot="1">
      <c r="B9" s="497" t="s">
        <v>474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35" ht="21.95" customHeight="1" thickBot="1">
      <c r="A10" s="906" t="s">
        <v>475</v>
      </c>
      <c r="B10" s="862" t="s">
        <v>476</v>
      </c>
      <c r="C10" s="863">
        <v>1</v>
      </c>
      <c r="D10" s="880">
        <v>2</v>
      </c>
      <c r="E10" s="880">
        <v>3</v>
      </c>
      <c r="F10" s="880">
        <v>4</v>
      </c>
      <c r="G10" s="880">
        <v>5</v>
      </c>
      <c r="H10" s="880">
        <v>6</v>
      </c>
      <c r="I10" s="863">
        <v>7</v>
      </c>
      <c r="J10" s="863">
        <v>8</v>
      </c>
      <c r="K10" s="863">
        <v>9</v>
      </c>
      <c r="L10" s="863">
        <v>10</v>
      </c>
      <c r="M10" s="880">
        <v>11</v>
      </c>
      <c r="N10" s="880">
        <v>12</v>
      </c>
      <c r="O10" s="863">
        <v>13</v>
      </c>
      <c r="P10" s="863">
        <v>14</v>
      </c>
      <c r="Q10" s="863">
        <v>15</v>
      </c>
      <c r="R10" s="863">
        <v>16</v>
      </c>
      <c r="S10" s="863">
        <v>17</v>
      </c>
      <c r="T10" s="880">
        <v>18</v>
      </c>
      <c r="U10" s="880">
        <v>19</v>
      </c>
      <c r="V10" s="863">
        <v>20</v>
      </c>
      <c r="W10" s="863">
        <v>21</v>
      </c>
      <c r="X10" s="863">
        <v>22</v>
      </c>
      <c r="Y10" s="863">
        <v>23</v>
      </c>
      <c r="Z10" s="863">
        <v>24</v>
      </c>
      <c r="AA10" s="880">
        <v>25</v>
      </c>
      <c r="AB10" s="880">
        <v>26</v>
      </c>
      <c r="AC10" s="863">
        <v>27</v>
      </c>
      <c r="AD10" s="863">
        <v>28</v>
      </c>
      <c r="AE10" s="863">
        <v>29</v>
      </c>
      <c r="AF10" s="863">
        <v>30</v>
      </c>
      <c r="AG10" s="863"/>
      <c r="AH10" s="864" t="s">
        <v>477</v>
      </c>
      <c r="AI10" s="865" t="s">
        <v>478</v>
      </c>
    </row>
    <row r="11" spans="1:35" ht="21.95" customHeight="1">
      <c r="A11" s="508"/>
      <c r="B11" s="947"/>
      <c r="C11" s="764"/>
      <c r="D11" s="764"/>
      <c r="E11" s="764"/>
      <c r="F11" s="764"/>
      <c r="G11" s="764"/>
      <c r="H11" s="764"/>
      <c r="I11" s="764"/>
      <c r="J11" s="764"/>
      <c r="K11" s="764"/>
      <c r="L11" s="764"/>
      <c r="M11" s="764"/>
      <c r="N11" s="764"/>
      <c r="O11" s="764"/>
      <c r="P11" s="764"/>
      <c r="Q11" s="764"/>
      <c r="R11" s="764"/>
      <c r="S11" s="764"/>
      <c r="T11" s="764"/>
      <c r="U11" s="764"/>
      <c r="V11" s="764"/>
      <c r="W11" s="764"/>
      <c r="X11" s="764"/>
      <c r="Y11" s="764"/>
      <c r="Z11" s="764"/>
      <c r="AA11" s="764"/>
      <c r="AB11" s="764"/>
      <c r="AC11" s="764"/>
      <c r="AD11" s="764"/>
      <c r="AE11" s="764"/>
      <c r="AF11" s="764"/>
      <c r="AG11" s="948"/>
      <c r="AH11" s="510"/>
      <c r="AI11" s="511"/>
    </row>
    <row r="12" spans="1:35" ht="21.95" customHeight="1">
      <c r="A12" s="503" t="s">
        <v>479</v>
      </c>
      <c r="B12" s="457"/>
      <c r="C12" s="940"/>
      <c r="D12" s="940"/>
      <c r="E12" s="940"/>
      <c r="F12" s="940"/>
      <c r="G12" s="940"/>
      <c r="H12" s="940"/>
      <c r="I12" s="940"/>
      <c r="J12" s="940"/>
      <c r="K12" s="940"/>
      <c r="L12" s="940"/>
      <c r="M12" s="940"/>
      <c r="N12" s="940"/>
      <c r="O12" s="940"/>
      <c r="P12" s="940"/>
      <c r="Q12" s="940"/>
      <c r="R12" s="940"/>
      <c r="S12" s="940"/>
      <c r="T12" s="940"/>
      <c r="U12" s="940"/>
      <c r="V12" s="940"/>
      <c r="W12" s="940"/>
      <c r="X12" s="940"/>
      <c r="Y12" s="940"/>
      <c r="Z12" s="940"/>
      <c r="AA12" s="940"/>
      <c r="AB12" s="940"/>
      <c r="AC12" s="940"/>
      <c r="AD12" s="940"/>
      <c r="AE12" s="940"/>
      <c r="AF12" s="940"/>
      <c r="AG12" s="922"/>
      <c r="AH12" s="506"/>
      <c r="AI12" s="507"/>
    </row>
    <row r="13" spans="1:35" ht="21.95" customHeight="1">
      <c r="A13" s="508">
        <v>8546</v>
      </c>
      <c r="B13" s="473" t="s">
        <v>480</v>
      </c>
      <c r="C13" s="852" t="s">
        <v>481</v>
      </c>
      <c r="D13" s="852" t="s">
        <v>481</v>
      </c>
      <c r="E13" s="852" t="s">
        <v>481</v>
      </c>
      <c r="F13" s="852"/>
      <c r="G13" s="852"/>
      <c r="H13" s="851">
        <v>3</v>
      </c>
      <c r="I13" s="984">
        <v>3</v>
      </c>
      <c r="J13" s="1306">
        <v>3</v>
      </c>
      <c r="K13" s="1306">
        <v>3</v>
      </c>
      <c r="L13" s="1018">
        <v>3</v>
      </c>
      <c r="M13" s="851"/>
      <c r="N13" s="851"/>
      <c r="O13" s="852">
        <v>4</v>
      </c>
      <c r="P13" s="852">
        <v>4</v>
      </c>
      <c r="Q13" s="852">
        <v>4</v>
      </c>
      <c r="R13" s="852">
        <v>4</v>
      </c>
      <c r="S13" s="852">
        <v>4</v>
      </c>
      <c r="T13" s="851" t="s">
        <v>482</v>
      </c>
      <c r="U13" s="851" t="s">
        <v>482</v>
      </c>
      <c r="V13" s="851" t="s">
        <v>481</v>
      </c>
      <c r="W13" s="851" t="s">
        <v>481</v>
      </c>
      <c r="X13" s="851" t="s">
        <v>481</v>
      </c>
      <c r="Y13" s="851" t="s">
        <v>481</v>
      </c>
      <c r="Z13" s="851" t="s">
        <v>481</v>
      </c>
      <c r="AA13" s="851"/>
      <c r="AB13" s="851"/>
      <c r="AC13" s="851">
        <v>1</v>
      </c>
      <c r="AD13" s="851">
        <v>1</v>
      </c>
      <c r="AE13" s="851">
        <v>1</v>
      </c>
      <c r="AF13" s="851">
        <v>1</v>
      </c>
      <c r="AG13" s="837"/>
      <c r="AH13" s="924">
        <v>0</v>
      </c>
      <c r="AI13" s="925">
        <v>5</v>
      </c>
    </row>
    <row r="14" spans="1:35" ht="21.95" customHeight="1">
      <c r="A14" s="500">
        <v>8546</v>
      </c>
      <c r="B14" s="918" t="s">
        <v>483</v>
      </c>
      <c r="C14" s="984">
        <v>1</v>
      </c>
      <c r="D14" s="984">
        <v>1</v>
      </c>
      <c r="E14" s="984">
        <v>1</v>
      </c>
      <c r="F14" s="984"/>
      <c r="G14" s="984"/>
      <c r="H14" s="1018">
        <v>2</v>
      </c>
      <c r="I14" s="1018">
        <v>2</v>
      </c>
      <c r="J14" s="1018">
        <v>2</v>
      </c>
      <c r="K14" s="1018">
        <v>2</v>
      </c>
      <c r="L14" s="1018">
        <v>2</v>
      </c>
      <c r="M14" s="1018" t="s">
        <v>484</v>
      </c>
      <c r="N14" s="1018" t="s">
        <v>484</v>
      </c>
      <c r="O14" s="852" t="s">
        <v>481</v>
      </c>
      <c r="P14" s="852" t="s">
        <v>481</v>
      </c>
      <c r="Q14" s="852" t="s">
        <v>481</v>
      </c>
      <c r="R14" s="852" t="s">
        <v>481</v>
      </c>
      <c r="S14" s="852" t="s">
        <v>481</v>
      </c>
      <c r="T14" s="851"/>
      <c r="U14" s="851"/>
      <c r="V14" s="1306">
        <v>3</v>
      </c>
      <c r="W14" s="1306">
        <v>3</v>
      </c>
      <c r="X14" s="1306">
        <v>3</v>
      </c>
      <c r="Y14" s="1306">
        <v>3</v>
      </c>
      <c r="Z14" s="1306">
        <v>3</v>
      </c>
      <c r="AA14" s="851"/>
      <c r="AB14" s="851"/>
      <c r="AC14" s="851">
        <v>4</v>
      </c>
      <c r="AD14" s="851">
        <v>4</v>
      </c>
      <c r="AE14" s="851">
        <v>4</v>
      </c>
      <c r="AF14" s="921">
        <v>4</v>
      </c>
      <c r="AG14" s="837"/>
      <c r="AH14" s="924">
        <v>0</v>
      </c>
      <c r="AI14" s="925">
        <v>0</v>
      </c>
    </row>
    <row r="15" spans="1:35" ht="21.95" customHeight="1">
      <c r="A15" s="500">
        <v>8546</v>
      </c>
      <c r="B15" s="918" t="s">
        <v>174</v>
      </c>
      <c r="C15" s="852">
        <v>2</v>
      </c>
      <c r="D15" s="852">
        <v>2</v>
      </c>
      <c r="E15" s="852">
        <v>2</v>
      </c>
      <c r="F15" s="852" t="s">
        <v>484</v>
      </c>
      <c r="G15" s="852" t="s">
        <v>484</v>
      </c>
      <c r="H15" s="852" t="s">
        <v>481</v>
      </c>
      <c r="I15" s="852" t="s">
        <v>481</v>
      </c>
      <c r="J15" s="852" t="s">
        <v>481</v>
      </c>
      <c r="K15" s="852" t="s">
        <v>481</v>
      </c>
      <c r="L15" s="852" t="s">
        <v>481</v>
      </c>
      <c r="M15" s="852"/>
      <c r="N15" s="852"/>
      <c r="O15" s="852">
        <v>3</v>
      </c>
      <c r="P15" s="852">
        <v>3</v>
      </c>
      <c r="Q15" s="852">
        <v>3</v>
      </c>
      <c r="R15" s="1018">
        <v>3</v>
      </c>
      <c r="S15" s="1018">
        <v>3</v>
      </c>
      <c r="T15" s="851"/>
      <c r="U15" s="851"/>
      <c r="V15" s="1189">
        <v>4</v>
      </c>
      <c r="W15" s="1189">
        <v>4</v>
      </c>
      <c r="X15" s="1189">
        <v>4</v>
      </c>
      <c r="Y15" s="1189">
        <v>4</v>
      </c>
      <c r="Z15" s="1189">
        <v>4</v>
      </c>
      <c r="AA15" s="1189" t="s">
        <v>482</v>
      </c>
      <c r="AB15" s="1189" t="s">
        <v>810</v>
      </c>
      <c r="AC15" s="851" t="s">
        <v>481</v>
      </c>
      <c r="AD15" s="851" t="s">
        <v>481</v>
      </c>
      <c r="AE15" s="851" t="s">
        <v>481</v>
      </c>
      <c r="AF15" s="851" t="s">
        <v>481</v>
      </c>
      <c r="AG15" s="837"/>
      <c r="AH15" s="924">
        <v>0</v>
      </c>
      <c r="AI15" s="925">
        <v>0</v>
      </c>
    </row>
    <row r="16" spans="1:35" ht="21.95" customHeight="1">
      <c r="A16" s="500">
        <v>8546</v>
      </c>
      <c r="B16" s="918" t="s">
        <v>486</v>
      </c>
      <c r="C16" s="852">
        <v>4</v>
      </c>
      <c r="D16" s="852">
        <v>4</v>
      </c>
      <c r="E16" s="852">
        <v>4</v>
      </c>
      <c r="F16" s="852" t="s">
        <v>482</v>
      </c>
      <c r="G16" s="852" t="s">
        <v>482</v>
      </c>
      <c r="H16" s="852" t="s">
        <v>481</v>
      </c>
      <c r="I16" s="1316" t="s">
        <v>481</v>
      </c>
      <c r="J16" s="1316" t="s">
        <v>481</v>
      </c>
      <c r="K16" s="1316" t="s">
        <v>481</v>
      </c>
      <c r="L16" s="1316" t="s">
        <v>481</v>
      </c>
      <c r="M16" s="852"/>
      <c r="N16" s="852"/>
      <c r="O16" s="852">
        <v>1</v>
      </c>
      <c r="P16" s="852">
        <v>1</v>
      </c>
      <c r="Q16" s="852">
        <v>1</v>
      </c>
      <c r="R16" s="852">
        <v>1</v>
      </c>
      <c r="S16" s="852">
        <v>1</v>
      </c>
      <c r="T16" s="851"/>
      <c r="U16" s="851"/>
      <c r="V16" s="851">
        <v>2</v>
      </c>
      <c r="W16" s="851">
        <v>2</v>
      </c>
      <c r="X16" s="851">
        <v>2</v>
      </c>
      <c r="Y16" s="851">
        <v>2</v>
      </c>
      <c r="Z16" s="1316">
        <v>2</v>
      </c>
      <c r="AA16" s="851" t="s">
        <v>484</v>
      </c>
      <c r="AB16" s="851" t="s">
        <v>484</v>
      </c>
      <c r="AC16" s="851" t="s">
        <v>481</v>
      </c>
      <c r="AD16" s="851" t="s">
        <v>481</v>
      </c>
      <c r="AE16" s="851" t="s">
        <v>481</v>
      </c>
      <c r="AF16" s="851" t="s">
        <v>481</v>
      </c>
      <c r="AG16" s="837"/>
      <c r="AH16" s="924">
        <v>1.5</v>
      </c>
      <c r="AI16" s="925">
        <v>37</v>
      </c>
    </row>
    <row r="17" spans="1:37" ht="21.95" customHeight="1">
      <c r="A17" s="500">
        <v>8546</v>
      </c>
      <c r="B17" s="918" t="s">
        <v>487</v>
      </c>
      <c r="C17" s="1044">
        <v>3</v>
      </c>
      <c r="D17" s="852">
        <v>3</v>
      </c>
      <c r="E17" s="852">
        <v>3</v>
      </c>
      <c r="F17" s="852"/>
      <c r="G17" s="852"/>
      <c r="H17" s="852">
        <v>4</v>
      </c>
      <c r="I17" s="852">
        <v>4</v>
      </c>
      <c r="J17" s="852">
        <v>4</v>
      </c>
      <c r="K17" s="852">
        <v>4</v>
      </c>
      <c r="L17" s="852">
        <v>4</v>
      </c>
      <c r="M17" s="852" t="s">
        <v>482</v>
      </c>
      <c r="N17" s="852" t="s">
        <v>482</v>
      </c>
      <c r="O17" s="852" t="s">
        <v>481</v>
      </c>
      <c r="P17" s="1044" t="s">
        <v>481</v>
      </c>
      <c r="Q17" s="1044" t="s">
        <v>481</v>
      </c>
      <c r="R17" s="1044" t="s">
        <v>481</v>
      </c>
      <c r="S17" s="1044" t="s">
        <v>481</v>
      </c>
      <c r="T17" s="851"/>
      <c r="U17" s="851"/>
      <c r="V17" s="851">
        <v>1</v>
      </c>
      <c r="W17" s="851">
        <v>1</v>
      </c>
      <c r="X17" s="851">
        <v>1</v>
      </c>
      <c r="Y17" s="1036">
        <v>1</v>
      </c>
      <c r="Z17" s="851">
        <v>1</v>
      </c>
      <c r="AA17" s="851"/>
      <c r="AB17" s="851"/>
      <c r="AC17" s="851">
        <v>2</v>
      </c>
      <c r="AD17" s="851">
        <v>2</v>
      </c>
      <c r="AE17" s="851">
        <v>2</v>
      </c>
      <c r="AF17" s="851">
        <v>2</v>
      </c>
      <c r="AG17" s="837"/>
      <c r="AH17" s="924">
        <v>0</v>
      </c>
      <c r="AI17" s="925">
        <v>5.75</v>
      </c>
    </row>
    <row r="18" spans="1:37" ht="21.95" customHeight="1">
      <c r="A18" s="500">
        <v>8546</v>
      </c>
      <c r="B18" s="918" t="s">
        <v>488</v>
      </c>
      <c r="C18" s="852" t="s">
        <v>481</v>
      </c>
      <c r="D18" s="852" t="s">
        <v>481</v>
      </c>
      <c r="E18" s="852" t="s">
        <v>481</v>
      </c>
      <c r="F18" s="852"/>
      <c r="G18" s="852"/>
      <c r="H18" s="852">
        <v>1</v>
      </c>
      <c r="I18" s="852">
        <v>1</v>
      </c>
      <c r="J18" s="852">
        <v>1</v>
      </c>
      <c r="K18" s="852">
        <v>1</v>
      </c>
      <c r="L18" s="1018">
        <v>1</v>
      </c>
      <c r="M18" s="852"/>
      <c r="N18" s="852"/>
      <c r="O18" s="852">
        <v>2</v>
      </c>
      <c r="P18" s="852">
        <v>2</v>
      </c>
      <c r="Q18" s="852">
        <v>2</v>
      </c>
      <c r="R18" s="852">
        <v>2</v>
      </c>
      <c r="S18" s="852">
        <v>2</v>
      </c>
      <c r="T18" s="851" t="s">
        <v>484</v>
      </c>
      <c r="U18" s="851" t="s">
        <v>484</v>
      </c>
      <c r="V18" s="851" t="s">
        <v>481</v>
      </c>
      <c r="W18" s="851" t="s">
        <v>481</v>
      </c>
      <c r="X18" s="851" t="s">
        <v>481</v>
      </c>
      <c r="Y18" s="851" t="s">
        <v>481</v>
      </c>
      <c r="Z18" s="851" t="s">
        <v>481</v>
      </c>
      <c r="AA18" s="851"/>
      <c r="AB18" s="851"/>
      <c r="AC18" s="851">
        <v>3</v>
      </c>
      <c r="AD18" s="851">
        <v>3</v>
      </c>
      <c r="AE18" s="851">
        <v>3</v>
      </c>
      <c r="AF18" s="851">
        <v>3</v>
      </c>
      <c r="AG18" s="837"/>
      <c r="AH18" s="924">
        <v>0</v>
      </c>
      <c r="AI18" s="925">
        <v>9</v>
      </c>
    </row>
    <row r="19" spans="1:37" ht="21.95" customHeight="1">
      <c r="A19" s="512" t="s">
        <v>489</v>
      </c>
      <c r="B19" s="513"/>
      <c r="C19" s="919"/>
      <c r="D19" s="919"/>
      <c r="E19" s="919"/>
      <c r="F19" s="919"/>
      <c r="G19" s="919"/>
      <c r="H19" s="919"/>
      <c r="I19" s="919"/>
      <c r="J19" s="919"/>
      <c r="K19" s="919"/>
      <c r="L19" s="919"/>
      <c r="M19" s="919"/>
      <c r="N19" s="919"/>
      <c r="O19" s="919"/>
      <c r="P19" s="919"/>
      <c r="Q19" s="919"/>
      <c r="R19" s="919"/>
      <c r="S19" s="919"/>
      <c r="T19" s="919"/>
      <c r="U19" s="919"/>
      <c r="V19" s="919"/>
      <c r="W19" s="919"/>
      <c r="X19" s="919"/>
      <c r="Y19" s="919"/>
      <c r="Z19" s="919"/>
      <c r="AA19" s="919"/>
      <c r="AB19" s="919"/>
      <c r="AC19" s="919"/>
      <c r="AD19" s="919"/>
      <c r="AE19" s="919"/>
      <c r="AF19" s="919"/>
      <c r="AG19" s="920"/>
      <c r="AH19" s="506"/>
      <c r="AI19" s="507"/>
    </row>
    <row r="20" spans="1:37" ht="21.95" customHeight="1">
      <c r="A20" s="500">
        <v>8500</v>
      </c>
      <c r="B20" s="153" t="s">
        <v>492</v>
      </c>
      <c r="C20" s="977" t="s">
        <v>491</v>
      </c>
      <c r="D20" s="768"/>
      <c r="E20" s="768"/>
      <c r="F20" s="768"/>
      <c r="G20" s="768"/>
      <c r="H20" s="768"/>
      <c r="I20" s="768">
        <v>3</v>
      </c>
      <c r="J20" s="768">
        <v>3</v>
      </c>
      <c r="K20" s="768">
        <v>3</v>
      </c>
      <c r="L20" s="768">
        <v>1</v>
      </c>
      <c r="M20" s="768"/>
      <c r="N20" s="768"/>
      <c r="O20" s="987" t="s">
        <v>491</v>
      </c>
      <c r="P20" s="987" t="s">
        <v>491</v>
      </c>
      <c r="Q20" s="987" t="s">
        <v>491</v>
      </c>
      <c r="R20" s="987">
        <v>3</v>
      </c>
      <c r="S20" s="1044">
        <v>3</v>
      </c>
      <c r="T20" s="987"/>
      <c r="U20" s="987"/>
      <c r="V20" s="768">
        <v>4</v>
      </c>
      <c r="W20" s="768">
        <v>4</v>
      </c>
      <c r="X20" s="768">
        <v>4</v>
      </c>
      <c r="Y20" s="768">
        <v>4</v>
      </c>
      <c r="Z20" s="768">
        <v>4</v>
      </c>
      <c r="AA20" s="768" t="s">
        <v>482</v>
      </c>
      <c r="AB20" s="768"/>
      <c r="AC20" s="987" t="s">
        <v>481</v>
      </c>
      <c r="AD20" s="987" t="s">
        <v>481</v>
      </c>
      <c r="AE20" s="987" t="s">
        <v>481</v>
      </c>
      <c r="AF20" s="987" t="s">
        <v>481</v>
      </c>
      <c r="AG20" s="769"/>
      <c r="AH20" s="924">
        <v>6</v>
      </c>
      <c r="AI20" s="925">
        <v>37</v>
      </c>
    </row>
    <row r="21" spans="1:37" ht="21.95" customHeight="1" thickBot="1">
      <c r="A21" s="500">
        <v>8500</v>
      </c>
      <c r="B21" s="319" t="s">
        <v>527</v>
      </c>
      <c r="C21" s="768">
        <v>1</v>
      </c>
      <c r="D21" s="768">
        <v>1</v>
      </c>
      <c r="E21" s="768">
        <v>1</v>
      </c>
      <c r="F21" s="768"/>
      <c r="G21" s="768"/>
      <c r="H21" s="768">
        <v>2</v>
      </c>
      <c r="I21" s="768">
        <v>2</v>
      </c>
      <c r="J21" s="768">
        <v>2</v>
      </c>
      <c r="K21" s="768">
        <v>2</v>
      </c>
      <c r="L21" s="768">
        <v>2</v>
      </c>
      <c r="M21" s="768" t="s">
        <v>484</v>
      </c>
      <c r="N21" s="768" t="s">
        <v>484</v>
      </c>
      <c r="O21" s="768" t="s">
        <v>481</v>
      </c>
      <c r="P21" s="768" t="s">
        <v>481</v>
      </c>
      <c r="Q21" s="768" t="s">
        <v>481</v>
      </c>
      <c r="R21" s="768" t="s">
        <v>491</v>
      </c>
      <c r="S21" s="768" t="s">
        <v>481</v>
      </c>
      <c r="T21" s="768"/>
      <c r="U21" s="768"/>
      <c r="V21" s="1044">
        <v>3</v>
      </c>
      <c r="W21" s="768">
        <v>3</v>
      </c>
      <c r="X21" s="768">
        <v>3</v>
      </c>
      <c r="Y21" s="768">
        <v>3</v>
      </c>
      <c r="Z21" s="1047">
        <v>3</v>
      </c>
      <c r="AA21" s="768" t="s">
        <v>490</v>
      </c>
      <c r="AB21" s="768" t="s">
        <v>482</v>
      </c>
      <c r="AC21" s="768" t="s">
        <v>481</v>
      </c>
      <c r="AD21" s="977" t="s">
        <v>491</v>
      </c>
      <c r="AE21" s="768">
        <v>3</v>
      </c>
      <c r="AF21" s="768" t="s">
        <v>491</v>
      </c>
      <c r="AG21" s="769"/>
      <c r="AH21" s="924">
        <v>43</v>
      </c>
      <c r="AI21" s="925">
        <v>37</v>
      </c>
    </row>
    <row r="22" spans="1:37" ht="21.95" customHeight="1" thickBot="1">
      <c r="A22" s="500"/>
      <c r="B22" s="319"/>
      <c r="C22" s="768"/>
      <c r="D22" s="768"/>
      <c r="E22" s="768"/>
      <c r="F22" s="768"/>
      <c r="G22" s="768"/>
      <c r="H22" s="768"/>
      <c r="I22" s="768"/>
      <c r="J22" s="768"/>
      <c r="K22" s="768"/>
      <c r="L22" s="768"/>
      <c r="M22" s="768"/>
      <c r="N22" s="768"/>
      <c r="O22" s="768"/>
      <c r="P22" s="768"/>
      <c r="Q22" s="768"/>
      <c r="R22" s="768"/>
      <c r="S22" s="768"/>
      <c r="T22" s="768"/>
      <c r="U22" s="768"/>
      <c r="V22" s="768"/>
      <c r="W22" s="768"/>
      <c r="X22" s="768"/>
      <c r="Y22" s="768"/>
      <c r="Z22" s="768"/>
      <c r="AA22" s="768"/>
      <c r="AB22" s="768"/>
      <c r="AC22" s="768"/>
      <c r="AD22" s="768"/>
      <c r="AE22" s="768"/>
      <c r="AF22" s="768"/>
      <c r="AG22" s="769"/>
      <c r="AH22" s="963">
        <v>185</v>
      </c>
      <c r="AI22" s="515">
        <v>37</v>
      </c>
    </row>
    <row r="23" spans="1:37" ht="21.95" customHeight="1">
      <c r="A23" s="516"/>
      <c r="C23" s="517"/>
      <c r="D23" s="517"/>
      <c r="E23" s="517"/>
      <c r="F23" s="517"/>
      <c r="G23" s="517"/>
      <c r="H23" s="517"/>
      <c r="I23" s="517"/>
      <c r="J23" s="517"/>
      <c r="K23" s="517"/>
      <c r="L23" s="517"/>
      <c r="M23" s="517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17"/>
      <c r="Y23" s="517"/>
      <c r="Z23" s="517"/>
      <c r="AA23" s="517"/>
      <c r="AB23" s="517"/>
      <c r="AC23" s="517"/>
      <c r="AD23" s="517"/>
      <c r="AE23" s="517"/>
      <c r="AF23" s="517"/>
      <c r="AG23" s="517"/>
    </row>
    <row r="24" spans="1:37" ht="21.95" customHeight="1">
      <c r="A24" s="516"/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</row>
    <row r="25" spans="1:37" ht="21.95" customHeight="1">
      <c r="A25" s="516"/>
      <c r="C25" s="517"/>
      <c r="D25" s="517"/>
      <c r="E25" s="517"/>
      <c r="F25" s="517"/>
      <c r="G25" s="517"/>
      <c r="H25" s="517"/>
      <c r="I25" s="517"/>
      <c r="J25" s="517"/>
      <c r="K25" s="517"/>
      <c r="L25" s="517"/>
      <c r="M25" s="517"/>
      <c r="N25" s="517"/>
      <c r="O25" s="517"/>
      <c r="P25" s="517"/>
      <c r="Q25" s="517"/>
      <c r="R25" s="517"/>
      <c r="S25" s="517"/>
      <c r="T25" s="517"/>
      <c r="U25" s="517"/>
      <c r="V25" s="517"/>
      <c r="W25" s="517"/>
      <c r="X25" s="517"/>
      <c r="Y25" s="517"/>
      <c r="Z25" s="517"/>
      <c r="AA25" s="517"/>
      <c r="AB25" s="517"/>
      <c r="AC25" s="517"/>
      <c r="AD25" s="517"/>
      <c r="AE25" s="517"/>
      <c r="AF25" s="517"/>
      <c r="AG25" s="517"/>
    </row>
    <row r="26" spans="1:37" ht="21.95" customHeight="1">
      <c r="A26" s="516"/>
      <c r="C26" s="517"/>
      <c r="D26" s="517"/>
      <c r="E26" s="517"/>
      <c r="F26" s="517"/>
      <c r="G26" s="517"/>
      <c r="H26" s="517"/>
      <c r="I26" s="517"/>
      <c r="J26" s="517"/>
      <c r="K26" s="517"/>
      <c r="L26" s="517"/>
      <c r="M26" s="517"/>
      <c r="N26" s="517"/>
      <c r="O26" s="517"/>
      <c r="P26" s="517"/>
      <c r="Q26" s="517"/>
      <c r="R26" s="517"/>
      <c r="S26" s="517"/>
      <c r="T26" s="517"/>
      <c r="U26" s="517"/>
      <c r="V26" s="517"/>
      <c r="W26" s="517"/>
      <c r="X26" s="517"/>
      <c r="Y26" s="517"/>
      <c r="Z26" s="517"/>
      <c r="AA26" s="517"/>
      <c r="AB26" s="517"/>
      <c r="AC26" s="517"/>
      <c r="AD26" s="517"/>
      <c r="AE26" s="517"/>
      <c r="AF26" s="517"/>
      <c r="AG26" s="517"/>
    </row>
    <row r="27" spans="1:37" ht="21.95" customHeight="1">
      <c r="A27" s="516"/>
      <c r="C27" s="517"/>
      <c r="D27" s="517"/>
      <c r="E27" s="517"/>
      <c r="F27" s="517"/>
      <c r="G27" s="517"/>
      <c r="H27" s="517"/>
      <c r="I27" s="517"/>
      <c r="J27" s="517"/>
      <c r="K27" s="517"/>
      <c r="L27" s="517"/>
      <c r="M27" s="517"/>
      <c r="N27" s="517"/>
      <c r="O27" s="517"/>
      <c r="P27" s="517"/>
      <c r="Q27" s="517"/>
      <c r="R27" s="517"/>
      <c r="S27" s="517"/>
      <c r="T27" s="517"/>
      <c r="U27" s="517"/>
      <c r="V27" s="517"/>
      <c r="W27" s="517"/>
      <c r="X27" s="517"/>
      <c r="Y27" s="517"/>
      <c r="Z27" s="517"/>
      <c r="AA27" s="517"/>
      <c r="AB27" s="517"/>
      <c r="AC27" s="517"/>
      <c r="AD27" s="517"/>
      <c r="AE27" s="517"/>
      <c r="AF27" s="517"/>
      <c r="AG27" s="517"/>
    </row>
    <row r="28" spans="1:37" ht="21.95" customHeight="1">
      <c r="A28" s="516"/>
      <c r="C28" s="517"/>
      <c r="D28" s="517"/>
      <c r="E28" s="517"/>
      <c r="F28" s="517"/>
      <c r="G28" s="517"/>
      <c r="H28" s="517"/>
      <c r="I28" s="517"/>
      <c r="J28" s="517"/>
      <c r="K28" s="517"/>
      <c r="L28" s="517"/>
      <c r="M28" s="517"/>
      <c r="N28" s="517"/>
      <c r="O28" s="517"/>
      <c r="P28" s="517"/>
      <c r="Q28" s="517"/>
      <c r="R28" s="517"/>
      <c r="S28" s="517"/>
      <c r="T28" s="517"/>
      <c r="U28" s="517"/>
      <c r="V28" s="517"/>
      <c r="W28" s="517"/>
      <c r="X28" s="517"/>
      <c r="Y28" s="517"/>
      <c r="Z28" s="517"/>
      <c r="AA28" s="517"/>
      <c r="AB28" s="517"/>
      <c r="AC28" s="517"/>
      <c r="AD28" s="517"/>
      <c r="AE28" s="517"/>
      <c r="AF28" s="517"/>
      <c r="AG28" s="517"/>
    </row>
    <row r="29" spans="1:37" ht="21.95" customHeight="1">
      <c r="A29" s="516"/>
      <c r="C29" s="517"/>
      <c r="D29" s="517"/>
      <c r="E29" s="517"/>
      <c r="F29" s="517"/>
      <c r="G29" s="517"/>
      <c r="H29" s="517"/>
      <c r="I29" s="517"/>
      <c r="J29" s="517"/>
      <c r="K29" s="517"/>
      <c r="L29" s="517"/>
      <c r="M29" s="517"/>
      <c r="N29" s="517"/>
      <c r="O29" s="517"/>
      <c r="P29" s="517"/>
      <c r="Q29" s="517"/>
      <c r="R29" s="517"/>
      <c r="S29" s="517"/>
      <c r="T29" s="517"/>
      <c r="U29" s="517"/>
      <c r="V29" s="517"/>
      <c r="W29" s="517"/>
      <c r="X29" s="517"/>
      <c r="Y29" s="517"/>
      <c r="Z29" s="517"/>
      <c r="AA29" s="517"/>
      <c r="AB29" s="517"/>
      <c r="AC29" s="517"/>
      <c r="AD29" s="517"/>
      <c r="AE29" s="517"/>
      <c r="AF29" s="517"/>
      <c r="AG29" s="517"/>
    </row>
    <row r="30" spans="1:37" ht="21.95" customHeight="1" thickBot="1">
      <c r="A30" s="1" t="s">
        <v>494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495</v>
      </c>
      <c r="B31" s="518"/>
      <c r="C31" s="518"/>
      <c r="D31" s="425" t="s">
        <v>496</v>
      </c>
      <c r="E31" s="519"/>
      <c r="F31" s="519"/>
      <c r="G31" s="519"/>
      <c r="H31" s="519"/>
      <c r="I31" s="519"/>
      <c r="J31" s="519"/>
      <c r="K31" s="519"/>
      <c r="L31" s="519"/>
      <c r="M31" s="520" t="s">
        <v>497</v>
      </c>
      <c r="N31" s="519"/>
      <c r="O31" s="519"/>
      <c r="P31" s="519"/>
      <c r="Q31" s="519"/>
      <c r="R31" s="519"/>
      <c r="S31" s="521"/>
      <c r="T31" s="521" t="s">
        <v>770</v>
      </c>
      <c r="U31" s="519"/>
      <c r="V31" s="519"/>
      <c r="W31" s="519"/>
      <c r="X31" s="519"/>
      <c r="Y31" s="519"/>
      <c r="Z31" s="238"/>
      <c r="AA31" s="522" t="s">
        <v>499</v>
      </c>
      <c r="AB31" s="51"/>
      <c r="AC31" s="51"/>
      <c r="AD31" s="51"/>
      <c r="AE31" s="51"/>
      <c r="AF31" s="51"/>
      <c r="AG31" s="523"/>
      <c r="AK31" s="1"/>
    </row>
    <row r="32" spans="1:37" ht="21.95" customHeight="1">
      <c r="A32" s="524" t="s">
        <v>500</v>
      </c>
      <c r="B32" s="135"/>
      <c r="C32" s="135"/>
      <c r="D32" s="495" t="s">
        <v>501</v>
      </c>
      <c r="E32" s="491"/>
      <c r="F32" s="157"/>
      <c r="G32" s="157"/>
      <c r="H32" s="157"/>
      <c r="I32" s="157"/>
      <c r="J32" s="157"/>
      <c r="K32" s="157"/>
      <c r="L32" s="489"/>
      <c r="M32" s="525" t="s">
        <v>502</v>
      </c>
      <c r="N32" s="135"/>
      <c r="O32" s="526"/>
      <c r="P32" s="135"/>
      <c r="Q32" s="135"/>
      <c r="R32" s="135"/>
      <c r="S32" s="527"/>
      <c r="T32" s="495" t="s">
        <v>503</v>
      </c>
      <c r="U32" s="157"/>
      <c r="V32" s="491"/>
      <c r="W32" s="157"/>
      <c r="X32" s="157"/>
      <c r="Y32" s="157"/>
      <c r="Z32" s="489"/>
      <c r="AA32" s="1" t="s">
        <v>504</v>
      </c>
      <c r="AD32" s="496"/>
      <c r="AG32" s="528"/>
      <c r="AK32" s="1"/>
    </row>
    <row r="33" spans="1:38" ht="21.95" customHeight="1">
      <c r="A33" s="529" t="s">
        <v>505</v>
      </c>
      <c r="B33" s="157"/>
      <c r="C33" s="157"/>
      <c r="D33" s="157"/>
      <c r="E33" s="157"/>
      <c r="F33" s="157"/>
      <c r="G33" s="489"/>
      <c r="H33" s="495" t="s">
        <v>506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0" t="s">
        <v>507</v>
      </c>
      <c r="AA33" s="526"/>
      <c r="AB33" s="135"/>
      <c r="AC33" s="135"/>
      <c r="AD33" s="135"/>
      <c r="AE33" s="135"/>
      <c r="AF33" s="135"/>
      <c r="AG33" s="531"/>
      <c r="AK33" s="312"/>
    </row>
    <row r="34" spans="1:38" ht="21.95" customHeight="1" thickBot="1">
      <c r="A34" s="532" t="s">
        <v>508</v>
      </c>
      <c r="B34" s="53"/>
      <c r="C34" s="53"/>
      <c r="D34" s="53"/>
      <c r="E34" s="53"/>
      <c r="F34" s="53"/>
      <c r="G34" s="533"/>
      <c r="H34" s="534" t="s">
        <v>509</v>
      </c>
      <c r="I34" s="533"/>
      <c r="J34" s="53"/>
      <c r="K34" s="53"/>
      <c r="L34" s="53"/>
      <c r="M34" s="53"/>
      <c r="N34" s="53"/>
      <c r="O34" s="53"/>
      <c r="P34" s="53"/>
      <c r="Q34" s="535"/>
      <c r="R34" s="535"/>
      <c r="S34" s="535"/>
      <c r="T34" s="53"/>
      <c r="U34" s="534" t="s">
        <v>510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6"/>
      <c r="AK34" s="1"/>
    </row>
    <row r="35" spans="1:38" ht="21.95" customHeight="1" thickBot="1">
      <c r="B35" s="537" t="s">
        <v>474</v>
      </c>
      <c r="C35" s="538"/>
      <c r="D35" s="538"/>
      <c r="E35" s="538"/>
      <c r="F35" s="538"/>
      <c r="G35" s="538"/>
      <c r="H35" s="538"/>
      <c r="I35" s="538"/>
      <c r="J35" s="538"/>
      <c r="K35" s="538"/>
      <c r="L35" s="538"/>
      <c r="M35" s="538"/>
      <c r="N35" s="538"/>
      <c r="O35" s="538"/>
      <c r="P35" s="538"/>
      <c r="Q35" s="538"/>
      <c r="R35" s="538"/>
      <c r="S35" s="538"/>
      <c r="T35" s="538"/>
      <c r="U35" s="538"/>
      <c r="V35" s="538"/>
      <c r="W35" s="538"/>
      <c r="X35" s="538"/>
      <c r="Y35" s="538"/>
      <c r="Z35" s="538"/>
      <c r="AA35" s="538"/>
      <c r="AB35" s="538"/>
      <c r="AC35" s="538"/>
      <c r="AD35" s="538"/>
      <c r="AE35" s="538"/>
      <c r="AF35" s="538"/>
      <c r="AG35" s="538"/>
      <c r="AH35" s="1"/>
    </row>
    <row r="36" spans="1:38" ht="21.95" customHeight="1" thickBot="1">
      <c r="A36" s="539" t="s">
        <v>475</v>
      </c>
      <c r="B36" s="182" t="s">
        <v>476</v>
      </c>
      <c r="C36" s="787">
        <v>1</v>
      </c>
      <c r="D36" s="788">
        <v>2</v>
      </c>
      <c r="E36" s="788">
        <v>3</v>
      </c>
      <c r="F36" s="788">
        <v>4</v>
      </c>
      <c r="G36" s="788">
        <v>5</v>
      </c>
      <c r="H36" s="788">
        <v>6</v>
      </c>
      <c r="I36" s="766">
        <v>7</v>
      </c>
      <c r="J36" s="766">
        <v>8</v>
      </c>
      <c r="K36" s="787">
        <v>9</v>
      </c>
      <c r="L36" s="787">
        <v>10</v>
      </c>
      <c r="M36" s="788">
        <v>11</v>
      </c>
      <c r="N36" s="788">
        <v>12</v>
      </c>
      <c r="O36" s="787">
        <v>13</v>
      </c>
      <c r="P36" s="766">
        <v>14</v>
      </c>
      <c r="Q36" s="766">
        <v>15</v>
      </c>
      <c r="R36" s="787">
        <v>16</v>
      </c>
      <c r="S36" s="787">
        <v>17</v>
      </c>
      <c r="T36" s="788">
        <v>18</v>
      </c>
      <c r="U36" s="788">
        <v>19</v>
      </c>
      <c r="V36" s="766">
        <v>20</v>
      </c>
      <c r="W36" s="766">
        <v>21</v>
      </c>
      <c r="X36" s="766">
        <v>22</v>
      </c>
      <c r="Y36" s="787">
        <v>23</v>
      </c>
      <c r="Z36" s="787">
        <v>24</v>
      </c>
      <c r="AA36" s="788">
        <v>25</v>
      </c>
      <c r="AB36" s="788">
        <v>26</v>
      </c>
      <c r="AC36" s="787">
        <v>27</v>
      </c>
      <c r="AD36" s="766">
        <v>28</v>
      </c>
      <c r="AE36" s="766">
        <v>29</v>
      </c>
      <c r="AF36" s="787">
        <v>30</v>
      </c>
      <c r="AG36" s="787"/>
      <c r="AH36" s="498" t="s">
        <v>477</v>
      </c>
      <c r="AI36" s="499" t="s">
        <v>478</v>
      </c>
      <c r="AL36" t="s">
        <v>28</v>
      </c>
    </row>
    <row r="37" spans="1:38" ht="21.95" customHeight="1">
      <c r="A37" s="540">
        <v>1</v>
      </c>
      <c r="B37" s="45" t="s">
        <v>511</v>
      </c>
      <c r="C37" s="763">
        <v>10</v>
      </c>
      <c r="D37" s="763">
        <v>10</v>
      </c>
      <c r="E37" s="763">
        <v>10</v>
      </c>
      <c r="F37" s="763" t="s">
        <v>514</v>
      </c>
      <c r="G37" s="763" t="s">
        <v>514</v>
      </c>
      <c r="H37" s="763" t="s">
        <v>481</v>
      </c>
      <c r="I37" s="763" t="s">
        <v>481</v>
      </c>
      <c r="J37" s="763" t="s">
        <v>481</v>
      </c>
      <c r="K37" s="763" t="s">
        <v>481</v>
      </c>
      <c r="L37" s="763" t="s">
        <v>481</v>
      </c>
      <c r="M37" s="974" t="s">
        <v>515</v>
      </c>
      <c r="N37" s="763" t="s">
        <v>515</v>
      </c>
      <c r="O37" s="763">
        <v>7</v>
      </c>
      <c r="P37" s="763">
        <v>7</v>
      </c>
      <c r="Q37" s="763">
        <v>7</v>
      </c>
      <c r="R37" s="763">
        <v>7</v>
      </c>
      <c r="S37" s="763">
        <v>7</v>
      </c>
      <c r="T37" s="763"/>
      <c r="U37" s="763"/>
      <c r="V37" s="1016">
        <v>4</v>
      </c>
      <c r="W37" s="1016" t="s">
        <v>792</v>
      </c>
      <c r="X37" s="763">
        <v>4</v>
      </c>
      <c r="Y37" s="763">
        <v>4</v>
      </c>
      <c r="Z37" s="1016" t="s">
        <v>792</v>
      </c>
      <c r="AA37" s="763"/>
      <c r="AB37" s="763"/>
      <c r="AC37" s="763">
        <v>3</v>
      </c>
      <c r="AD37" s="763">
        <v>3</v>
      </c>
      <c r="AE37" s="763">
        <v>3</v>
      </c>
      <c r="AF37" s="763">
        <v>3</v>
      </c>
      <c r="AG37" s="773"/>
      <c r="AH37" s="924">
        <v>0</v>
      </c>
      <c r="AI37" s="925">
        <v>37</v>
      </c>
    </row>
    <row r="38" spans="1:38" ht="21.95" customHeight="1">
      <c r="A38" s="541">
        <v>6</v>
      </c>
      <c r="B38" s="153" t="s">
        <v>794</v>
      </c>
      <c r="C38" s="768">
        <v>11</v>
      </c>
      <c r="D38" s="768">
        <v>11</v>
      </c>
      <c r="E38" s="768">
        <v>11</v>
      </c>
      <c r="F38" s="768" t="s">
        <v>517</v>
      </c>
      <c r="G38" s="768" t="s">
        <v>517</v>
      </c>
      <c r="H38" s="987" t="s">
        <v>481</v>
      </c>
      <c r="I38" s="987" t="s">
        <v>481</v>
      </c>
      <c r="J38" s="987" t="s">
        <v>481</v>
      </c>
      <c r="K38" s="987" t="s">
        <v>481</v>
      </c>
      <c r="L38" s="987" t="s">
        <v>481</v>
      </c>
      <c r="M38" s="987"/>
      <c r="N38" s="987"/>
      <c r="O38" s="1007">
        <v>8</v>
      </c>
      <c r="P38" s="1007">
        <v>8</v>
      </c>
      <c r="Q38" s="1007">
        <v>8</v>
      </c>
      <c r="R38" s="1007">
        <v>8</v>
      </c>
      <c r="S38" s="1007">
        <v>8</v>
      </c>
      <c r="T38" s="1007" t="s">
        <v>513</v>
      </c>
      <c r="U38" s="1007" t="s">
        <v>513</v>
      </c>
      <c r="V38" s="768" t="s">
        <v>481</v>
      </c>
      <c r="W38" s="768" t="s">
        <v>481</v>
      </c>
      <c r="X38" s="768" t="s">
        <v>481</v>
      </c>
      <c r="Y38" s="768" t="s">
        <v>481</v>
      </c>
      <c r="Z38" s="768" t="s">
        <v>481</v>
      </c>
      <c r="AA38" s="768"/>
      <c r="AB38" s="768"/>
      <c r="AC38" s="768">
        <v>1</v>
      </c>
      <c r="AD38" s="768">
        <v>1</v>
      </c>
      <c r="AE38" s="768">
        <v>1</v>
      </c>
      <c r="AF38" s="768">
        <v>1</v>
      </c>
      <c r="AG38" s="774"/>
      <c r="AH38" s="924">
        <v>0</v>
      </c>
      <c r="AI38" s="925">
        <v>2</v>
      </c>
    </row>
    <row r="39" spans="1:38" ht="21.95" customHeight="1" thickBot="1">
      <c r="A39" s="543">
        <v>11</v>
      </c>
      <c r="B39" s="794" t="s">
        <v>518</v>
      </c>
      <c r="C39" s="761">
        <v>9</v>
      </c>
      <c r="D39" s="761">
        <v>9</v>
      </c>
      <c r="E39" s="761">
        <v>9</v>
      </c>
      <c r="F39" s="761" t="s">
        <v>519</v>
      </c>
      <c r="G39" s="761" t="s">
        <v>514</v>
      </c>
      <c r="H39" s="761" t="s">
        <v>481</v>
      </c>
      <c r="I39" s="1047" t="s">
        <v>481</v>
      </c>
      <c r="J39" s="1047" t="s">
        <v>481</v>
      </c>
      <c r="K39" s="1047" t="s">
        <v>481</v>
      </c>
      <c r="L39" s="1047" t="s">
        <v>481</v>
      </c>
      <c r="M39" s="761"/>
      <c r="N39" s="761"/>
      <c r="O39" s="1068">
        <v>6</v>
      </c>
      <c r="P39" s="1068">
        <v>6</v>
      </c>
      <c r="Q39" s="1068">
        <v>6</v>
      </c>
      <c r="R39" s="761">
        <v>6</v>
      </c>
      <c r="S39" s="761">
        <v>6</v>
      </c>
      <c r="T39" s="761" t="s">
        <v>512</v>
      </c>
      <c r="U39" s="761" t="s">
        <v>513</v>
      </c>
      <c r="V39" s="1047" t="s">
        <v>481</v>
      </c>
      <c r="W39" s="1047" t="s">
        <v>481</v>
      </c>
      <c r="X39" s="1047" t="s">
        <v>481</v>
      </c>
      <c r="Y39" s="1047" t="s">
        <v>481</v>
      </c>
      <c r="Z39" s="1047" t="s">
        <v>481</v>
      </c>
      <c r="AA39" s="761"/>
      <c r="AB39" s="761"/>
      <c r="AC39" s="1037">
        <v>5</v>
      </c>
      <c r="AD39" s="1037">
        <v>5</v>
      </c>
      <c r="AE39" s="1037">
        <v>5</v>
      </c>
      <c r="AF39" s="1037">
        <v>5</v>
      </c>
      <c r="AG39" s="775"/>
      <c r="AH39" s="924">
        <v>5.5</v>
      </c>
      <c r="AI39" s="925">
        <v>37</v>
      </c>
    </row>
    <row r="40" spans="1:38" ht="21.95" customHeight="1">
      <c r="A40" s="540">
        <v>2</v>
      </c>
      <c r="B40" s="45" t="s">
        <v>520</v>
      </c>
      <c r="C40" s="763" t="s">
        <v>481</v>
      </c>
      <c r="D40" s="763" t="s">
        <v>481</v>
      </c>
      <c r="E40" s="763" t="s">
        <v>481</v>
      </c>
      <c r="F40" s="776" t="s">
        <v>515</v>
      </c>
      <c r="G40" s="776" t="s">
        <v>515</v>
      </c>
      <c r="H40" s="763">
        <v>7</v>
      </c>
      <c r="I40" s="763">
        <v>7</v>
      </c>
      <c r="J40" s="763">
        <v>7</v>
      </c>
      <c r="K40" s="763">
        <v>7</v>
      </c>
      <c r="L40" s="763">
        <v>7</v>
      </c>
      <c r="M40" s="763"/>
      <c r="N40" s="763"/>
      <c r="O40" s="1156">
        <v>4</v>
      </c>
      <c r="P40" s="1156">
        <v>4</v>
      </c>
      <c r="Q40" s="1156">
        <v>4</v>
      </c>
      <c r="R40" s="1156">
        <v>4</v>
      </c>
      <c r="S40" s="1156">
        <v>4</v>
      </c>
      <c r="T40" s="776"/>
      <c r="U40" s="776"/>
      <c r="V40" s="763">
        <v>3</v>
      </c>
      <c r="W40" s="763">
        <v>3</v>
      </c>
      <c r="X40" s="763">
        <v>3</v>
      </c>
      <c r="Y40" s="763">
        <v>3</v>
      </c>
      <c r="Z40" s="763">
        <v>3</v>
      </c>
      <c r="AA40" s="763"/>
      <c r="AB40" s="763"/>
      <c r="AC40" s="763">
        <v>11</v>
      </c>
      <c r="AD40" s="763">
        <v>11</v>
      </c>
      <c r="AE40" s="763">
        <v>11</v>
      </c>
      <c r="AF40" s="763">
        <v>11</v>
      </c>
      <c r="AG40" s="763"/>
      <c r="AH40" s="924">
        <v>0</v>
      </c>
      <c r="AI40" s="925">
        <v>6</v>
      </c>
    </row>
    <row r="41" spans="1:38" ht="21.95" customHeight="1">
      <c r="A41" s="541">
        <v>7</v>
      </c>
      <c r="B41" s="153" t="s">
        <v>522</v>
      </c>
      <c r="C41" s="768" t="s">
        <v>481</v>
      </c>
      <c r="D41" s="768" t="s">
        <v>481</v>
      </c>
      <c r="E41" s="768" t="s">
        <v>481</v>
      </c>
      <c r="F41" s="768"/>
      <c r="G41" s="768"/>
      <c r="H41" s="768">
        <v>8</v>
      </c>
      <c r="I41" s="768">
        <v>8</v>
      </c>
      <c r="J41" s="768">
        <v>8</v>
      </c>
      <c r="K41" s="768">
        <v>8</v>
      </c>
      <c r="L41" s="768">
        <v>8</v>
      </c>
      <c r="M41" s="768" t="s">
        <v>513</v>
      </c>
      <c r="N41" s="768" t="s">
        <v>513</v>
      </c>
      <c r="O41" s="768" t="s">
        <v>481</v>
      </c>
      <c r="P41" s="768" t="s">
        <v>481</v>
      </c>
      <c r="Q41" s="768" t="s">
        <v>481</v>
      </c>
      <c r="R41" s="768" t="s">
        <v>481</v>
      </c>
      <c r="S41" s="768" t="s">
        <v>481</v>
      </c>
      <c r="T41" s="768"/>
      <c r="U41" s="768"/>
      <c r="V41" s="980">
        <v>1</v>
      </c>
      <c r="W41" s="980">
        <v>1</v>
      </c>
      <c r="X41" s="980">
        <v>1</v>
      </c>
      <c r="Y41" s="980">
        <v>1</v>
      </c>
      <c r="Z41" s="980">
        <v>1</v>
      </c>
      <c r="AA41" s="768"/>
      <c r="AB41" s="768"/>
      <c r="AC41" s="768">
        <v>9</v>
      </c>
      <c r="AD41" s="768">
        <v>9</v>
      </c>
      <c r="AE41" s="768">
        <v>9</v>
      </c>
      <c r="AF41" s="768">
        <v>9</v>
      </c>
      <c r="AG41" s="774"/>
      <c r="AH41" s="924">
        <v>0</v>
      </c>
      <c r="AI41" s="925">
        <v>2</v>
      </c>
    </row>
    <row r="42" spans="1:38" ht="21.95" customHeight="1" thickBot="1">
      <c r="A42" s="543">
        <v>12</v>
      </c>
      <c r="B42" s="544" t="s">
        <v>523</v>
      </c>
      <c r="C42" s="761" t="s">
        <v>481</v>
      </c>
      <c r="D42" s="761" t="s">
        <v>481</v>
      </c>
      <c r="E42" s="761" t="s">
        <v>481</v>
      </c>
      <c r="F42" s="761"/>
      <c r="G42" s="761"/>
      <c r="H42" s="761">
        <v>6</v>
      </c>
      <c r="I42" s="761">
        <v>6</v>
      </c>
      <c r="J42" s="761">
        <v>6</v>
      </c>
      <c r="K42" s="761">
        <v>6</v>
      </c>
      <c r="L42" s="761">
        <v>6</v>
      </c>
      <c r="M42" s="761" t="s">
        <v>512</v>
      </c>
      <c r="N42" s="761" t="s">
        <v>513</v>
      </c>
      <c r="O42" s="1047" t="s">
        <v>481</v>
      </c>
      <c r="P42" s="1047" t="s">
        <v>481</v>
      </c>
      <c r="Q42" s="1047" t="s">
        <v>481</v>
      </c>
      <c r="R42" s="1047" t="s">
        <v>481</v>
      </c>
      <c r="S42" s="1047" t="s">
        <v>481</v>
      </c>
      <c r="T42" s="761"/>
      <c r="U42" s="761"/>
      <c r="V42" s="1047">
        <v>5</v>
      </c>
      <c r="W42" s="761">
        <v>5</v>
      </c>
      <c r="X42" s="761">
        <v>5</v>
      </c>
      <c r="Y42" s="761">
        <v>5</v>
      </c>
      <c r="Z42" s="761">
        <v>5</v>
      </c>
      <c r="AA42" s="761"/>
      <c r="AB42" s="761"/>
      <c r="AC42" s="761">
        <v>10</v>
      </c>
      <c r="AD42" s="761">
        <v>10</v>
      </c>
      <c r="AE42" s="761">
        <v>10</v>
      </c>
      <c r="AF42" s="761">
        <v>10</v>
      </c>
      <c r="AG42" s="775"/>
      <c r="AH42" s="924">
        <v>21</v>
      </c>
      <c r="AI42" s="925">
        <v>37</v>
      </c>
    </row>
    <row r="43" spans="1:38" ht="21.95" customHeight="1">
      <c r="A43" s="545">
        <v>3</v>
      </c>
      <c r="B43" s="1309" t="s">
        <v>575</v>
      </c>
      <c r="C43" s="1314">
        <v>7</v>
      </c>
      <c r="D43" s="764">
        <v>7</v>
      </c>
      <c r="E43" s="764">
        <v>7</v>
      </c>
      <c r="F43" s="764"/>
      <c r="G43" s="764"/>
      <c r="H43" s="764">
        <v>4</v>
      </c>
      <c r="I43" s="764">
        <v>4</v>
      </c>
      <c r="J43" s="764">
        <v>4</v>
      </c>
      <c r="K43" s="764">
        <v>4</v>
      </c>
      <c r="L43" s="764">
        <v>4</v>
      </c>
      <c r="M43" s="764"/>
      <c r="N43" s="764"/>
      <c r="O43" s="764">
        <v>3</v>
      </c>
      <c r="P43" s="764">
        <v>3</v>
      </c>
      <c r="Q43" s="764">
        <v>3</v>
      </c>
      <c r="R43" s="767">
        <v>3</v>
      </c>
      <c r="S43" s="764">
        <v>3</v>
      </c>
      <c r="T43" s="764"/>
      <c r="U43" s="764"/>
      <c r="V43" s="972">
        <v>11</v>
      </c>
      <c r="W43" s="972">
        <v>11</v>
      </c>
      <c r="X43" s="972">
        <v>11</v>
      </c>
      <c r="Y43" s="972">
        <v>11</v>
      </c>
      <c r="Z43" s="972">
        <v>11</v>
      </c>
      <c r="AA43" s="972" t="s">
        <v>517</v>
      </c>
      <c r="AB43" s="972" t="s">
        <v>517</v>
      </c>
      <c r="AC43" s="764" t="s">
        <v>481</v>
      </c>
      <c r="AD43" s="1024" t="s">
        <v>481</v>
      </c>
      <c r="AE43" s="764" t="s">
        <v>481</v>
      </c>
      <c r="AF43" s="1024" t="s">
        <v>481</v>
      </c>
      <c r="AG43" s="777"/>
      <c r="AH43" s="924">
        <v>0</v>
      </c>
      <c r="AI43" s="925">
        <v>37</v>
      </c>
    </row>
    <row r="44" spans="1:38" ht="21.95" customHeight="1">
      <c r="A44" s="541">
        <v>8</v>
      </c>
      <c r="B44" s="319" t="s">
        <v>525</v>
      </c>
      <c r="C44" s="970">
        <v>8</v>
      </c>
      <c r="D44" s="970">
        <v>8</v>
      </c>
      <c r="E44" s="970">
        <v>8</v>
      </c>
      <c r="F44" s="970" t="s">
        <v>513</v>
      </c>
      <c r="G44" s="1162" t="s">
        <v>513</v>
      </c>
      <c r="H44" s="768" t="s">
        <v>481</v>
      </c>
      <c r="I44" s="768" t="s">
        <v>481</v>
      </c>
      <c r="J44" s="768" t="s">
        <v>481</v>
      </c>
      <c r="K44" s="768" t="s">
        <v>481</v>
      </c>
      <c r="L44" s="768" t="s">
        <v>481</v>
      </c>
      <c r="M44" s="768"/>
      <c r="N44" s="768"/>
      <c r="O44" s="768">
        <v>1</v>
      </c>
      <c r="P44" s="768">
        <v>1</v>
      </c>
      <c r="Q44" s="769">
        <v>1</v>
      </c>
      <c r="R44" s="768">
        <v>1</v>
      </c>
      <c r="S44" s="779">
        <v>1</v>
      </c>
      <c r="T44" s="768"/>
      <c r="U44" s="768"/>
      <c r="V44" s="768">
        <v>9</v>
      </c>
      <c r="W44" s="768">
        <v>9</v>
      </c>
      <c r="X44" s="768">
        <v>9</v>
      </c>
      <c r="Y44" s="768">
        <v>9</v>
      </c>
      <c r="Z44" s="768">
        <v>9</v>
      </c>
      <c r="AA44" s="768" t="s">
        <v>519</v>
      </c>
      <c r="AB44" s="768" t="s">
        <v>514</v>
      </c>
      <c r="AC44" s="768" t="s">
        <v>481</v>
      </c>
      <c r="AD44" s="768" t="s">
        <v>481</v>
      </c>
      <c r="AE44" s="768" t="s">
        <v>481</v>
      </c>
      <c r="AF44" s="768" t="s">
        <v>481</v>
      </c>
      <c r="AG44" s="768"/>
      <c r="AH44" s="924">
        <v>4.5</v>
      </c>
      <c r="AI44" s="925">
        <v>12.5</v>
      </c>
    </row>
    <row r="45" spans="1:38" ht="21.95" customHeight="1" thickBot="1">
      <c r="A45" s="543">
        <v>13</v>
      </c>
      <c r="B45" s="52" t="s">
        <v>526</v>
      </c>
      <c r="C45" s="761">
        <v>6</v>
      </c>
      <c r="D45" s="761">
        <v>6</v>
      </c>
      <c r="E45" s="761">
        <v>6</v>
      </c>
      <c r="F45" s="761" t="s">
        <v>512</v>
      </c>
      <c r="G45" s="761" t="s">
        <v>513</v>
      </c>
      <c r="H45" s="761" t="s">
        <v>481</v>
      </c>
      <c r="I45" s="761" t="s">
        <v>481</v>
      </c>
      <c r="J45" s="761" t="s">
        <v>481</v>
      </c>
      <c r="K45" s="761" t="s">
        <v>481</v>
      </c>
      <c r="L45" s="761" t="s">
        <v>481</v>
      </c>
      <c r="M45" s="761"/>
      <c r="N45" s="761"/>
      <c r="O45" s="1037">
        <v>5</v>
      </c>
      <c r="P45" s="1037">
        <v>5</v>
      </c>
      <c r="Q45" s="1037">
        <v>5</v>
      </c>
      <c r="R45" s="1163">
        <v>5</v>
      </c>
      <c r="S45" s="967">
        <v>5</v>
      </c>
      <c r="T45" s="967"/>
      <c r="U45" s="967"/>
      <c r="V45" s="967">
        <v>10</v>
      </c>
      <c r="W45" s="967">
        <v>10</v>
      </c>
      <c r="X45" s="967">
        <v>10</v>
      </c>
      <c r="Y45" s="967">
        <v>10</v>
      </c>
      <c r="Z45" s="967">
        <v>10</v>
      </c>
      <c r="AA45" s="967" t="s">
        <v>514</v>
      </c>
      <c r="AB45" s="967" t="s">
        <v>514</v>
      </c>
      <c r="AC45" s="761" t="s">
        <v>481</v>
      </c>
      <c r="AD45" s="761" t="s">
        <v>481</v>
      </c>
      <c r="AE45" s="761" t="s">
        <v>481</v>
      </c>
      <c r="AF45" s="761" t="s">
        <v>481</v>
      </c>
      <c r="AG45" s="761"/>
      <c r="AH45" s="924">
        <v>0</v>
      </c>
      <c r="AI45" s="925">
        <v>37</v>
      </c>
    </row>
    <row r="46" spans="1:38" ht="21.95" customHeight="1">
      <c r="A46" s="545">
        <v>4</v>
      </c>
      <c r="B46" s="319"/>
      <c r="C46" s="768">
        <v>4</v>
      </c>
      <c r="D46" s="768">
        <v>4</v>
      </c>
      <c r="E46" s="768">
        <v>4</v>
      </c>
      <c r="F46" s="768"/>
      <c r="G46" s="768"/>
      <c r="H46" s="768">
        <v>3</v>
      </c>
      <c r="I46" s="768">
        <v>3</v>
      </c>
      <c r="J46" s="764">
        <v>3</v>
      </c>
      <c r="K46" s="764">
        <v>3</v>
      </c>
      <c r="L46" s="764">
        <v>3</v>
      </c>
      <c r="M46" s="764"/>
      <c r="N46" s="764"/>
      <c r="O46" s="764">
        <v>11</v>
      </c>
      <c r="P46" s="764">
        <v>11</v>
      </c>
      <c r="Q46" s="764">
        <v>11</v>
      </c>
      <c r="R46" s="764">
        <v>11</v>
      </c>
      <c r="S46" s="764">
        <v>11</v>
      </c>
      <c r="T46" s="764" t="s">
        <v>517</v>
      </c>
      <c r="U46" s="764" t="s">
        <v>517</v>
      </c>
      <c r="V46" s="764" t="s">
        <v>481</v>
      </c>
      <c r="W46" s="764" t="s">
        <v>481</v>
      </c>
      <c r="X46" s="764" t="s">
        <v>481</v>
      </c>
      <c r="Y46" s="764" t="s">
        <v>481</v>
      </c>
      <c r="Z46" s="764" t="s">
        <v>481</v>
      </c>
      <c r="AA46" s="764"/>
      <c r="AB46" s="764"/>
      <c r="AC46" s="764">
        <v>8</v>
      </c>
      <c r="AD46" s="764">
        <v>8</v>
      </c>
      <c r="AE46" s="764">
        <v>8</v>
      </c>
      <c r="AF46" s="764">
        <v>8</v>
      </c>
      <c r="AG46" s="771"/>
      <c r="AH46" s="924">
        <v>62</v>
      </c>
      <c r="AI46" s="925">
        <v>37</v>
      </c>
    </row>
    <row r="47" spans="1:38" ht="21.95" customHeight="1">
      <c r="A47" s="541">
        <v>9</v>
      </c>
      <c r="B47" s="319" t="s">
        <v>528</v>
      </c>
      <c r="C47" s="768" t="s">
        <v>481</v>
      </c>
      <c r="D47" s="768" t="s">
        <v>481</v>
      </c>
      <c r="E47" s="768" t="s">
        <v>481</v>
      </c>
      <c r="F47" s="768"/>
      <c r="G47" s="768"/>
      <c r="H47" s="977">
        <v>1</v>
      </c>
      <c r="I47" s="977">
        <v>1</v>
      </c>
      <c r="J47" s="977">
        <v>1</v>
      </c>
      <c r="K47" s="977">
        <v>1</v>
      </c>
      <c r="L47" s="977">
        <v>1</v>
      </c>
      <c r="M47" s="768"/>
      <c r="N47" s="768"/>
      <c r="O47" s="768">
        <v>9</v>
      </c>
      <c r="P47" s="768">
        <v>9</v>
      </c>
      <c r="Q47" s="768">
        <v>9</v>
      </c>
      <c r="R47" s="768">
        <v>9</v>
      </c>
      <c r="S47" s="768">
        <v>9</v>
      </c>
      <c r="T47" s="768" t="s">
        <v>519</v>
      </c>
      <c r="U47" s="768" t="s">
        <v>514</v>
      </c>
      <c r="V47" s="768" t="s">
        <v>481</v>
      </c>
      <c r="W47" s="768" t="s">
        <v>481</v>
      </c>
      <c r="X47" s="768" t="s">
        <v>481</v>
      </c>
      <c r="Y47" s="768" t="s">
        <v>481</v>
      </c>
      <c r="Z47" s="768" t="s">
        <v>481</v>
      </c>
      <c r="AA47" s="768"/>
      <c r="AB47" s="768"/>
      <c r="AC47" s="768">
        <v>6</v>
      </c>
      <c r="AD47" s="768">
        <v>6</v>
      </c>
      <c r="AE47" s="768">
        <v>6</v>
      </c>
      <c r="AF47" s="768">
        <v>6</v>
      </c>
      <c r="AG47" s="769"/>
      <c r="AH47" s="924">
        <v>0</v>
      </c>
      <c r="AI47" s="925">
        <v>0</v>
      </c>
    </row>
    <row r="48" spans="1:38" ht="21.95" customHeight="1" thickBot="1">
      <c r="A48" s="543">
        <v>14</v>
      </c>
      <c r="B48" s="544" t="s">
        <v>529</v>
      </c>
      <c r="C48" s="1047" t="s">
        <v>481</v>
      </c>
      <c r="D48" s="761" t="s">
        <v>481</v>
      </c>
      <c r="E48" s="764" t="s">
        <v>481</v>
      </c>
      <c r="F48" s="764"/>
      <c r="G48" s="764"/>
      <c r="H48" s="764">
        <v>5</v>
      </c>
      <c r="I48" s="972">
        <v>5</v>
      </c>
      <c r="J48" s="972">
        <v>5</v>
      </c>
      <c r="K48" s="964">
        <v>5</v>
      </c>
      <c r="L48" s="1037">
        <v>5</v>
      </c>
      <c r="M48" s="761"/>
      <c r="N48" s="761"/>
      <c r="O48" s="1236" t="s">
        <v>485</v>
      </c>
      <c r="P48" s="1236" t="s">
        <v>485</v>
      </c>
      <c r="Q48" s="1047">
        <v>6</v>
      </c>
      <c r="R48" s="1236" t="s">
        <v>485</v>
      </c>
      <c r="S48" s="1236" t="s">
        <v>485</v>
      </c>
      <c r="T48" s="1236"/>
      <c r="U48" s="1236"/>
      <c r="V48" s="761" t="s">
        <v>481</v>
      </c>
      <c r="W48" s="761" t="s">
        <v>481</v>
      </c>
      <c r="X48" s="761" t="s">
        <v>481</v>
      </c>
      <c r="Y48" s="761" t="s">
        <v>481</v>
      </c>
      <c r="Z48" s="761" t="s">
        <v>481</v>
      </c>
      <c r="AA48" s="1037" t="s">
        <v>515</v>
      </c>
      <c r="AB48" s="1037" t="s">
        <v>515</v>
      </c>
      <c r="AC48" s="967">
        <v>7</v>
      </c>
      <c r="AD48" s="967">
        <v>7</v>
      </c>
      <c r="AE48" s="967">
        <v>7</v>
      </c>
      <c r="AF48" s="967">
        <v>7</v>
      </c>
      <c r="AG48" s="780"/>
      <c r="AH48" s="924">
        <v>2</v>
      </c>
      <c r="AI48" s="925">
        <v>37</v>
      </c>
    </row>
    <row r="49" spans="1:35" ht="21.95" customHeight="1">
      <c r="A49" s="540">
        <v>5</v>
      </c>
      <c r="B49" s="542" t="s">
        <v>530</v>
      </c>
      <c r="C49" s="763">
        <v>3</v>
      </c>
      <c r="D49" s="1016">
        <v>3</v>
      </c>
      <c r="E49" s="1016" t="s">
        <v>811</v>
      </c>
      <c r="F49" s="763"/>
      <c r="G49" s="763"/>
      <c r="H49" s="763">
        <v>11</v>
      </c>
      <c r="I49" s="763">
        <v>11</v>
      </c>
      <c r="J49" s="763">
        <v>11</v>
      </c>
      <c r="K49" s="763">
        <v>11</v>
      </c>
      <c r="L49" s="763">
        <v>11</v>
      </c>
      <c r="M49" s="763" t="s">
        <v>517</v>
      </c>
      <c r="N49" s="763" t="s">
        <v>517</v>
      </c>
      <c r="O49" s="763" t="s">
        <v>481</v>
      </c>
      <c r="P49" s="763" t="s">
        <v>481</v>
      </c>
      <c r="Q49" s="763" t="s">
        <v>481</v>
      </c>
      <c r="R49" s="763" t="s">
        <v>481</v>
      </c>
      <c r="S49" s="768" t="s">
        <v>481</v>
      </c>
      <c r="T49" s="768"/>
      <c r="U49" s="768"/>
      <c r="V49" s="768">
        <v>8</v>
      </c>
      <c r="W49" s="1044">
        <v>8</v>
      </c>
      <c r="X49" s="768">
        <v>8</v>
      </c>
      <c r="Y49" s="768">
        <v>8</v>
      </c>
      <c r="Z49" s="768">
        <v>8</v>
      </c>
      <c r="AA49" s="768" t="s">
        <v>513</v>
      </c>
      <c r="AB49" s="768" t="s">
        <v>513</v>
      </c>
      <c r="AC49" s="768" t="s">
        <v>481</v>
      </c>
      <c r="AD49" s="768" t="s">
        <v>481</v>
      </c>
      <c r="AE49" s="1323" t="s">
        <v>481</v>
      </c>
      <c r="AF49" s="763" t="s">
        <v>481</v>
      </c>
      <c r="AG49" s="781"/>
      <c r="AH49" s="924">
        <v>0</v>
      </c>
      <c r="AI49" s="925">
        <v>0</v>
      </c>
    </row>
    <row r="50" spans="1:35" ht="21.95" customHeight="1">
      <c r="A50" s="541">
        <v>10</v>
      </c>
      <c r="B50" s="319" t="s">
        <v>531</v>
      </c>
      <c r="C50" s="970">
        <v>1</v>
      </c>
      <c r="D50" s="970">
        <v>1</v>
      </c>
      <c r="E50" s="970">
        <v>1</v>
      </c>
      <c r="F50" s="970"/>
      <c r="G50" s="970"/>
      <c r="H50" s="768">
        <v>9</v>
      </c>
      <c r="I50" s="768">
        <v>9</v>
      </c>
      <c r="J50" s="768">
        <v>9</v>
      </c>
      <c r="K50" s="768">
        <v>9</v>
      </c>
      <c r="L50" s="768">
        <v>9</v>
      </c>
      <c r="M50" s="768" t="s">
        <v>519</v>
      </c>
      <c r="N50" s="768" t="s">
        <v>514</v>
      </c>
      <c r="O50" s="768" t="s">
        <v>481</v>
      </c>
      <c r="P50" s="768" t="s">
        <v>481</v>
      </c>
      <c r="Q50" s="768" t="s">
        <v>481</v>
      </c>
      <c r="R50" s="768" t="s">
        <v>481</v>
      </c>
      <c r="S50" s="768" t="s">
        <v>481</v>
      </c>
      <c r="T50" s="768"/>
      <c r="U50" s="768"/>
      <c r="V50" s="768">
        <v>6</v>
      </c>
      <c r="W50" s="768">
        <v>6</v>
      </c>
      <c r="X50" s="768">
        <v>6</v>
      </c>
      <c r="Y50" s="768">
        <v>6</v>
      </c>
      <c r="Z50" s="768">
        <v>6</v>
      </c>
      <c r="AA50" s="768" t="s">
        <v>512</v>
      </c>
      <c r="AB50" s="768" t="s">
        <v>513</v>
      </c>
      <c r="AC50" s="768" t="s">
        <v>481</v>
      </c>
      <c r="AD50" s="768" t="s">
        <v>481</v>
      </c>
      <c r="AE50" s="769" t="s">
        <v>481</v>
      </c>
      <c r="AF50" s="768" t="s">
        <v>481</v>
      </c>
      <c r="AG50" s="769"/>
      <c r="AH50" s="924">
        <v>28.5</v>
      </c>
      <c r="AI50" s="925">
        <v>37</v>
      </c>
    </row>
    <row r="51" spans="1:35" ht="21.95" customHeight="1" thickBot="1">
      <c r="A51" s="543">
        <v>15</v>
      </c>
      <c r="B51" s="52" t="s">
        <v>532</v>
      </c>
      <c r="C51" s="1310">
        <v>5</v>
      </c>
      <c r="D51" s="761">
        <v>5</v>
      </c>
      <c r="E51" s="761">
        <v>5</v>
      </c>
      <c r="F51" s="761"/>
      <c r="G51" s="761"/>
      <c r="H51" s="761">
        <v>10</v>
      </c>
      <c r="I51" s="761">
        <v>10</v>
      </c>
      <c r="J51" s="761">
        <v>10</v>
      </c>
      <c r="K51" s="761">
        <v>10</v>
      </c>
      <c r="L51" s="761">
        <v>10</v>
      </c>
      <c r="M51" s="761" t="s">
        <v>514</v>
      </c>
      <c r="N51" s="761" t="s">
        <v>514</v>
      </c>
      <c r="O51" s="761" t="s">
        <v>481</v>
      </c>
      <c r="P51" s="761" t="s">
        <v>481</v>
      </c>
      <c r="Q51" s="761" t="s">
        <v>481</v>
      </c>
      <c r="R51" s="761" t="s">
        <v>481</v>
      </c>
      <c r="S51" s="761" t="s">
        <v>481</v>
      </c>
      <c r="T51" s="761" t="s">
        <v>515</v>
      </c>
      <c r="U51" s="761" t="s">
        <v>515</v>
      </c>
      <c r="V51" s="967">
        <v>7</v>
      </c>
      <c r="W51" s="967">
        <v>7</v>
      </c>
      <c r="X51" s="1037">
        <v>7</v>
      </c>
      <c r="Y51" s="1037">
        <v>7</v>
      </c>
      <c r="Z51" s="1037">
        <v>7</v>
      </c>
      <c r="AA51" s="1236"/>
      <c r="AB51" s="1236"/>
      <c r="AC51" s="1310">
        <v>4</v>
      </c>
      <c r="AD51" s="1310">
        <v>4</v>
      </c>
      <c r="AE51" s="780">
        <v>4</v>
      </c>
      <c r="AF51" s="761">
        <v>4</v>
      </c>
      <c r="AG51" s="780"/>
      <c r="AH51" s="924">
        <v>0</v>
      </c>
      <c r="AI51" s="925">
        <v>0</v>
      </c>
    </row>
    <row r="52" spans="1:35" ht="21.95" customHeight="1">
      <c r="A52" s="516"/>
      <c r="C52" s="538"/>
      <c r="D52" s="538"/>
      <c r="E52" s="538"/>
      <c r="F52" s="538"/>
      <c r="G52" s="538"/>
      <c r="H52" s="538"/>
      <c r="I52" s="538"/>
      <c r="J52" s="538"/>
      <c r="K52" s="538"/>
      <c r="L52" s="538"/>
      <c r="M52" s="538"/>
      <c r="N52" s="538"/>
      <c r="O52" s="538"/>
      <c r="P52" s="538"/>
      <c r="Q52" s="538"/>
      <c r="R52" s="538"/>
      <c r="S52" s="538"/>
      <c r="T52" s="538"/>
      <c r="U52" s="538"/>
      <c r="V52" s="538"/>
      <c r="W52" s="538"/>
      <c r="X52" s="538"/>
      <c r="Y52" s="538"/>
      <c r="Z52" s="538"/>
      <c r="AA52" s="538"/>
      <c r="AB52" s="538"/>
      <c r="AC52" s="538"/>
      <c r="AD52" s="538"/>
      <c r="AE52" s="538"/>
      <c r="AF52" s="538"/>
      <c r="AG52" s="538"/>
      <c r="AH52" s="1"/>
    </row>
    <row r="53" spans="1:35" ht="21.95" customHeight="1">
      <c r="A53" s="516"/>
      <c r="C53" s="538"/>
      <c r="D53" s="538"/>
      <c r="E53" s="538"/>
      <c r="F53" s="538"/>
      <c r="G53" s="538"/>
      <c r="H53" s="538"/>
      <c r="I53" s="538"/>
      <c r="J53" s="538"/>
      <c r="K53" s="538"/>
      <c r="L53" s="538"/>
      <c r="M53" s="538"/>
      <c r="N53" s="538"/>
      <c r="O53" s="538"/>
      <c r="P53" s="538"/>
      <c r="Q53" s="538"/>
      <c r="R53" s="538"/>
      <c r="S53" s="538"/>
      <c r="T53" s="538"/>
      <c r="U53" s="538"/>
      <c r="V53" s="538"/>
      <c r="W53" s="538"/>
      <c r="X53" s="538"/>
      <c r="Y53" s="538"/>
      <c r="Z53" s="538"/>
      <c r="AA53" s="538"/>
      <c r="AB53" s="538"/>
      <c r="AC53" s="538"/>
      <c r="AD53" s="538"/>
      <c r="AE53" s="538"/>
      <c r="AF53" s="538"/>
      <c r="AG53" s="538"/>
      <c r="AH53" s="1"/>
    </row>
    <row r="54" spans="1:35" ht="21.95" customHeight="1">
      <c r="A54" s="516"/>
      <c r="C54" s="538"/>
      <c r="D54" s="538"/>
      <c r="E54" s="538"/>
      <c r="F54" s="538"/>
      <c r="G54" s="538"/>
      <c r="H54" s="538"/>
      <c r="I54" s="538"/>
      <c r="J54" s="538"/>
      <c r="K54" s="538"/>
      <c r="L54" s="538"/>
      <c r="M54" s="538"/>
      <c r="N54" s="538"/>
      <c r="O54" s="538"/>
      <c r="P54" s="538"/>
      <c r="Q54" s="538"/>
      <c r="R54" s="538"/>
      <c r="S54" s="538"/>
      <c r="T54" s="538"/>
      <c r="U54" s="538"/>
      <c r="V54" s="538"/>
      <c r="W54" s="538"/>
      <c r="X54" s="538"/>
      <c r="Y54" s="538"/>
      <c r="Z54" s="538"/>
      <c r="AA54" s="538"/>
      <c r="AB54" s="538"/>
      <c r="AC54" s="538"/>
      <c r="AD54" s="538"/>
      <c r="AE54" s="538"/>
      <c r="AF54" s="538"/>
      <c r="AG54" s="538"/>
      <c r="AH54" s="1"/>
    </row>
    <row r="55" spans="1:35" ht="21.95" customHeight="1" thickBot="1">
      <c r="A55" s="554"/>
      <c r="C55" s="555"/>
      <c r="D55" s="555"/>
      <c r="E55" s="555"/>
      <c r="F55" s="555"/>
      <c r="G55" s="555"/>
      <c r="H55" s="555"/>
      <c r="I55" s="555"/>
      <c r="J55" s="555"/>
      <c r="K55" s="555"/>
      <c r="L55" s="555"/>
      <c r="M55" s="555"/>
      <c r="N55" s="555"/>
      <c r="O55" s="555"/>
      <c r="P55" s="555"/>
      <c r="Q55" s="555"/>
      <c r="R55" s="555"/>
      <c r="S55" s="555"/>
      <c r="T55" s="555"/>
      <c r="U55" s="555"/>
      <c r="V55" s="555"/>
      <c r="W55" s="555"/>
      <c r="X55" s="555"/>
      <c r="Y55" s="555"/>
      <c r="Z55" s="555"/>
      <c r="AA55" s="555"/>
      <c r="AB55" s="555"/>
      <c r="AC55" s="555"/>
      <c r="AD55" s="555"/>
      <c r="AE55" s="555"/>
      <c r="AF55" s="555"/>
      <c r="AG55" s="555"/>
      <c r="AH55" s="556"/>
      <c r="AI55" s="556"/>
    </row>
    <row r="56" spans="1:35" ht="21.95" customHeight="1">
      <c r="A56" s="361"/>
      <c r="B56" s="23" t="s">
        <v>533</v>
      </c>
      <c r="C56" s="7"/>
      <c r="D56" s="414" t="s">
        <v>2</v>
      </c>
      <c r="E56" s="547"/>
      <c r="F56" s="7"/>
      <c r="G56" s="6" t="s">
        <v>3</v>
      </c>
      <c r="H56" s="548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49"/>
      <c r="R56" s="118"/>
      <c r="S56" s="6" t="s">
        <v>7</v>
      </c>
      <c r="T56" s="550"/>
      <c r="U56" s="118"/>
      <c r="V56" s="6" t="s">
        <v>8</v>
      </c>
      <c r="W56" s="549"/>
      <c r="X56" s="349" t="s">
        <v>9</v>
      </c>
      <c r="Y56" s="557"/>
      <c r="Z56" s="557"/>
      <c r="AA56" s="558"/>
      <c r="AB56" s="27" t="s">
        <v>10</v>
      </c>
      <c r="AC56" s="551"/>
      <c r="AD56" s="551"/>
      <c r="AE56" s="559"/>
      <c r="AF56" s="559"/>
      <c r="AG56" s="560"/>
    </row>
    <row r="57" spans="1:35" ht="21.95" customHeight="1">
      <c r="A57" s="361"/>
      <c r="B57" s="306" t="s">
        <v>534</v>
      </c>
      <c r="C57" s="561" t="s">
        <v>535</v>
      </c>
      <c r="D57" s="483"/>
      <c r="E57" s="484"/>
      <c r="F57" s="561" t="s">
        <v>535</v>
      </c>
      <c r="G57" s="483"/>
      <c r="H57" s="484"/>
      <c r="I57" s="561" t="s">
        <v>535</v>
      </c>
      <c r="J57" s="483"/>
      <c r="K57" s="484"/>
      <c r="L57" s="561" t="s">
        <v>535</v>
      </c>
      <c r="M57" s="483"/>
      <c r="N57" s="484"/>
      <c r="O57" s="561" t="s">
        <v>116</v>
      </c>
      <c r="P57" s="483"/>
      <c r="Q57" s="484"/>
      <c r="R57" s="561"/>
      <c r="S57" s="483"/>
      <c r="T57" s="484"/>
      <c r="U57" s="561"/>
      <c r="V57" s="483"/>
      <c r="W57" s="484"/>
      <c r="X57" s="561"/>
      <c r="Y57" s="483"/>
      <c r="Z57" s="483"/>
      <c r="AA57" s="483"/>
      <c r="AB57" s="476"/>
      <c r="AC57" s="483"/>
      <c r="AD57" s="483"/>
      <c r="AE57" s="483"/>
      <c r="AF57" s="483"/>
      <c r="AG57" s="562"/>
    </row>
    <row r="58" spans="1:35" ht="21.95" customHeight="1">
      <c r="A58" s="361"/>
      <c r="B58" s="306" t="s">
        <v>536</v>
      </c>
      <c r="C58" s="561" t="s">
        <v>147</v>
      </c>
      <c r="D58" s="483"/>
      <c r="E58" s="484"/>
      <c r="F58" s="561" t="s">
        <v>147</v>
      </c>
      <c r="G58" s="483"/>
      <c r="H58" s="484"/>
      <c r="I58" s="561" t="s">
        <v>147</v>
      </c>
      <c r="J58" s="483"/>
      <c r="K58" s="484"/>
      <c r="L58" s="561" t="s">
        <v>147</v>
      </c>
      <c r="M58" s="483"/>
      <c r="N58" s="484"/>
      <c r="O58" s="561" t="s">
        <v>537</v>
      </c>
      <c r="P58" s="483"/>
      <c r="Q58" s="484"/>
      <c r="R58" s="561"/>
      <c r="S58" s="483"/>
      <c r="T58" s="484"/>
      <c r="U58" s="561"/>
      <c r="V58" s="483"/>
      <c r="W58" s="484"/>
      <c r="X58" s="561"/>
      <c r="Y58" s="483"/>
      <c r="Z58" s="483"/>
      <c r="AA58" s="483"/>
      <c r="AB58" s="476"/>
      <c r="AC58" s="483"/>
      <c r="AD58" s="483"/>
      <c r="AE58" s="483"/>
      <c r="AF58" s="483"/>
      <c r="AG58" s="562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 thickBot="1">
      <c r="A60" s="861" t="s">
        <v>475</v>
      </c>
      <c r="B60" s="862" t="s">
        <v>476</v>
      </c>
      <c r="C60" s="863">
        <v>1</v>
      </c>
      <c r="D60" s="880">
        <v>2</v>
      </c>
      <c r="E60" s="880">
        <v>3</v>
      </c>
      <c r="F60" s="880">
        <v>4</v>
      </c>
      <c r="G60" s="880">
        <v>5</v>
      </c>
      <c r="H60" s="880">
        <v>6</v>
      </c>
      <c r="I60" s="863">
        <v>7</v>
      </c>
      <c r="J60" s="863">
        <v>8</v>
      </c>
      <c r="K60" s="863">
        <v>9</v>
      </c>
      <c r="L60" s="863">
        <v>10</v>
      </c>
      <c r="M60" s="880">
        <v>11</v>
      </c>
      <c r="N60" s="880">
        <v>12</v>
      </c>
      <c r="O60" s="863">
        <v>13</v>
      </c>
      <c r="P60" s="863">
        <v>14</v>
      </c>
      <c r="Q60" s="863">
        <v>15</v>
      </c>
      <c r="R60" s="863">
        <v>16</v>
      </c>
      <c r="S60" s="863">
        <v>17</v>
      </c>
      <c r="T60" s="880">
        <v>18</v>
      </c>
      <c r="U60" s="880">
        <v>19</v>
      </c>
      <c r="V60" s="863">
        <v>20</v>
      </c>
      <c r="W60" s="863">
        <v>21</v>
      </c>
      <c r="X60" s="863">
        <v>22</v>
      </c>
      <c r="Y60" s="863">
        <v>23</v>
      </c>
      <c r="Z60" s="863">
        <v>24</v>
      </c>
      <c r="AA60" s="880">
        <v>25</v>
      </c>
      <c r="AB60" s="880">
        <v>26</v>
      </c>
      <c r="AC60" s="863">
        <v>27</v>
      </c>
      <c r="AD60" s="863">
        <v>28</v>
      </c>
      <c r="AE60" s="863">
        <v>29</v>
      </c>
      <c r="AF60" s="863">
        <v>30</v>
      </c>
      <c r="AG60" s="943"/>
      <c r="AH60" s="864" t="s">
        <v>477</v>
      </c>
      <c r="AI60" s="865" t="s">
        <v>478</v>
      </c>
    </row>
    <row r="61" spans="1:35" ht="21.95" customHeight="1">
      <c r="A61" s="860">
        <v>8520</v>
      </c>
      <c r="B61" s="860" t="s">
        <v>538</v>
      </c>
      <c r="C61" s="972" t="s">
        <v>539</v>
      </c>
      <c r="D61" s="764"/>
      <c r="E61" s="764"/>
      <c r="F61" s="764"/>
      <c r="G61" s="764"/>
      <c r="H61" s="764"/>
      <c r="I61" s="764" t="s">
        <v>539</v>
      </c>
      <c r="J61" s="764" t="s">
        <v>539</v>
      </c>
      <c r="K61" s="764" t="s">
        <v>539</v>
      </c>
      <c r="L61" s="764" t="s">
        <v>539</v>
      </c>
      <c r="M61" s="764"/>
      <c r="N61" s="764"/>
      <c r="O61" s="764" t="s">
        <v>539</v>
      </c>
      <c r="P61" s="764" t="s">
        <v>539</v>
      </c>
      <c r="Q61" s="764" t="s">
        <v>539</v>
      </c>
      <c r="R61" s="764" t="s">
        <v>539</v>
      </c>
      <c r="S61" s="764" t="s">
        <v>539</v>
      </c>
      <c r="T61" s="764"/>
      <c r="U61" s="764"/>
      <c r="V61" s="764" t="s">
        <v>539</v>
      </c>
      <c r="W61" s="764" t="s">
        <v>539</v>
      </c>
      <c r="X61" s="764" t="s">
        <v>539</v>
      </c>
      <c r="Y61" s="764" t="s">
        <v>539</v>
      </c>
      <c r="Z61" s="764" t="s">
        <v>539</v>
      </c>
      <c r="AA61" s="764"/>
      <c r="AB61" s="764"/>
      <c r="AC61" s="764" t="s">
        <v>539</v>
      </c>
      <c r="AD61" s="764" t="s">
        <v>539</v>
      </c>
      <c r="AE61" s="764" t="s">
        <v>539</v>
      </c>
      <c r="AF61" s="764" t="s">
        <v>539</v>
      </c>
      <c r="AG61" s="764"/>
      <c r="AH61" s="510">
        <v>8.5</v>
      </c>
      <c r="AI61" s="511">
        <v>37</v>
      </c>
    </row>
    <row r="62" spans="1:35" ht="21.95" customHeight="1" thickBot="1">
      <c r="A62" s="866">
        <v>8521</v>
      </c>
      <c r="B62" s="866"/>
      <c r="C62" s="867" t="s">
        <v>540</v>
      </c>
      <c r="D62" s="867"/>
      <c r="E62" s="867"/>
      <c r="F62" s="867"/>
      <c r="G62" s="867"/>
      <c r="H62" s="867"/>
      <c r="I62" s="867" t="s">
        <v>540</v>
      </c>
      <c r="J62" s="867" t="s">
        <v>540</v>
      </c>
      <c r="K62" s="867" t="s">
        <v>540</v>
      </c>
      <c r="L62" s="867" t="s">
        <v>540</v>
      </c>
      <c r="M62" s="867"/>
      <c r="N62" s="867"/>
      <c r="O62" s="867" t="s">
        <v>540</v>
      </c>
      <c r="P62" s="867" t="s">
        <v>540</v>
      </c>
      <c r="Q62" s="867" t="s">
        <v>540</v>
      </c>
      <c r="R62" s="867" t="s">
        <v>540</v>
      </c>
      <c r="S62" s="867" t="s">
        <v>540</v>
      </c>
      <c r="T62" s="867"/>
      <c r="U62" s="867"/>
      <c r="V62" s="867" t="s">
        <v>540</v>
      </c>
      <c r="W62" s="867" t="s">
        <v>540</v>
      </c>
      <c r="X62" s="867" t="s">
        <v>540</v>
      </c>
      <c r="Y62" s="867" t="s">
        <v>540</v>
      </c>
      <c r="Z62" s="867" t="s">
        <v>540</v>
      </c>
      <c r="AA62" s="867"/>
      <c r="AB62" s="867"/>
      <c r="AC62" s="867" t="s">
        <v>540</v>
      </c>
      <c r="AD62" s="867" t="s">
        <v>540</v>
      </c>
      <c r="AE62" s="867" t="s">
        <v>540</v>
      </c>
      <c r="AF62" s="867" t="s">
        <v>540</v>
      </c>
      <c r="AG62" s="867"/>
      <c r="AH62" s="868">
        <v>185</v>
      </c>
      <c r="AI62" s="869">
        <v>37</v>
      </c>
    </row>
    <row r="63" spans="1:35" ht="21.95" customHeight="1">
      <c r="A63" s="361"/>
      <c r="B63" s="361"/>
      <c r="C63" s="538"/>
      <c r="D63" s="517"/>
      <c r="E63" s="517"/>
      <c r="F63" s="517"/>
      <c r="G63" s="517"/>
      <c r="H63" s="517"/>
      <c r="I63" s="517"/>
      <c r="J63" s="517"/>
      <c r="K63" s="517"/>
      <c r="L63" s="517"/>
      <c r="M63" s="517"/>
      <c r="N63" s="517"/>
      <c r="O63" s="517"/>
      <c r="P63" s="517"/>
      <c r="Q63" s="517"/>
      <c r="R63" s="517"/>
      <c r="S63" s="517"/>
      <c r="T63" s="517"/>
      <c r="U63" s="517"/>
      <c r="V63" s="517"/>
      <c r="W63" s="517"/>
      <c r="X63" s="517"/>
      <c r="Y63" s="517"/>
      <c r="Z63" s="517"/>
      <c r="AA63" s="517"/>
      <c r="AB63" s="517"/>
      <c r="AC63" s="517"/>
      <c r="AD63" s="517"/>
      <c r="AE63" s="517"/>
      <c r="AF63" s="517"/>
      <c r="AG63" s="517"/>
      <c r="AH63" s="556"/>
      <c r="AI63" s="556"/>
    </row>
    <row r="64" spans="1:35" ht="21.95" customHeight="1">
      <c r="A64" s="361"/>
      <c r="B64" s="361"/>
      <c r="C64" s="538"/>
      <c r="D64" s="517"/>
      <c r="E64" s="517"/>
      <c r="F64" s="517"/>
      <c r="G64" s="517"/>
      <c r="H64" s="517"/>
      <c r="I64" s="517"/>
      <c r="J64" s="517"/>
      <c r="K64" s="517"/>
      <c r="L64" s="517"/>
      <c r="M64" s="517"/>
      <c r="N64" s="517"/>
      <c r="O64" s="517"/>
      <c r="P64" s="517"/>
      <c r="Q64" s="517"/>
      <c r="R64" s="517"/>
      <c r="S64" s="517"/>
      <c r="T64" s="517"/>
      <c r="U64" s="517"/>
      <c r="V64" s="517"/>
      <c r="W64" s="517"/>
      <c r="X64" s="517"/>
      <c r="Y64" s="517"/>
      <c r="Z64" s="517"/>
      <c r="AA64" s="517"/>
      <c r="AB64" s="517"/>
      <c r="AC64" s="517"/>
      <c r="AD64" s="517"/>
      <c r="AE64" s="517"/>
      <c r="AF64" s="517"/>
      <c r="AG64" s="517"/>
      <c r="AH64" s="556"/>
      <c r="AI64" s="556"/>
    </row>
    <row r="65" spans="1:39" ht="21.95" customHeight="1">
      <c r="A65" s="361"/>
      <c r="B65" s="361"/>
      <c r="C65" s="538"/>
      <c r="D65" s="517"/>
      <c r="E65" s="517"/>
      <c r="F65" s="517"/>
      <c r="G65" s="517"/>
      <c r="H65" s="517"/>
      <c r="I65" s="517"/>
      <c r="J65" s="517"/>
      <c r="K65" s="517"/>
      <c r="L65" s="517"/>
      <c r="M65" s="517"/>
      <c r="N65" s="517"/>
      <c r="O65" s="517"/>
      <c r="P65" s="517"/>
      <c r="Q65" s="517"/>
      <c r="R65" s="517"/>
      <c r="S65" s="517"/>
      <c r="T65" s="517"/>
      <c r="U65" s="517"/>
      <c r="V65" s="517"/>
      <c r="W65" s="517"/>
      <c r="X65" s="517"/>
      <c r="Y65" s="517"/>
      <c r="Z65" s="517"/>
      <c r="AA65" s="517"/>
      <c r="AB65" s="517"/>
      <c r="AC65" s="517"/>
      <c r="AD65" s="517"/>
      <c r="AE65" s="517"/>
      <c r="AF65" s="517"/>
      <c r="AG65" s="517"/>
      <c r="AH65" s="556"/>
      <c r="AI65" s="556"/>
    </row>
    <row r="66" spans="1:39" ht="21.95" customHeight="1" thickBot="1">
      <c r="A66" s="1" t="s">
        <v>541</v>
      </c>
      <c r="D66" s="361"/>
      <c r="E66" s="361"/>
      <c r="F66" s="361"/>
      <c r="G66" s="546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39" ht="21.95" customHeight="1">
      <c r="A67" s="1"/>
      <c r="B67" s="23" t="s">
        <v>542</v>
      </c>
      <c r="C67" s="7"/>
      <c r="D67" s="522" t="s">
        <v>2</v>
      </c>
      <c r="E67" s="51"/>
      <c r="F67" s="548"/>
      <c r="G67" s="7"/>
      <c r="H67" s="522" t="s">
        <v>3</v>
      </c>
      <c r="I67" s="51"/>
      <c r="J67" s="548"/>
      <c r="K67" s="7"/>
      <c r="L67" s="522" t="s">
        <v>4</v>
      </c>
      <c r="M67" s="51"/>
      <c r="N67" s="548"/>
      <c r="O67" s="7"/>
      <c r="P67" s="522" t="s">
        <v>5</v>
      </c>
      <c r="Q67" s="51"/>
      <c r="R67" s="548"/>
      <c r="S67" s="7"/>
      <c r="T67" s="522" t="s">
        <v>6</v>
      </c>
      <c r="U67" s="51"/>
      <c r="V67" s="548"/>
      <c r="W67" s="27"/>
      <c r="X67" s="713" t="s">
        <v>7</v>
      </c>
      <c r="Y67" s="519"/>
      <c r="Z67" s="238"/>
      <c r="AA67" s="7"/>
      <c r="AB67" s="522" t="s">
        <v>8</v>
      </c>
      <c r="AC67" s="51"/>
      <c r="AD67" s="51"/>
      <c r="AE67" s="349" t="s">
        <v>9</v>
      </c>
      <c r="AF67" s="51"/>
      <c r="AG67" s="51"/>
      <c r="AH67" s="51"/>
      <c r="AI67" s="523"/>
    </row>
    <row r="68" spans="1:39" ht="21.95" customHeight="1">
      <c r="A68" s="1"/>
      <c r="B68" s="129" t="s">
        <v>324</v>
      </c>
      <c r="C68" s="563" t="s">
        <v>795</v>
      </c>
      <c r="E68" s="157"/>
      <c r="F68" s="564"/>
      <c r="G68" s="563" t="s">
        <v>795</v>
      </c>
      <c r="H68" s="157"/>
      <c r="I68" s="157"/>
      <c r="J68" s="564"/>
      <c r="K68" s="563" t="s">
        <v>795</v>
      </c>
      <c r="L68" s="157"/>
      <c r="M68" s="157"/>
      <c r="N68" s="564"/>
      <c r="O68" s="563" t="s">
        <v>796</v>
      </c>
      <c r="P68" s="157"/>
      <c r="Q68" s="157"/>
      <c r="R68" s="564"/>
      <c r="S68" s="563" t="s">
        <v>797</v>
      </c>
      <c r="T68" s="157"/>
      <c r="U68" s="157"/>
      <c r="V68" s="565"/>
      <c r="W68" s="714"/>
      <c r="X68" s="715"/>
      <c r="Y68" s="715"/>
      <c r="Z68" s="716"/>
      <c r="AA68" s="565"/>
      <c r="AB68" s="157"/>
      <c r="AC68" s="157"/>
      <c r="AD68" s="565"/>
      <c r="AE68" s="121">
        <v>37</v>
      </c>
      <c r="AG68" s="157"/>
      <c r="AH68" s="565"/>
      <c r="AI68" s="490"/>
      <c r="AM68" s="871" t="s">
        <v>28</v>
      </c>
    </row>
    <row r="69" spans="1:39" ht="21.95" customHeight="1">
      <c r="A69" s="1"/>
      <c r="B69" s="129" t="s">
        <v>325</v>
      </c>
      <c r="C69" s="563" t="s">
        <v>546</v>
      </c>
      <c r="D69" s="157"/>
      <c r="E69" s="157"/>
      <c r="F69" s="564"/>
      <c r="G69" s="563" t="s">
        <v>546</v>
      </c>
      <c r="H69" s="157"/>
      <c r="I69" s="157"/>
      <c r="J69" s="564"/>
      <c r="K69" s="563" t="s">
        <v>546</v>
      </c>
      <c r="L69" s="157"/>
      <c r="M69" s="157"/>
      <c r="N69" s="564"/>
      <c r="O69" s="563" t="s">
        <v>547</v>
      </c>
      <c r="P69" s="157"/>
      <c r="Q69" s="157"/>
      <c r="R69" s="564"/>
      <c r="S69" s="563" t="s">
        <v>548</v>
      </c>
      <c r="T69" s="157"/>
      <c r="U69" s="157"/>
      <c r="V69" s="564"/>
      <c r="W69" s="604" t="s">
        <v>798</v>
      </c>
      <c r="X69" s="55"/>
      <c r="Y69" s="55"/>
      <c r="Z69" s="55"/>
      <c r="AA69" s="563" t="s">
        <v>550</v>
      </c>
      <c r="AB69" s="563"/>
      <c r="AC69" s="563"/>
      <c r="AD69" s="563"/>
      <c r="AE69" s="155">
        <v>68.25</v>
      </c>
      <c r="AF69" s="157"/>
      <c r="AG69" s="567"/>
      <c r="AH69" s="568"/>
      <c r="AI69" s="569"/>
    </row>
    <row r="70" spans="1:39" ht="21.95" customHeight="1">
      <c r="A70" s="1"/>
      <c r="B70" s="129" t="s">
        <v>326</v>
      </c>
      <c r="C70" s="712" t="s">
        <v>167</v>
      </c>
      <c r="D70" s="157"/>
      <c r="E70" s="157"/>
      <c r="F70" s="564"/>
      <c r="G70" s="157" t="s">
        <v>167</v>
      </c>
      <c r="H70" s="157"/>
      <c r="I70" s="157"/>
      <c r="J70" s="564"/>
      <c r="K70" s="157" t="s">
        <v>167</v>
      </c>
      <c r="L70" s="157"/>
      <c r="M70" s="157"/>
      <c r="N70" s="564"/>
      <c r="O70" s="157" t="s">
        <v>167</v>
      </c>
      <c r="P70" s="157"/>
      <c r="Q70" s="157"/>
      <c r="R70" s="564"/>
      <c r="S70" s="157" t="s">
        <v>167</v>
      </c>
      <c r="T70" s="157"/>
      <c r="U70" s="157"/>
      <c r="V70" s="564"/>
      <c r="W70" s="563"/>
      <c r="X70" s="157"/>
      <c r="Y70" s="157"/>
      <c r="Z70" s="564"/>
      <c r="AA70" s="563"/>
      <c r="AB70" s="157"/>
      <c r="AC70" s="157"/>
      <c r="AD70" s="565"/>
      <c r="AE70" s="566">
        <v>0</v>
      </c>
      <c r="AF70" s="567"/>
      <c r="AG70" s="157"/>
      <c r="AH70" s="565"/>
      <c r="AI70" s="490"/>
    </row>
    <row r="71" spans="1:39" ht="21.95" customHeight="1" thickBot="1">
      <c r="A71" s="1"/>
      <c r="B71" s="47"/>
      <c r="C71" s="570"/>
      <c r="D71" s="53"/>
      <c r="E71" s="53"/>
      <c r="F71" s="571"/>
      <c r="G71" s="570"/>
      <c r="H71" s="53"/>
      <c r="I71" s="53"/>
      <c r="J71" s="571"/>
      <c r="K71" s="570"/>
      <c r="L71" s="53"/>
      <c r="M71" s="53"/>
      <c r="N71" s="571"/>
      <c r="O71" s="570"/>
      <c r="P71" s="53"/>
      <c r="Q71" s="53"/>
      <c r="R71" s="571"/>
      <c r="S71" s="570"/>
      <c r="T71" s="53"/>
      <c r="U71" s="53"/>
      <c r="V71" s="571"/>
      <c r="W71" s="53"/>
      <c r="X71" s="53"/>
      <c r="Y71" s="53"/>
      <c r="Z71" s="53"/>
      <c r="AA71" s="53"/>
      <c r="AB71" s="53"/>
      <c r="AC71" s="53"/>
      <c r="AD71" s="53"/>
      <c r="AE71" s="572"/>
      <c r="AF71" s="53"/>
      <c r="AG71" s="53"/>
      <c r="AH71" s="573"/>
      <c r="AI71" s="536"/>
    </row>
    <row r="72" spans="1:39" ht="21.95" customHeight="1" thickBot="1">
      <c r="A72" s="574"/>
      <c r="B72" s="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  <c r="AL72" s="762"/>
    </row>
    <row r="73" spans="1:39" ht="21.95" customHeight="1" thickBot="1">
      <c r="A73" s="861"/>
      <c r="B73" s="862" t="s">
        <v>476</v>
      </c>
      <c r="C73" s="863">
        <v>1</v>
      </c>
      <c r="D73" s="880">
        <v>2</v>
      </c>
      <c r="E73" s="880">
        <v>3</v>
      </c>
      <c r="F73" s="880">
        <v>4</v>
      </c>
      <c r="G73" s="880">
        <v>5</v>
      </c>
      <c r="H73" s="880">
        <v>6</v>
      </c>
      <c r="I73" s="863">
        <v>7</v>
      </c>
      <c r="J73" s="863">
        <v>8</v>
      </c>
      <c r="K73" s="863">
        <v>9</v>
      </c>
      <c r="L73" s="863">
        <v>10</v>
      </c>
      <c r="M73" s="880">
        <v>11</v>
      </c>
      <c r="N73" s="880">
        <v>12</v>
      </c>
      <c r="O73" s="863">
        <v>13</v>
      </c>
      <c r="P73" s="863">
        <v>14</v>
      </c>
      <c r="Q73" s="863">
        <v>15</v>
      </c>
      <c r="R73" s="863">
        <v>16</v>
      </c>
      <c r="S73" s="863">
        <v>17</v>
      </c>
      <c r="T73" s="880">
        <v>18</v>
      </c>
      <c r="U73" s="880">
        <v>19</v>
      </c>
      <c r="V73" s="863">
        <v>20</v>
      </c>
      <c r="W73" s="863">
        <v>21</v>
      </c>
      <c r="X73" s="863">
        <v>22</v>
      </c>
      <c r="Y73" s="863">
        <v>23</v>
      </c>
      <c r="Z73" s="863">
        <v>24</v>
      </c>
      <c r="AA73" s="880">
        <v>25</v>
      </c>
      <c r="AB73" s="880">
        <v>26</v>
      </c>
      <c r="AC73" s="863">
        <v>27</v>
      </c>
      <c r="AD73" s="863">
        <v>28</v>
      </c>
      <c r="AE73" s="863">
        <v>29</v>
      </c>
      <c r="AF73" s="863">
        <v>30</v>
      </c>
      <c r="AG73" s="943"/>
      <c r="AH73" s="864" t="s">
        <v>477</v>
      </c>
      <c r="AI73" s="865" t="s">
        <v>478</v>
      </c>
    </row>
    <row r="74" spans="1:39" ht="21.95" customHeight="1" thickBot="1">
      <c r="A74" s="870">
        <v>1</v>
      </c>
      <c r="B74" s="836" t="s">
        <v>551</v>
      </c>
      <c r="C74" s="871" t="s">
        <v>596</v>
      </c>
      <c r="D74" s="871" t="s">
        <v>481</v>
      </c>
      <c r="E74" s="1263" t="s">
        <v>481</v>
      </c>
      <c r="F74" s="871"/>
      <c r="G74" s="871"/>
      <c r="H74" s="871" t="s">
        <v>552</v>
      </c>
      <c r="I74" s="871" t="s">
        <v>552</v>
      </c>
      <c r="J74" s="762" t="s">
        <v>553</v>
      </c>
      <c r="K74" s="762" t="s">
        <v>554</v>
      </c>
      <c r="L74" s="871" t="s">
        <v>552</v>
      </c>
      <c r="M74" s="871"/>
      <c r="N74" s="871"/>
      <c r="O74" s="871" t="s">
        <v>553</v>
      </c>
      <c r="P74" s="871" t="s">
        <v>553</v>
      </c>
      <c r="Q74" s="871" t="s">
        <v>553</v>
      </c>
      <c r="R74" s="871" t="s">
        <v>554</v>
      </c>
      <c r="S74" s="871" t="s">
        <v>554</v>
      </c>
      <c r="T74" s="871" t="s">
        <v>555</v>
      </c>
      <c r="U74" s="871" t="s">
        <v>555</v>
      </c>
      <c r="V74" s="871" t="s">
        <v>481</v>
      </c>
      <c r="W74" s="871" t="s">
        <v>481</v>
      </c>
      <c r="X74" s="871" t="s">
        <v>481</v>
      </c>
      <c r="Y74" s="871" t="s">
        <v>481</v>
      </c>
      <c r="Z74" s="871" t="s">
        <v>481</v>
      </c>
      <c r="AA74" s="875"/>
      <c r="AB74" s="871"/>
      <c r="AC74" s="762" t="s">
        <v>552</v>
      </c>
      <c r="AD74" s="762" t="s">
        <v>552</v>
      </c>
      <c r="AE74" s="762" t="s">
        <v>552</v>
      </c>
      <c r="AF74" s="762" t="s">
        <v>552</v>
      </c>
      <c r="AG74" s="872"/>
      <c r="AH74" s="510">
        <v>9.5</v>
      </c>
      <c r="AI74" s="511">
        <v>37</v>
      </c>
    </row>
    <row r="75" spans="1:39" ht="21.95" customHeight="1">
      <c r="A75" s="575">
        <v>2</v>
      </c>
      <c r="B75" s="542" t="s">
        <v>556</v>
      </c>
      <c r="C75" s="1015" t="s">
        <v>552</v>
      </c>
      <c r="D75" s="1015" t="s">
        <v>552</v>
      </c>
      <c r="E75" s="1015" t="s">
        <v>552</v>
      </c>
      <c r="F75" s="1015" t="s">
        <v>765</v>
      </c>
      <c r="G75" s="762"/>
      <c r="H75" s="762" t="s">
        <v>555</v>
      </c>
      <c r="I75" s="762" t="s">
        <v>553</v>
      </c>
      <c r="J75" s="762" t="s">
        <v>553</v>
      </c>
      <c r="K75" s="762" t="s">
        <v>554</v>
      </c>
      <c r="L75" s="762" t="s">
        <v>554</v>
      </c>
      <c r="M75" s="966" t="s">
        <v>555</v>
      </c>
      <c r="N75" s="966" t="s">
        <v>555</v>
      </c>
      <c r="O75" s="762" t="s">
        <v>481</v>
      </c>
      <c r="P75" s="762" t="s">
        <v>481</v>
      </c>
      <c r="Q75" s="762" t="s">
        <v>481</v>
      </c>
      <c r="R75" s="762" t="s">
        <v>481</v>
      </c>
      <c r="S75" s="762" t="s">
        <v>481</v>
      </c>
      <c r="T75" s="762"/>
      <c r="U75" s="762"/>
      <c r="V75" s="762" t="s">
        <v>552</v>
      </c>
      <c r="W75" s="762" t="s">
        <v>552</v>
      </c>
      <c r="X75" s="762" t="s">
        <v>552</v>
      </c>
      <c r="Y75" s="762" t="s">
        <v>552</v>
      </c>
      <c r="Z75" s="762" t="s">
        <v>552</v>
      </c>
      <c r="AA75" s="762"/>
      <c r="AB75" s="762"/>
      <c r="AC75" s="1015" t="s">
        <v>553</v>
      </c>
      <c r="AD75" s="1015" t="s">
        <v>553</v>
      </c>
      <c r="AE75" s="1015" t="s">
        <v>553</v>
      </c>
      <c r="AF75" s="1015" t="s">
        <v>554</v>
      </c>
      <c r="AG75" s="553"/>
      <c r="AH75" s="924">
        <v>0</v>
      </c>
      <c r="AI75" s="925">
        <v>37</v>
      </c>
    </row>
    <row r="76" spans="1:39" ht="21.95" customHeight="1" thickBot="1">
      <c r="A76" s="873">
        <v>3</v>
      </c>
      <c r="B76" s="874" t="s">
        <v>558</v>
      </c>
      <c r="C76" s="875" t="s">
        <v>553</v>
      </c>
      <c r="D76" s="875" t="s">
        <v>555</v>
      </c>
      <c r="E76" s="875" t="s">
        <v>555</v>
      </c>
      <c r="F76" s="875" t="s">
        <v>555</v>
      </c>
      <c r="G76" s="875" t="s">
        <v>555</v>
      </c>
      <c r="H76" s="875" t="s">
        <v>481</v>
      </c>
      <c r="I76" s="875" t="s">
        <v>481</v>
      </c>
      <c r="J76" s="875" t="s">
        <v>481</v>
      </c>
      <c r="K76" s="875" t="s">
        <v>481</v>
      </c>
      <c r="L76" s="875" t="s">
        <v>481</v>
      </c>
      <c r="M76" s="875"/>
      <c r="N76" s="875"/>
      <c r="O76" s="875" t="s">
        <v>552</v>
      </c>
      <c r="P76" s="875" t="s">
        <v>552</v>
      </c>
      <c r="Q76" s="875" t="s">
        <v>552</v>
      </c>
      <c r="R76" s="875" t="s">
        <v>552</v>
      </c>
      <c r="S76" s="875" t="s">
        <v>552</v>
      </c>
      <c r="T76" s="875"/>
      <c r="U76" s="875"/>
      <c r="V76" s="990" t="s">
        <v>553</v>
      </c>
      <c r="W76" s="1324" t="s">
        <v>553</v>
      </c>
      <c r="X76" s="875" t="s">
        <v>553</v>
      </c>
      <c r="Y76" s="875" t="s">
        <v>554</v>
      </c>
      <c r="Z76" s="875" t="s">
        <v>554</v>
      </c>
      <c r="AA76" s="875" t="s">
        <v>555</v>
      </c>
      <c r="AB76" s="875" t="s">
        <v>555</v>
      </c>
      <c r="AC76" s="875" t="s">
        <v>481</v>
      </c>
      <c r="AD76" s="875" t="s">
        <v>481</v>
      </c>
      <c r="AE76" s="875" t="s">
        <v>481</v>
      </c>
      <c r="AF76" s="1178" t="s">
        <v>481</v>
      </c>
      <c r="AG76" s="876"/>
      <c r="AH76" s="868">
        <v>11</v>
      </c>
      <c r="AI76" s="869">
        <v>28</v>
      </c>
    </row>
    <row r="77" spans="1:39" ht="21.95" customHeight="1"/>
    <row r="78" spans="1:39" ht="21.95" customHeight="1" thickBot="1">
      <c r="A78" s="312" t="s">
        <v>559</v>
      </c>
      <c r="C78" s="555"/>
      <c r="D78" s="555"/>
      <c r="E78" s="555"/>
      <c r="F78" s="555"/>
      <c r="G78" s="555"/>
      <c r="H78" s="555"/>
      <c r="I78" s="555"/>
      <c r="J78" s="555"/>
      <c r="K78" s="555"/>
      <c r="L78" s="555"/>
      <c r="M78" s="555"/>
      <c r="N78" s="555"/>
      <c r="O78" s="555"/>
      <c r="P78" s="555"/>
      <c r="Q78" s="555"/>
      <c r="R78" s="555"/>
      <c r="S78" s="555"/>
      <c r="T78" s="555"/>
      <c r="U78" s="555"/>
      <c r="V78" s="555"/>
      <c r="W78" s="555"/>
      <c r="X78" s="555"/>
      <c r="Y78" s="555"/>
      <c r="Z78" s="555"/>
      <c r="AA78" s="555"/>
      <c r="AB78" s="555"/>
      <c r="AC78" s="555"/>
      <c r="AD78" s="555"/>
      <c r="AE78" s="555"/>
      <c r="AF78" s="555"/>
      <c r="AH78" s="556"/>
      <c r="AI78" s="556"/>
    </row>
    <row r="79" spans="1:39" ht="21.95" customHeight="1">
      <c r="A79" s="576"/>
      <c r="B79" s="23" t="s">
        <v>542</v>
      </c>
      <c r="C79" s="7"/>
      <c r="D79" s="522" t="s">
        <v>2</v>
      </c>
      <c r="E79" s="51"/>
      <c r="F79" s="548"/>
      <c r="G79" s="7"/>
      <c r="H79" s="522" t="s">
        <v>3</v>
      </c>
      <c r="I79" s="51"/>
      <c r="J79" s="548"/>
      <c r="K79" s="7"/>
      <c r="L79" s="522" t="s">
        <v>4</v>
      </c>
      <c r="M79" s="51"/>
      <c r="N79" s="548"/>
      <c r="O79" s="7"/>
      <c r="P79" s="522" t="s">
        <v>5</v>
      </c>
      <c r="Q79" s="51"/>
      <c r="R79" s="548"/>
      <c r="S79" s="7"/>
      <c r="T79" s="522" t="s">
        <v>6</v>
      </c>
      <c r="U79" s="51"/>
      <c r="V79" s="548"/>
      <c r="W79" s="27"/>
      <c r="X79" s="713" t="s">
        <v>7</v>
      </c>
      <c r="Y79" s="519"/>
      <c r="Z79" s="238"/>
      <c r="AA79" s="7"/>
      <c r="AB79" s="522" t="s">
        <v>8</v>
      </c>
      <c r="AC79" s="51"/>
      <c r="AD79" s="51"/>
      <c r="AE79" s="349" t="s">
        <v>9</v>
      </c>
      <c r="AF79" s="51"/>
      <c r="AG79" s="51"/>
      <c r="AH79" s="51"/>
      <c r="AI79" s="523"/>
    </row>
    <row r="80" spans="1:39" ht="21.95" customHeight="1">
      <c r="B80" s="129" t="s">
        <v>324</v>
      </c>
      <c r="C80" s="589" t="s">
        <v>560</v>
      </c>
      <c r="E80" s="157"/>
      <c r="F80" s="564"/>
      <c r="G80" s="563" t="s">
        <v>561</v>
      </c>
      <c r="H80" s="483" t="s">
        <v>562</v>
      </c>
      <c r="I80" s="157"/>
      <c r="J80" s="564"/>
      <c r="K80" s="589" t="s">
        <v>560</v>
      </c>
      <c r="L80" s="483"/>
      <c r="M80" s="483"/>
      <c r="N80" s="588"/>
      <c r="O80" s="589" t="s">
        <v>563</v>
      </c>
      <c r="P80" s="483"/>
      <c r="Q80" s="483"/>
      <c r="R80" s="588"/>
      <c r="S80" s="589" t="s">
        <v>738</v>
      </c>
      <c r="T80" s="483"/>
      <c r="U80" s="483"/>
      <c r="V80" s="477"/>
      <c r="W80" s="714"/>
      <c r="X80" s="715"/>
      <c r="Y80" s="715"/>
      <c r="Z80" s="716"/>
      <c r="AA80" s="565"/>
      <c r="AB80" s="157"/>
      <c r="AC80" s="157"/>
      <c r="AD80" s="565"/>
      <c r="AE80" s="121">
        <v>37</v>
      </c>
      <c r="AG80" s="157"/>
      <c r="AH80" s="565"/>
      <c r="AI80" s="490"/>
    </row>
    <row r="81" spans="1:35" ht="21.95" customHeight="1">
      <c r="B81" s="129" t="s">
        <v>325</v>
      </c>
      <c r="C81" s="589" t="s">
        <v>565</v>
      </c>
      <c r="E81" s="157"/>
      <c r="F81" s="564"/>
      <c r="G81" s="589" t="s">
        <v>565</v>
      </c>
      <c r="I81" s="157"/>
      <c r="J81" s="564"/>
      <c r="K81" s="589" t="s">
        <v>565</v>
      </c>
      <c r="L81" s="157"/>
      <c r="M81" s="157"/>
      <c r="N81" s="564"/>
      <c r="O81" s="589" t="s">
        <v>566</v>
      </c>
      <c r="P81" s="157"/>
      <c r="Q81" s="157"/>
      <c r="R81" s="564"/>
      <c r="S81" s="563" t="s">
        <v>567</v>
      </c>
      <c r="T81" s="157"/>
      <c r="U81" s="157"/>
      <c r="V81" s="564"/>
      <c r="W81" s="604" t="s">
        <v>291</v>
      </c>
      <c r="X81" s="55"/>
      <c r="Y81" s="55"/>
      <c r="Z81" s="55"/>
      <c r="AA81" s="563" t="s">
        <v>28</v>
      </c>
      <c r="AB81" s="563"/>
      <c r="AC81" s="563"/>
      <c r="AD81" s="563"/>
      <c r="AE81" s="155">
        <v>37</v>
      </c>
      <c r="AF81" s="157"/>
      <c r="AG81" s="567"/>
      <c r="AH81" s="568"/>
      <c r="AI81" s="569"/>
    </row>
    <row r="82" spans="1:35" ht="21.95" customHeight="1">
      <c r="B82" s="129" t="s">
        <v>326</v>
      </c>
      <c r="C82" s="834" t="s">
        <v>568</v>
      </c>
      <c r="D82" s="157"/>
      <c r="E82" s="157"/>
      <c r="F82" s="564"/>
      <c r="G82" s="157" t="s">
        <v>569</v>
      </c>
      <c r="H82" s="157"/>
      <c r="I82" s="157"/>
      <c r="J82" s="564"/>
      <c r="K82" s="835" t="s">
        <v>570</v>
      </c>
      <c r="L82" s="157"/>
      <c r="M82" s="157"/>
      <c r="N82" s="564"/>
      <c r="O82" s="835" t="s">
        <v>571</v>
      </c>
      <c r="P82" s="157"/>
      <c r="Q82" s="157"/>
      <c r="R82" s="564"/>
      <c r="S82" s="835" t="s">
        <v>571</v>
      </c>
      <c r="T82" s="157"/>
      <c r="U82" s="157"/>
      <c r="V82" s="564"/>
      <c r="W82" s="563"/>
      <c r="X82" s="157"/>
      <c r="Y82" s="157"/>
      <c r="Z82" s="564"/>
      <c r="AA82" s="563"/>
      <c r="AB82" s="157"/>
      <c r="AC82" s="157"/>
      <c r="AD82" s="565"/>
      <c r="AE82" s="566">
        <v>36</v>
      </c>
      <c r="AF82" s="567"/>
      <c r="AG82" s="157"/>
      <c r="AH82" s="565"/>
      <c r="AI82" s="490"/>
    </row>
    <row r="83" spans="1:35" ht="21.95" customHeight="1" thickBot="1">
      <c r="B83" s="47"/>
      <c r="C83" s="570"/>
      <c r="D83" s="53"/>
      <c r="E83" s="53"/>
      <c r="F83" s="571"/>
      <c r="G83" s="570"/>
      <c r="H83" s="53"/>
      <c r="I83" s="53"/>
      <c r="J83" s="571"/>
      <c r="K83" s="570"/>
      <c r="L83" s="53"/>
      <c r="M83" s="53"/>
      <c r="N83" s="571"/>
      <c r="O83" s="570"/>
      <c r="P83" s="53"/>
      <c r="Q83" s="53"/>
      <c r="R83" s="571"/>
      <c r="S83" s="570"/>
      <c r="T83" s="53"/>
      <c r="U83" s="53"/>
      <c r="V83" s="571"/>
      <c r="W83" s="53"/>
      <c r="X83" s="53"/>
      <c r="Y83" s="53"/>
      <c r="Z83" s="53"/>
      <c r="AA83" s="53"/>
      <c r="AB83" s="53"/>
      <c r="AC83" s="53"/>
      <c r="AD83" s="53"/>
      <c r="AE83" s="572"/>
      <c r="AF83" s="53"/>
      <c r="AG83" s="53"/>
      <c r="AH83" s="573"/>
      <c r="AI83" s="536"/>
    </row>
    <row r="84" spans="1:35" ht="21.95" customHeight="1" thickBot="1"/>
    <row r="85" spans="1:35" ht="21.95" customHeight="1" thickBot="1">
      <c r="A85" s="861"/>
      <c r="B85" s="862" t="s">
        <v>476</v>
      </c>
      <c r="C85" s="863">
        <v>1</v>
      </c>
      <c r="D85" s="880">
        <v>2</v>
      </c>
      <c r="E85" s="880">
        <v>3</v>
      </c>
      <c r="F85" s="880">
        <v>4</v>
      </c>
      <c r="G85" s="880">
        <v>5</v>
      </c>
      <c r="H85" s="880">
        <v>6</v>
      </c>
      <c r="I85" s="863">
        <v>7</v>
      </c>
      <c r="J85" s="863">
        <v>8</v>
      </c>
      <c r="K85" s="863">
        <v>9</v>
      </c>
      <c r="L85" s="863">
        <v>10</v>
      </c>
      <c r="M85" s="880">
        <v>11</v>
      </c>
      <c r="N85" s="880">
        <v>12</v>
      </c>
      <c r="O85" s="863">
        <v>13</v>
      </c>
      <c r="P85" s="863">
        <v>14</v>
      </c>
      <c r="Q85" s="863">
        <v>15</v>
      </c>
      <c r="R85" s="863">
        <v>16</v>
      </c>
      <c r="S85" s="863">
        <v>17</v>
      </c>
      <c r="T85" s="880">
        <v>18</v>
      </c>
      <c r="U85" s="880">
        <v>19</v>
      </c>
      <c r="V85" s="863">
        <v>20</v>
      </c>
      <c r="W85" s="863">
        <v>21</v>
      </c>
      <c r="X85" s="863">
        <v>22</v>
      </c>
      <c r="Y85" s="863">
        <v>23</v>
      </c>
      <c r="Z85" s="863">
        <v>24</v>
      </c>
      <c r="AA85" s="880">
        <v>25</v>
      </c>
      <c r="AB85" s="880">
        <v>26</v>
      </c>
      <c r="AC85" s="863">
        <v>27</v>
      </c>
      <c r="AD85" s="863">
        <v>28</v>
      </c>
      <c r="AE85" s="863">
        <v>29</v>
      </c>
      <c r="AF85" s="863">
        <v>30</v>
      </c>
      <c r="AG85" s="943"/>
      <c r="AH85" s="864" t="s">
        <v>477</v>
      </c>
      <c r="AI85" s="865" t="s">
        <v>478</v>
      </c>
    </row>
    <row r="86" spans="1:35" ht="21.95" customHeight="1" thickBot="1">
      <c r="A86" s="870">
        <v>1</v>
      </c>
      <c r="B86" s="54" t="s">
        <v>572</v>
      </c>
      <c r="C86" s="976" t="s">
        <v>554</v>
      </c>
      <c r="D86" s="871" t="s">
        <v>28</v>
      </c>
      <c r="E86" s="871" t="s">
        <v>28</v>
      </c>
      <c r="F86" s="876"/>
      <c r="G86" s="871"/>
      <c r="H86" s="871" t="s">
        <v>561</v>
      </c>
      <c r="I86" s="871" t="s">
        <v>561</v>
      </c>
      <c r="J86" s="871" t="s">
        <v>561</v>
      </c>
      <c r="K86" s="1318" t="s">
        <v>561</v>
      </c>
      <c r="L86" s="871" t="s">
        <v>561</v>
      </c>
      <c r="M86" s="871"/>
      <c r="N86" s="871"/>
      <c r="O86" s="871" t="s">
        <v>573</v>
      </c>
      <c r="P86" s="871" t="s">
        <v>573</v>
      </c>
      <c r="Q86" s="976" t="s">
        <v>573</v>
      </c>
      <c r="R86" s="976" t="s">
        <v>573</v>
      </c>
      <c r="S86" s="1257" t="s">
        <v>573</v>
      </c>
      <c r="T86" s="871"/>
      <c r="U86" s="871"/>
      <c r="V86" s="1319" t="s">
        <v>554</v>
      </c>
      <c r="W86" s="1319" t="s">
        <v>554</v>
      </c>
      <c r="X86" s="1319" t="s">
        <v>554</v>
      </c>
      <c r="Y86" s="1319" t="s">
        <v>553</v>
      </c>
      <c r="Z86" s="1319" t="s">
        <v>553</v>
      </c>
      <c r="AA86" s="1319"/>
      <c r="AB86" s="1319"/>
      <c r="AC86" s="1319" t="s">
        <v>561</v>
      </c>
      <c r="AD86" s="1319" t="s">
        <v>561</v>
      </c>
      <c r="AE86" s="1319" t="s">
        <v>561</v>
      </c>
      <c r="AF86" s="1319" t="s">
        <v>561</v>
      </c>
      <c r="AG86" s="871"/>
      <c r="AH86" s="510">
        <v>0</v>
      </c>
      <c r="AI86" s="511">
        <v>37</v>
      </c>
    </row>
    <row r="87" spans="1:35" ht="21.95" customHeight="1" thickBot="1">
      <c r="A87" s="575">
        <v>2</v>
      </c>
      <c r="B87" s="853" t="s">
        <v>574</v>
      </c>
      <c r="C87" t="s">
        <v>561</v>
      </c>
      <c r="D87" s="875" t="s">
        <v>561</v>
      </c>
      <c r="E87" s="1178" t="s">
        <v>561</v>
      </c>
      <c r="F87" s="1178"/>
      <c r="G87" s="875"/>
      <c r="H87" s="875" t="s">
        <v>573</v>
      </c>
      <c r="I87" s="875" t="s">
        <v>573</v>
      </c>
      <c r="J87" s="875" t="s">
        <v>573</v>
      </c>
      <c r="K87" s="875" t="s">
        <v>573</v>
      </c>
      <c r="L87" s="875" t="s">
        <v>573</v>
      </c>
      <c r="M87" s="875"/>
      <c r="N87" s="875"/>
      <c r="O87" s="875" t="s">
        <v>554</v>
      </c>
      <c r="P87" s="875" t="s">
        <v>554</v>
      </c>
      <c r="Q87" s="875" t="s">
        <v>554</v>
      </c>
      <c r="R87" s="875" t="s">
        <v>553</v>
      </c>
      <c r="S87" s="875" t="s">
        <v>553</v>
      </c>
      <c r="T87" s="875"/>
      <c r="U87" s="875"/>
      <c r="V87" s="875" t="s">
        <v>553</v>
      </c>
      <c r="W87" s="875" t="s">
        <v>553</v>
      </c>
      <c r="X87" s="875" t="s">
        <v>485</v>
      </c>
      <c r="Y87" s="875" t="s">
        <v>485</v>
      </c>
      <c r="Z87" s="875" t="s">
        <v>561</v>
      </c>
      <c r="AA87" s="1178" t="s">
        <v>517</v>
      </c>
      <c r="AB87" s="875"/>
      <c r="AC87" s="875" t="s">
        <v>812</v>
      </c>
      <c r="AD87" s="875" t="s">
        <v>812</v>
      </c>
      <c r="AE87" s="875" t="s">
        <v>602</v>
      </c>
      <c r="AF87" s="875" t="s">
        <v>573</v>
      </c>
      <c r="AG87" s="762"/>
      <c r="AH87" s="924">
        <v>34</v>
      </c>
      <c r="AI87" s="925">
        <v>37</v>
      </c>
    </row>
    <row r="88" spans="1:35" ht="21.95" customHeight="1" thickBot="1">
      <c r="A88" s="877">
        <v>3</v>
      </c>
      <c r="B88" s="793" t="s">
        <v>657</v>
      </c>
      <c r="C88" s="875" t="s">
        <v>554</v>
      </c>
      <c r="D88" s="875" t="s">
        <v>573</v>
      </c>
      <c r="E88" s="875" t="s">
        <v>573</v>
      </c>
      <c r="F88" s="875"/>
      <c r="G88" s="875"/>
      <c r="H88" s="875" t="s">
        <v>554</v>
      </c>
      <c r="I88" s="875" t="s">
        <v>554</v>
      </c>
      <c r="J88" s="875" t="s">
        <v>554</v>
      </c>
      <c r="K88" s="875" t="s">
        <v>553</v>
      </c>
      <c r="L88" s="875" t="s">
        <v>553</v>
      </c>
      <c r="M88" s="875"/>
      <c r="N88" s="875"/>
      <c r="O88" s="867">
        <v>4</v>
      </c>
      <c r="P88" s="867">
        <v>4</v>
      </c>
      <c r="Q88" s="867">
        <v>4</v>
      </c>
      <c r="R88" s="867">
        <v>4</v>
      </c>
      <c r="S88" s="867">
        <v>4</v>
      </c>
      <c r="T88" s="875" t="s">
        <v>517</v>
      </c>
      <c r="U88" s="875" t="s">
        <v>517</v>
      </c>
      <c r="V88" s="990" t="s">
        <v>573</v>
      </c>
      <c r="W88" s="990" t="s">
        <v>573</v>
      </c>
      <c r="X88" s="990" t="s">
        <v>573</v>
      </c>
      <c r="Y88" s="990" t="s">
        <v>573</v>
      </c>
      <c r="Z88" s="990" t="s">
        <v>573</v>
      </c>
      <c r="AA88" s="876"/>
      <c r="AB88" s="1178" t="s">
        <v>517</v>
      </c>
      <c r="AC88" s="875" t="s">
        <v>554</v>
      </c>
      <c r="AD88" s="875" t="s">
        <v>554</v>
      </c>
      <c r="AE88" s="875" t="s">
        <v>554</v>
      </c>
      <c r="AF88" s="875" t="s">
        <v>553</v>
      </c>
      <c r="AG88" s="875"/>
      <c r="AH88" s="868">
        <v>185</v>
      </c>
      <c r="AI88" s="869">
        <v>37</v>
      </c>
    </row>
    <row r="89" spans="1:35" ht="21.95" customHeight="1">
      <c r="A89" s="576"/>
      <c r="B89" s="583"/>
      <c r="C89" s="583"/>
      <c r="D89" s="583"/>
      <c r="E89" s="583"/>
      <c r="F89" s="583"/>
      <c r="G89" s="583"/>
      <c r="H89" s="583"/>
      <c r="I89" s="555"/>
      <c r="J89" s="555"/>
      <c r="K89" s="555"/>
      <c r="L89" s="555"/>
      <c r="M89" s="555"/>
      <c r="N89" s="555"/>
      <c r="O89" s="555"/>
      <c r="P89" s="555"/>
      <c r="Q89" s="555"/>
      <c r="R89" s="555"/>
      <c r="S89" s="555"/>
      <c r="T89" s="555"/>
      <c r="U89" s="555"/>
      <c r="V89" s="555"/>
      <c r="W89" s="555"/>
      <c r="X89" s="555"/>
      <c r="Y89" s="555"/>
      <c r="Z89" s="555"/>
      <c r="AA89" s="555"/>
      <c r="AB89" s="555"/>
      <c r="AC89" s="555"/>
      <c r="AD89" s="555"/>
      <c r="AE89" s="555"/>
      <c r="AF89" s="555"/>
      <c r="AH89" s="556"/>
      <c r="AI89" s="556"/>
    </row>
    <row r="90" spans="1:35" ht="21.95" customHeight="1">
      <c r="A90" s="576"/>
      <c r="B90" s="583"/>
      <c r="C90" s="555"/>
      <c r="D90" s="555"/>
      <c r="E90" s="555"/>
      <c r="F90" s="555"/>
      <c r="G90" s="555"/>
      <c r="H90" s="555"/>
      <c r="I90" s="555"/>
      <c r="J90" s="555"/>
      <c r="K90" s="555"/>
      <c r="L90" s="555"/>
      <c r="M90" s="555"/>
      <c r="N90" s="555"/>
      <c r="O90" s="555"/>
      <c r="P90" s="555"/>
      <c r="Q90" s="555"/>
      <c r="R90" s="555"/>
      <c r="S90" s="555"/>
      <c r="T90" s="555"/>
      <c r="U90" s="555"/>
      <c r="V90" s="555"/>
      <c r="W90" s="555"/>
      <c r="X90" s="555"/>
      <c r="Y90" s="555"/>
      <c r="Z90" s="555"/>
      <c r="AA90" s="555"/>
      <c r="AB90" s="555"/>
      <c r="AC90" s="555"/>
      <c r="AD90" s="555"/>
      <c r="AE90" s="555"/>
      <c r="AF90" s="555"/>
      <c r="AG90" s="555"/>
      <c r="AH90" s="556"/>
      <c r="AI90" s="556"/>
    </row>
    <row r="91" spans="1:35" ht="21.95" customHeight="1" thickBot="1">
      <c r="A91" s="1" t="s">
        <v>576</v>
      </c>
      <c r="D91" s="361"/>
      <c r="E91" s="361"/>
      <c r="F91" s="361"/>
      <c r="G91" s="546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5" ht="21.95" customHeight="1">
      <c r="A92" s="1"/>
      <c r="B92" s="23" t="s">
        <v>577</v>
      </c>
      <c r="C92" s="7"/>
      <c r="D92" s="522" t="s">
        <v>2</v>
      </c>
      <c r="E92" s="51"/>
      <c r="F92" s="548"/>
      <c r="G92" s="7"/>
      <c r="H92" s="522" t="s">
        <v>3</v>
      </c>
      <c r="I92" s="51"/>
      <c r="J92" s="548"/>
      <c r="K92" s="7"/>
      <c r="L92" s="522" t="s">
        <v>4</v>
      </c>
      <c r="M92" s="51"/>
      <c r="N92" s="548"/>
      <c r="O92" s="7"/>
      <c r="P92" s="522" t="s">
        <v>5</v>
      </c>
      <c r="Q92" s="51"/>
      <c r="R92" s="548"/>
      <c r="S92" s="7"/>
      <c r="T92" s="522" t="s">
        <v>6</v>
      </c>
      <c r="U92" s="51"/>
      <c r="V92" s="548"/>
      <c r="W92" s="7"/>
      <c r="X92" s="522" t="s">
        <v>7</v>
      </c>
      <c r="Y92" s="51"/>
      <c r="Z92" s="548"/>
      <c r="AA92" s="7"/>
      <c r="AB92" s="522" t="s">
        <v>8</v>
      </c>
      <c r="AC92" s="51"/>
      <c r="AD92" s="51"/>
      <c r="AE92" s="425" t="s">
        <v>10</v>
      </c>
      <c r="AF92" s="51"/>
      <c r="AG92" s="51"/>
      <c r="AH92" s="51"/>
      <c r="AI92" s="523"/>
    </row>
    <row r="93" spans="1:35" ht="21.95" customHeight="1">
      <c r="A93" s="1"/>
      <c r="B93" s="129" t="s">
        <v>324</v>
      </c>
      <c r="C93" s="121" t="s">
        <v>578</v>
      </c>
      <c r="D93" s="157"/>
      <c r="E93" s="157"/>
      <c r="F93" s="564"/>
      <c r="G93" s="121" t="s">
        <v>578</v>
      </c>
      <c r="H93" s="157"/>
      <c r="I93" s="157"/>
      <c r="J93" s="564"/>
      <c r="K93" s="121" t="s">
        <v>578</v>
      </c>
      <c r="L93" s="157"/>
      <c r="M93" s="157"/>
      <c r="N93" s="564"/>
      <c r="O93" s="121" t="s">
        <v>579</v>
      </c>
      <c r="P93" s="157"/>
      <c r="Q93" s="157"/>
      <c r="R93" s="564"/>
      <c r="S93" s="121" t="s">
        <v>167</v>
      </c>
      <c r="T93" s="157"/>
      <c r="U93" s="157"/>
      <c r="V93" s="564"/>
      <c r="W93" s="795"/>
      <c r="X93" s="577"/>
      <c r="Y93" s="577"/>
      <c r="Z93" s="578"/>
      <c r="AA93" s="563"/>
      <c r="AB93" s="157"/>
      <c r="AC93" s="157"/>
      <c r="AD93" s="565"/>
      <c r="AE93" s="128">
        <v>27</v>
      </c>
      <c r="AF93" s="157"/>
      <c r="AG93" s="157"/>
      <c r="AH93" s="565"/>
      <c r="AI93" s="490"/>
    </row>
    <row r="94" spans="1:35" ht="21.95" customHeight="1">
      <c r="A94" s="1"/>
      <c r="B94" s="129" t="s">
        <v>325</v>
      </c>
      <c r="C94" s="121" t="s">
        <v>580</v>
      </c>
      <c r="D94" s="157"/>
      <c r="E94" s="157"/>
      <c r="F94" s="564"/>
      <c r="G94" s="121" t="s">
        <v>580</v>
      </c>
      <c r="H94" s="157"/>
      <c r="I94" s="157"/>
      <c r="J94" s="564"/>
      <c r="K94" s="121" t="s">
        <v>580</v>
      </c>
      <c r="L94" s="157"/>
      <c r="M94" s="157"/>
      <c r="N94" s="564"/>
      <c r="O94" s="121" t="s">
        <v>580</v>
      </c>
      <c r="P94" s="157"/>
      <c r="Q94" s="157"/>
      <c r="R94" s="564"/>
      <c r="S94" s="121" t="s">
        <v>578</v>
      </c>
      <c r="T94" s="157"/>
      <c r="U94" s="157"/>
      <c r="V94" s="564"/>
      <c r="W94" s="121"/>
      <c r="X94" s="157"/>
      <c r="Y94" s="157"/>
      <c r="Z94" s="564"/>
      <c r="AA94" s="157"/>
      <c r="AB94" s="157"/>
      <c r="AC94" s="157"/>
      <c r="AD94" s="565"/>
      <c r="AE94" s="128">
        <v>39</v>
      </c>
      <c r="AF94" s="157"/>
      <c r="AG94" s="157"/>
      <c r="AH94" s="565"/>
      <c r="AI94" s="490"/>
    </row>
    <row r="95" spans="1:35" ht="21.95" customHeight="1">
      <c r="A95" s="1"/>
      <c r="B95" s="129" t="s">
        <v>326</v>
      </c>
      <c r="C95" s="121" t="s">
        <v>580</v>
      </c>
      <c r="D95" s="157"/>
      <c r="E95" s="157"/>
      <c r="F95" s="564"/>
      <c r="G95" s="121" t="s">
        <v>580</v>
      </c>
      <c r="H95" s="157"/>
      <c r="I95" s="157"/>
      <c r="J95" s="564"/>
      <c r="K95" s="121" t="s">
        <v>580</v>
      </c>
      <c r="L95" s="157"/>
      <c r="M95" s="157"/>
      <c r="N95" s="564"/>
      <c r="O95" s="121" t="s">
        <v>580</v>
      </c>
      <c r="P95" s="157"/>
      <c r="Q95" s="157"/>
      <c r="R95" s="564"/>
      <c r="S95" s="121" t="s">
        <v>580</v>
      </c>
      <c r="T95" s="157"/>
      <c r="U95" s="157"/>
      <c r="V95" s="564"/>
      <c r="W95" s="584" t="s">
        <v>581</v>
      </c>
      <c r="X95" s="135"/>
      <c r="Y95" s="135"/>
      <c r="Z95" s="580"/>
      <c r="AA95" s="579"/>
      <c r="AB95" s="135"/>
      <c r="AC95" s="135"/>
      <c r="AD95" s="581"/>
      <c r="AE95" s="128">
        <v>45</v>
      </c>
      <c r="AF95" s="157"/>
      <c r="AG95" s="157"/>
      <c r="AH95" s="565"/>
      <c r="AI95" s="490"/>
    </row>
    <row r="96" spans="1:35" ht="21.95" customHeight="1" thickBot="1">
      <c r="A96" s="1"/>
      <c r="B96" s="16" t="s">
        <v>236</v>
      </c>
      <c r="C96" s="57"/>
      <c r="D96" s="53"/>
      <c r="E96" s="53"/>
      <c r="F96" s="571"/>
      <c r="G96" s="57"/>
      <c r="H96" s="53"/>
      <c r="I96" s="53"/>
      <c r="J96" s="571"/>
      <c r="K96" s="57"/>
      <c r="L96" s="53"/>
      <c r="M96" s="53"/>
      <c r="N96" s="571"/>
      <c r="O96" s="57"/>
      <c r="P96" s="53"/>
      <c r="Q96" s="53"/>
      <c r="R96" s="571"/>
      <c r="S96" s="57"/>
      <c r="T96" s="53"/>
      <c r="U96" s="53"/>
      <c r="V96" s="573"/>
      <c r="W96" s="57"/>
      <c r="X96" s="573"/>
      <c r="Y96" s="53"/>
      <c r="Z96" s="571"/>
      <c r="AA96" s="57"/>
      <c r="AB96" s="573"/>
      <c r="AC96" s="53"/>
      <c r="AD96" s="571"/>
      <c r="AE96" s="582"/>
      <c r="AF96" s="53"/>
      <c r="AG96" s="53"/>
      <c r="AH96" s="573"/>
      <c r="AI96" s="536"/>
    </row>
    <row r="97" spans="1:35" ht="21.95" customHeight="1" thickBot="1">
      <c r="A97" s="574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 thickBot="1">
      <c r="A98" s="861"/>
      <c r="B98" s="862" t="s">
        <v>476</v>
      </c>
      <c r="C98" s="863">
        <v>1</v>
      </c>
      <c r="D98" s="880">
        <v>2</v>
      </c>
      <c r="E98" s="880">
        <v>3</v>
      </c>
      <c r="F98" s="880">
        <v>4</v>
      </c>
      <c r="G98" s="880">
        <v>5</v>
      </c>
      <c r="H98" s="880">
        <v>6</v>
      </c>
      <c r="I98" s="863">
        <v>7</v>
      </c>
      <c r="J98" s="863">
        <v>8</v>
      </c>
      <c r="K98" s="863">
        <v>9</v>
      </c>
      <c r="L98" s="863">
        <v>10</v>
      </c>
      <c r="M98" s="880">
        <v>11</v>
      </c>
      <c r="N98" s="880">
        <v>12</v>
      </c>
      <c r="O98" s="863">
        <v>13</v>
      </c>
      <c r="P98" s="863">
        <v>14</v>
      </c>
      <c r="Q98" s="863">
        <v>15</v>
      </c>
      <c r="R98" s="863">
        <v>16</v>
      </c>
      <c r="S98" s="863">
        <v>17</v>
      </c>
      <c r="T98" s="880">
        <v>18</v>
      </c>
      <c r="U98" s="880">
        <v>19</v>
      </c>
      <c r="V98" s="863">
        <v>20</v>
      </c>
      <c r="W98" s="863">
        <v>21</v>
      </c>
      <c r="X98" s="863">
        <v>22</v>
      </c>
      <c r="Y98" s="863">
        <v>23</v>
      </c>
      <c r="Z98" s="863">
        <v>24</v>
      </c>
      <c r="AA98" s="880">
        <v>25</v>
      </c>
      <c r="AB98" s="880">
        <v>26</v>
      </c>
      <c r="AC98" s="863">
        <v>27</v>
      </c>
      <c r="AD98" s="863">
        <v>28</v>
      </c>
      <c r="AE98" s="863">
        <v>29</v>
      </c>
      <c r="AF98" s="863">
        <v>30</v>
      </c>
      <c r="AG98" s="863"/>
      <c r="AH98" s="864" t="s">
        <v>477</v>
      </c>
      <c r="AI98" s="865" t="s">
        <v>478</v>
      </c>
    </row>
    <row r="99" spans="1:35" ht="21.95" customHeight="1">
      <c r="A99" s="870">
        <v>1</v>
      </c>
      <c r="B99" s="879" t="s">
        <v>582</v>
      </c>
      <c r="C99" s="972" t="s">
        <v>583</v>
      </c>
      <c r="D99" s="972" t="s">
        <v>583</v>
      </c>
      <c r="E99" s="972" t="s">
        <v>583</v>
      </c>
      <c r="F99" s="972" t="s">
        <v>583</v>
      </c>
      <c r="G99" s="764"/>
      <c r="H99" s="764" t="s">
        <v>584</v>
      </c>
      <c r="I99" s="972" t="s">
        <v>584</v>
      </c>
      <c r="J99" s="972" t="s">
        <v>584</v>
      </c>
      <c r="K99" s="972" t="s">
        <v>584</v>
      </c>
      <c r="L99" s="972" t="s">
        <v>481</v>
      </c>
      <c r="M99" s="972"/>
      <c r="N99" s="972"/>
      <c r="O99" s="972" t="s">
        <v>585</v>
      </c>
      <c r="P99" s="972" t="s">
        <v>585</v>
      </c>
      <c r="Q99" s="972" t="s">
        <v>585</v>
      </c>
      <c r="R99" s="972" t="s">
        <v>585</v>
      </c>
      <c r="S99" s="972" t="s">
        <v>585</v>
      </c>
      <c r="T99" s="972"/>
      <c r="U99" s="972"/>
      <c r="V99" s="972" t="s">
        <v>583</v>
      </c>
      <c r="W99" s="764" t="s">
        <v>583</v>
      </c>
      <c r="X99" s="764" t="s">
        <v>583</v>
      </c>
      <c r="Y99" s="764" t="s">
        <v>583</v>
      </c>
      <c r="Z99" s="764" t="s">
        <v>583</v>
      </c>
      <c r="AA99" s="764" t="s">
        <v>583</v>
      </c>
      <c r="AB99" s="764"/>
      <c r="AC99" s="764" t="s">
        <v>584</v>
      </c>
      <c r="AD99" s="764" t="s">
        <v>584</v>
      </c>
      <c r="AE99" s="764" t="s">
        <v>584</v>
      </c>
      <c r="AF99" s="764" t="s">
        <v>584</v>
      </c>
      <c r="AG99" s="764"/>
      <c r="AH99" s="510">
        <v>0</v>
      </c>
      <c r="AI99" s="511">
        <v>37</v>
      </c>
    </row>
    <row r="100" spans="1:35" ht="21.95" customHeight="1">
      <c r="A100" s="575">
        <v>2</v>
      </c>
      <c r="B100" s="857" t="s">
        <v>587</v>
      </c>
      <c r="C100" s="970" t="s">
        <v>584</v>
      </c>
      <c r="D100" s="768" t="s">
        <v>584</v>
      </c>
      <c r="E100" s="768" t="s">
        <v>481</v>
      </c>
      <c r="F100" s="768"/>
      <c r="G100" s="768"/>
      <c r="H100" s="987" t="s">
        <v>585</v>
      </c>
      <c r="I100" s="977" t="s">
        <v>585</v>
      </c>
      <c r="J100" s="977" t="s">
        <v>585</v>
      </c>
      <c r="K100" s="977" t="s">
        <v>585</v>
      </c>
      <c r="L100" s="977" t="s">
        <v>585</v>
      </c>
      <c r="M100" s="987"/>
      <c r="N100" s="987"/>
      <c r="O100" s="768" t="s">
        <v>583</v>
      </c>
      <c r="P100" s="768" t="s">
        <v>583</v>
      </c>
      <c r="Q100" s="768" t="s">
        <v>583</v>
      </c>
      <c r="R100" s="768" t="s">
        <v>583</v>
      </c>
      <c r="S100" s="768" t="s">
        <v>583</v>
      </c>
      <c r="T100" s="768" t="s">
        <v>583</v>
      </c>
      <c r="U100" s="768"/>
      <c r="V100" s="768" t="s">
        <v>584</v>
      </c>
      <c r="W100" s="768" t="s">
        <v>584</v>
      </c>
      <c r="X100" s="768" t="s">
        <v>584</v>
      </c>
      <c r="Y100" s="768" t="s">
        <v>584</v>
      </c>
      <c r="Z100" s="768" t="s">
        <v>481</v>
      </c>
      <c r="AA100" s="768"/>
      <c r="AB100" s="768"/>
      <c r="AC100" s="768" t="s">
        <v>585</v>
      </c>
      <c r="AD100" s="768" t="s">
        <v>585</v>
      </c>
      <c r="AE100" s="768" t="s">
        <v>585</v>
      </c>
      <c r="AF100" s="768" t="s">
        <v>585</v>
      </c>
      <c r="AG100" s="768"/>
      <c r="AH100" s="924">
        <v>0</v>
      </c>
      <c r="AI100" s="925">
        <v>37</v>
      </c>
    </row>
    <row r="101" spans="1:35" ht="21.95" customHeight="1">
      <c r="A101" s="575">
        <v>3</v>
      </c>
      <c r="B101" s="857" t="s">
        <v>289</v>
      </c>
      <c r="C101" s="768" t="s">
        <v>585</v>
      </c>
      <c r="D101" s="768" t="s">
        <v>585</v>
      </c>
      <c r="E101" s="768" t="s">
        <v>585</v>
      </c>
      <c r="F101" s="768"/>
      <c r="G101" s="768"/>
      <c r="H101" s="768" t="s">
        <v>583</v>
      </c>
      <c r="I101" s="970" t="s">
        <v>583</v>
      </c>
      <c r="J101" s="970" t="s">
        <v>583</v>
      </c>
      <c r="K101" s="970" t="s">
        <v>583</v>
      </c>
      <c r="L101" s="768" t="s">
        <v>583</v>
      </c>
      <c r="M101" s="768" t="s">
        <v>583</v>
      </c>
      <c r="N101" s="768"/>
      <c r="O101" s="768" t="s">
        <v>584</v>
      </c>
      <c r="P101" s="768" t="s">
        <v>584</v>
      </c>
      <c r="Q101" s="768" t="s">
        <v>584</v>
      </c>
      <c r="R101" s="768" t="s">
        <v>584</v>
      </c>
      <c r="S101" s="768" t="s">
        <v>481</v>
      </c>
      <c r="T101" s="768"/>
      <c r="U101" s="768"/>
      <c r="V101" s="768" t="s">
        <v>585</v>
      </c>
      <c r="W101" s="768" t="s">
        <v>585</v>
      </c>
      <c r="X101" s="768" t="s">
        <v>585</v>
      </c>
      <c r="Y101" s="768" t="s">
        <v>585</v>
      </c>
      <c r="Z101" s="768" t="s">
        <v>585</v>
      </c>
      <c r="AA101" s="768"/>
      <c r="AB101" s="768"/>
      <c r="AC101" s="768" t="s">
        <v>583</v>
      </c>
      <c r="AD101" s="768" t="s">
        <v>583</v>
      </c>
      <c r="AE101" s="768" t="s">
        <v>583</v>
      </c>
      <c r="AF101" s="768" t="s">
        <v>583</v>
      </c>
      <c r="AG101" s="768"/>
      <c r="AH101" s="924">
        <v>0</v>
      </c>
      <c r="AI101" s="925">
        <v>37</v>
      </c>
    </row>
    <row r="102" spans="1:35" ht="21.95" customHeight="1">
      <c r="A102" s="575">
        <v>4</v>
      </c>
      <c r="B102" s="857"/>
      <c r="C102" s="768"/>
      <c r="D102" s="762"/>
      <c r="E102" s="768"/>
      <c r="F102" s="768"/>
      <c r="G102" s="768"/>
      <c r="H102" s="768"/>
      <c r="I102" s="768"/>
      <c r="J102" s="762"/>
      <c r="K102" s="762"/>
      <c r="L102" s="768"/>
      <c r="M102" s="768"/>
      <c r="N102" s="768"/>
      <c r="O102" s="768"/>
      <c r="P102" s="768"/>
      <c r="Q102" s="762"/>
      <c r="R102" s="762"/>
      <c r="S102" s="762"/>
      <c r="T102" s="762"/>
      <c r="U102" s="762"/>
      <c r="V102" s="762"/>
      <c r="W102" s="762"/>
      <c r="X102" s="768"/>
      <c r="Y102" s="762"/>
      <c r="Z102" s="768"/>
      <c r="AA102" s="768"/>
      <c r="AB102" s="768"/>
      <c r="AC102" s="768"/>
      <c r="AD102" s="768"/>
      <c r="AE102" s="768"/>
      <c r="AF102" s="762"/>
      <c r="AG102" s="768"/>
      <c r="AH102" s="924">
        <v>185</v>
      </c>
      <c r="AI102" s="925">
        <v>37</v>
      </c>
    </row>
    <row r="103" spans="1:35" ht="21.95" customHeight="1">
      <c r="A103" s="576"/>
      <c r="B103" s="583"/>
      <c r="C103" s="555"/>
      <c r="D103" s="538"/>
      <c r="E103" s="538"/>
      <c r="F103" s="538"/>
      <c r="G103" s="538"/>
      <c r="H103" s="538"/>
      <c r="I103" s="555"/>
      <c r="J103" s="555"/>
      <c r="K103" s="538"/>
      <c r="L103" s="538"/>
      <c r="M103" s="538"/>
      <c r="N103" s="538"/>
      <c r="O103" s="538"/>
      <c r="P103" s="538"/>
      <c r="Q103" s="555"/>
      <c r="R103" s="538"/>
      <c r="S103" s="817"/>
      <c r="T103" s="817"/>
      <c r="U103" s="817"/>
      <c r="V103" s="817"/>
      <c r="W103" s="555"/>
      <c r="X103" s="555"/>
      <c r="Y103" s="538"/>
      <c r="Z103" s="538"/>
      <c r="AA103" s="538"/>
      <c r="AB103" s="538"/>
      <c r="AC103" s="538"/>
      <c r="AD103" s="538"/>
      <c r="AE103" s="555"/>
      <c r="AF103" s="538"/>
      <c r="AG103" s="538"/>
      <c r="AH103" s="556"/>
      <c r="AI103" s="556"/>
    </row>
    <row r="104" spans="1:35" ht="21.95" customHeight="1" thickBot="1">
      <c r="A104" s="805" t="s">
        <v>588</v>
      </c>
      <c r="B104" s="538"/>
      <c r="C104" s="555"/>
      <c r="D104" s="538"/>
      <c r="E104" s="538"/>
      <c r="F104" s="538"/>
      <c r="G104" s="538"/>
      <c r="H104" s="538"/>
      <c r="I104" s="555"/>
      <c r="J104" s="555"/>
      <c r="K104" s="538"/>
      <c r="L104" s="538"/>
      <c r="M104" s="538"/>
      <c r="N104" s="538"/>
      <c r="O104" s="538"/>
      <c r="P104" s="538"/>
      <c r="Q104" s="555"/>
      <c r="R104" s="538"/>
      <c r="S104" s="538"/>
      <c r="T104" s="538"/>
      <c r="U104" s="538"/>
      <c r="V104" s="538"/>
      <c r="W104" s="555"/>
      <c r="X104" s="555"/>
      <c r="Y104" s="538"/>
      <c r="Z104" s="538"/>
      <c r="AA104" s="538"/>
      <c r="AB104" s="538"/>
      <c r="AC104" s="538"/>
      <c r="AD104" s="538"/>
      <c r="AE104" s="555"/>
      <c r="AF104" s="538"/>
      <c r="AG104" s="538"/>
      <c r="AH104" s="556"/>
      <c r="AI104" s="556"/>
    </row>
    <row r="105" spans="1:35" ht="21.95" customHeight="1">
      <c r="A105" s="576"/>
      <c r="B105" s="806" t="s">
        <v>589</v>
      </c>
      <c r="C105" s="814"/>
      <c r="D105" s="807" t="s">
        <v>2</v>
      </c>
      <c r="E105" s="808"/>
      <c r="F105" s="809"/>
      <c r="G105" s="810"/>
      <c r="H105" s="807" t="s">
        <v>3</v>
      </c>
      <c r="I105" s="808"/>
      <c r="J105" s="809"/>
      <c r="K105" s="810"/>
      <c r="L105" s="807" t="s">
        <v>4</v>
      </c>
      <c r="M105" s="808"/>
      <c r="N105" s="809"/>
      <c r="O105" s="810"/>
      <c r="P105" s="807" t="s">
        <v>5</v>
      </c>
      <c r="Q105" s="808"/>
      <c r="R105" s="809"/>
      <c r="S105" s="810"/>
      <c r="T105" s="807" t="s">
        <v>6</v>
      </c>
      <c r="U105" s="808"/>
      <c r="V105" s="809"/>
      <c r="W105" s="810"/>
      <c r="X105" s="807" t="s">
        <v>7</v>
      </c>
      <c r="Y105" s="808"/>
      <c r="Z105" s="809"/>
      <c r="AA105" s="810"/>
      <c r="AB105" s="807" t="s">
        <v>8</v>
      </c>
      <c r="AC105" s="808"/>
      <c r="AD105" s="808"/>
      <c r="AE105" s="811" t="s">
        <v>10</v>
      </c>
      <c r="AF105" s="808"/>
      <c r="AG105" s="808"/>
      <c r="AH105" s="808"/>
      <c r="AI105" s="812"/>
    </row>
    <row r="106" spans="1:35" ht="21.95" customHeight="1">
      <c r="A106" s="576"/>
      <c r="B106" s="832" t="s">
        <v>590</v>
      </c>
      <c r="C106" s="815" t="s">
        <v>591</v>
      </c>
      <c r="D106" s="831" t="s">
        <v>592</v>
      </c>
      <c r="E106" s="816"/>
      <c r="F106" s="813"/>
      <c r="G106" s="815"/>
      <c r="H106" s="831" t="s">
        <v>592</v>
      </c>
      <c r="I106" s="816"/>
      <c r="J106" s="813"/>
      <c r="K106" s="815"/>
      <c r="L106" s="831" t="s">
        <v>592</v>
      </c>
      <c r="M106" s="816"/>
      <c r="N106" s="813"/>
      <c r="O106" s="815"/>
      <c r="P106" s="831" t="s">
        <v>593</v>
      </c>
      <c r="Q106" s="816"/>
      <c r="R106" s="813"/>
      <c r="S106" s="815"/>
      <c r="T106" s="831" t="s">
        <v>594</v>
      </c>
      <c r="U106" s="816"/>
      <c r="V106" s="813"/>
      <c r="W106" s="815"/>
      <c r="X106" s="816"/>
      <c r="Y106" s="816"/>
      <c r="Z106" s="813"/>
      <c r="AA106" s="815"/>
      <c r="AB106" s="816"/>
      <c r="AC106" s="816"/>
      <c r="AD106" s="816"/>
      <c r="AE106" s="815"/>
      <c r="AF106" s="816"/>
      <c r="AG106" s="816"/>
      <c r="AH106" s="818"/>
      <c r="AI106" s="819"/>
    </row>
    <row r="107" spans="1:35" ht="21.95" customHeight="1">
      <c r="A107" s="576"/>
      <c r="B107" s="833" t="s">
        <v>595</v>
      </c>
      <c r="C107" s="815" t="s">
        <v>596</v>
      </c>
      <c r="D107" s="831" t="s">
        <v>592</v>
      </c>
      <c r="E107" s="816"/>
      <c r="F107" s="813"/>
      <c r="G107" s="815"/>
      <c r="H107" s="831" t="s">
        <v>592</v>
      </c>
      <c r="I107" s="816"/>
      <c r="J107" s="813"/>
      <c r="K107" s="815"/>
      <c r="L107" s="831" t="s">
        <v>592</v>
      </c>
      <c r="M107" s="816"/>
      <c r="N107" s="813"/>
      <c r="O107" s="815"/>
      <c r="P107" s="831" t="s">
        <v>593</v>
      </c>
      <c r="Q107" s="816"/>
      <c r="R107" s="813"/>
      <c r="S107" s="815"/>
      <c r="T107" s="831" t="s">
        <v>594</v>
      </c>
      <c r="U107" s="816"/>
      <c r="V107" s="813"/>
      <c r="W107" s="815"/>
      <c r="X107" s="816"/>
      <c r="Y107" s="816"/>
      <c r="Z107" s="813"/>
      <c r="AA107" s="815"/>
      <c r="AB107" s="816"/>
      <c r="AC107" s="816"/>
      <c r="AD107" s="816"/>
      <c r="AE107" s="815"/>
      <c r="AF107" s="816"/>
      <c r="AG107" s="816"/>
      <c r="AH107" s="818"/>
      <c r="AI107" s="819"/>
    </row>
    <row r="108" spans="1:35" ht="21.95" customHeight="1">
      <c r="A108" s="576"/>
      <c r="B108" s="833" t="s">
        <v>597</v>
      </c>
      <c r="C108" s="815" t="s">
        <v>598</v>
      </c>
      <c r="D108" s="831" t="s">
        <v>592</v>
      </c>
      <c r="E108" s="816"/>
      <c r="F108" s="813"/>
      <c r="G108" s="815"/>
      <c r="H108" s="831" t="s">
        <v>592</v>
      </c>
      <c r="I108" s="816"/>
      <c r="J108" s="813"/>
      <c r="K108" s="815"/>
      <c r="L108" s="831" t="s">
        <v>592</v>
      </c>
      <c r="M108" s="816"/>
      <c r="N108" s="813"/>
      <c r="O108" s="815"/>
      <c r="P108" s="831" t="s">
        <v>593</v>
      </c>
      <c r="Q108" s="816"/>
      <c r="R108" s="813"/>
      <c r="S108" s="815"/>
      <c r="T108" s="831" t="s">
        <v>594</v>
      </c>
      <c r="U108" s="816"/>
      <c r="V108" s="813"/>
      <c r="W108" s="815"/>
      <c r="X108" s="816"/>
      <c r="Y108" s="816"/>
      <c r="Z108" s="813"/>
      <c r="AA108" s="815"/>
      <c r="AB108" s="816"/>
      <c r="AC108" s="816"/>
      <c r="AD108" s="816"/>
      <c r="AE108" s="815"/>
      <c r="AF108" s="816"/>
      <c r="AG108" s="816"/>
      <c r="AH108" s="818"/>
      <c r="AI108" s="819"/>
    </row>
    <row r="109" spans="1:35" ht="21.95" customHeight="1">
      <c r="A109" s="576"/>
      <c r="B109" s="833" t="s">
        <v>599</v>
      </c>
      <c r="C109" s="815" t="s">
        <v>600</v>
      </c>
      <c r="D109" s="831" t="s">
        <v>592</v>
      </c>
      <c r="E109" s="816"/>
      <c r="F109" s="813"/>
      <c r="G109" s="815"/>
      <c r="H109" s="831" t="s">
        <v>592</v>
      </c>
      <c r="I109" s="816"/>
      <c r="J109" s="813"/>
      <c r="K109" s="815"/>
      <c r="L109" s="831" t="s">
        <v>592</v>
      </c>
      <c r="M109" s="816"/>
      <c r="N109" s="813"/>
      <c r="O109" s="815"/>
      <c r="P109" s="831" t="s">
        <v>593</v>
      </c>
      <c r="Q109" s="816"/>
      <c r="R109" s="813"/>
      <c r="S109" s="815"/>
      <c r="T109" s="831" t="s">
        <v>594</v>
      </c>
      <c r="U109" s="816"/>
      <c r="V109" s="813"/>
      <c r="W109" s="815"/>
      <c r="X109" s="816"/>
      <c r="Y109" s="816"/>
      <c r="Z109" s="813"/>
      <c r="AA109" s="815"/>
      <c r="AB109" s="816"/>
      <c r="AC109" s="816"/>
      <c r="AD109" s="816"/>
      <c r="AE109" s="815"/>
      <c r="AF109" s="816"/>
      <c r="AG109" s="816"/>
      <c r="AH109" s="818"/>
      <c r="AI109" s="819"/>
    </row>
    <row r="110" spans="1:35" ht="21.95" customHeight="1">
      <c r="A110" s="576"/>
      <c r="B110" s="833" t="s">
        <v>601</v>
      </c>
      <c r="C110" s="815" t="s">
        <v>602</v>
      </c>
      <c r="D110" s="831" t="s">
        <v>592</v>
      </c>
      <c r="E110" s="816"/>
      <c r="F110" s="813"/>
      <c r="G110" s="815"/>
      <c r="H110" s="831" t="s">
        <v>592</v>
      </c>
      <c r="I110" s="816"/>
      <c r="J110" s="813"/>
      <c r="K110" s="815"/>
      <c r="L110" s="831" t="s">
        <v>592</v>
      </c>
      <c r="M110" s="816"/>
      <c r="N110" s="813"/>
      <c r="O110" s="815"/>
      <c r="P110" s="831" t="s">
        <v>593</v>
      </c>
      <c r="Q110" s="816"/>
      <c r="R110" s="813"/>
      <c r="S110" s="815"/>
      <c r="T110" s="831" t="s">
        <v>594</v>
      </c>
      <c r="U110" s="816"/>
      <c r="V110" s="813"/>
      <c r="W110" s="815"/>
      <c r="X110" s="816"/>
      <c r="Y110" s="816"/>
      <c r="Z110" s="813"/>
      <c r="AA110" s="815"/>
      <c r="AB110" s="816"/>
      <c r="AC110" s="816"/>
      <c r="AD110" s="816"/>
      <c r="AE110" s="815"/>
      <c r="AF110" s="816"/>
      <c r="AG110" s="816"/>
      <c r="AH110" s="818"/>
      <c r="AI110" s="819"/>
    </row>
    <row r="111" spans="1:35" ht="21.95" customHeight="1">
      <c r="A111" s="576"/>
      <c r="B111" s="833" t="s">
        <v>603</v>
      </c>
      <c r="C111" s="815" t="s">
        <v>604</v>
      </c>
      <c r="D111" s="831" t="s">
        <v>592</v>
      </c>
      <c r="E111" s="816"/>
      <c r="F111" s="813"/>
      <c r="G111" s="815"/>
      <c r="H111" s="831" t="s">
        <v>592</v>
      </c>
      <c r="I111" s="816"/>
      <c r="J111" s="813"/>
      <c r="K111" s="815"/>
      <c r="L111" s="831" t="s">
        <v>592</v>
      </c>
      <c r="M111" s="816"/>
      <c r="N111" s="813"/>
      <c r="O111" s="815"/>
      <c r="P111" s="831" t="s">
        <v>593</v>
      </c>
      <c r="Q111" s="816"/>
      <c r="R111" s="813"/>
      <c r="S111" s="815"/>
      <c r="T111" s="831" t="s">
        <v>594</v>
      </c>
      <c r="U111" s="816"/>
      <c r="V111" s="813"/>
      <c r="W111" s="815"/>
      <c r="X111" s="816"/>
      <c r="Y111" s="816"/>
      <c r="Z111" s="813"/>
      <c r="AA111" s="815"/>
      <c r="AB111" s="816"/>
      <c r="AC111" s="816"/>
      <c r="AD111" s="816"/>
      <c r="AE111" s="815"/>
      <c r="AF111" s="816"/>
      <c r="AG111" s="816"/>
      <c r="AH111" s="818"/>
      <c r="AI111" s="819"/>
    </row>
    <row r="112" spans="1:35" ht="21.95" customHeight="1">
      <c r="A112" s="576"/>
      <c r="B112" s="833" t="s">
        <v>605</v>
      </c>
      <c r="C112" s="815" t="s">
        <v>606</v>
      </c>
      <c r="D112" s="831" t="s">
        <v>592</v>
      </c>
      <c r="E112" s="816"/>
      <c r="F112" s="813"/>
      <c r="G112" s="815"/>
      <c r="H112" s="831" t="s">
        <v>592</v>
      </c>
      <c r="I112" s="816"/>
      <c r="J112" s="813"/>
      <c r="K112" s="815"/>
      <c r="L112" s="831" t="s">
        <v>592</v>
      </c>
      <c r="M112" s="816"/>
      <c r="N112" s="813"/>
      <c r="O112" s="815"/>
      <c r="P112" s="831" t="s">
        <v>593</v>
      </c>
      <c r="Q112" s="816"/>
      <c r="R112" s="813"/>
      <c r="S112" s="815"/>
      <c r="T112" s="831" t="s">
        <v>594</v>
      </c>
      <c r="U112" s="816"/>
      <c r="V112" s="813"/>
      <c r="W112" s="815"/>
      <c r="X112" s="816"/>
      <c r="Y112" s="816"/>
      <c r="Z112" s="813"/>
      <c r="AA112" s="815"/>
      <c r="AB112" s="816"/>
      <c r="AC112" s="816"/>
      <c r="AD112" s="816"/>
      <c r="AE112" s="815"/>
      <c r="AF112" s="816"/>
      <c r="AG112" s="816"/>
      <c r="AH112" s="818"/>
      <c r="AI112" s="819"/>
    </row>
    <row r="113" spans="1:35" ht="21.95" customHeight="1">
      <c r="A113" s="576"/>
      <c r="B113" s="833" t="s">
        <v>605</v>
      </c>
      <c r="C113" s="815" t="s">
        <v>607</v>
      </c>
      <c r="D113" s="831" t="s">
        <v>592</v>
      </c>
      <c r="E113" s="816"/>
      <c r="F113" s="813"/>
      <c r="G113" s="815"/>
      <c r="H113" s="831" t="s">
        <v>592</v>
      </c>
      <c r="I113" s="816"/>
      <c r="J113" s="813"/>
      <c r="K113" s="815"/>
      <c r="L113" s="831" t="s">
        <v>592</v>
      </c>
      <c r="M113" s="816"/>
      <c r="N113" s="813"/>
      <c r="O113" s="815"/>
      <c r="P113" s="831" t="s">
        <v>593</v>
      </c>
      <c r="Q113" s="816"/>
      <c r="R113" s="813"/>
      <c r="S113" s="815"/>
      <c r="T113" s="831" t="s">
        <v>594</v>
      </c>
      <c r="U113" s="816"/>
      <c r="V113" s="813"/>
      <c r="W113" s="815"/>
      <c r="X113" s="816"/>
      <c r="Y113" s="816"/>
      <c r="Z113" s="813"/>
      <c r="AA113" s="815"/>
      <c r="AB113" s="816"/>
      <c r="AC113" s="816"/>
      <c r="AD113" s="816"/>
      <c r="AE113" s="815"/>
      <c r="AF113" s="816"/>
      <c r="AG113" s="816"/>
      <c r="AH113" s="818"/>
      <c r="AI113" s="819"/>
    </row>
    <row r="114" spans="1:35" ht="21.95" customHeight="1">
      <c r="A114" s="576"/>
      <c r="B114" s="833" t="s">
        <v>608</v>
      </c>
      <c r="C114" s="815" t="s">
        <v>609</v>
      </c>
      <c r="D114" s="831" t="s">
        <v>592</v>
      </c>
      <c r="E114" s="816"/>
      <c r="F114" s="813"/>
      <c r="G114" s="815"/>
      <c r="H114" s="831" t="s">
        <v>592</v>
      </c>
      <c r="I114" s="816"/>
      <c r="J114" s="813"/>
      <c r="K114" s="815"/>
      <c r="L114" s="831" t="s">
        <v>592</v>
      </c>
      <c r="M114" s="816"/>
      <c r="N114" s="813"/>
      <c r="O114" s="815"/>
      <c r="P114" s="831" t="s">
        <v>593</v>
      </c>
      <c r="Q114" s="816"/>
      <c r="R114" s="813"/>
      <c r="S114" s="815"/>
      <c r="T114" s="831" t="s">
        <v>594</v>
      </c>
      <c r="U114" s="816"/>
      <c r="V114" s="813"/>
      <c r="W114" s="815"/>
      <c r="X114" s="816"/>
      <c r="Y114" s="816"/>
      <c r="Z114" s="813"/>
      <c r="AA114" s="815"/>
      <c r="AB114" s="816"/>
      <c r="AC114" s="816"/>
      <c r="AD114" s="816"/>
      <c r="AE114" s="815"/>
      <c r="AF114" s="816"/>
      <c r="AG114" s="816"/>
      <c r="AH114" s="818"/>
      <c r="AI114" s="819"/>
    </row>
    <row r="115" spans="1:35" ht="21.95" customHeight="1">
      <c r="A115" s="576"/>
      <c r="B115" s="833" t="s">
        <v>610</v>
      </c>
      <c r="C115" s="815" t="s">
        <v>611</v>
      </c>
      <c r="D115" s="831" t="s">
        <v>592</v>
      </c>
      <c r="E115" s="816"/>
      <c r="F115" s="813"/>
      <c r="G115" s="815"/>
      <c r="H115" s="831" t="s">
        <v>592</v>
      </c>
      <c r="I115" s="816"/>
      <c r="J115" s="813"/>
      <c r="K115" s="815"/>
      <c r="L115" s="831" t="s">
        <v>592</v>
      </c>
      <c r="M115" s="816"/>
      <c r="N115" s="813"/>
      <c r="O115" s="815"/>
      <c r="P115" s="831" t="s">
        <v>593</v>
      </c>
      <c r="Q115" s="816"/>
      <c r="R115" s="813"/>
      <c r="S115" s="815"/>
      <c r="T115" s="831" t="s">
        <v>594</v>
      </c>
      <c r="U115" s="816"/>
      <c r="V115" s="813"/>
      <c r="W115" s="815"/>
      <c r="X115" s="816"/>
      <c r="Y115" s="816"/>
      <c r="Z115" s="813"/>
      <c r="AA115" s="815"/>
      <c r="AB115" s="816"/>
      <c r="AC115" s="816"/>
      <c r="AD115" s="816"/>
      <c r="AE115" s="815"/>
      <c r="AF115" s="816"/>
      <c r="AG115" s="816"/>
      <c r="AH115" s="818"/>
      <c r="AI115" s="819"/>
    </row>
    <row r="116" spans="1:35" ht="21.95" customHeight="1">
      <c r="A116" s="576"/>
      <c r="B116" s="833" t="s">
        <v>612</v>
      </c>
      <c r="C116" s="815" t="s">
        <v>613</v>
      </c>
      <c r="D116" s="831" t="s">
        <v>592</v>
      </c>
      <c r="E116" s="816"/>
      <c r="F116" s="813"/>
      <c r="G116" s="815"/>
      <c r="H116" s="831" t="s">
        <v>592</v>
      </c>
      <c r="I116" s="816"/>
      <c r="J116" s="813"/>
      <c r="K116" s="815"/>
      <c r="L116" s="831" t="s">
        <v>592</v>
      </c>
      <c r="M116" s="816"/>
      <c r="N116" s="813"/>
      <c r="O116" s="815"/>
      <c r="P116" s="831" t="s">
        <v>593</v>
      </c>
      <c r="Q116" s="816"/>
      <c r="R116" s="813"/>
      <c r="S116" s="815"/>
      <c r="T116" s="831" t="s">
        <v>594</v>
      </c>
      <c r="U116" s="816"/>
      <c r="V116" s="813"/>
      <c r="W116" s="815"/>
      <c r="X116" s="816"/>
      <c r="Y116" s="816"/>
      <c r="Z116" s="813"/>
      <c r="AA116" s="815"/>
      <c r="AB116" s="816"/>
      <c r="AC116" s="816"/>
      <c r="AD116" s="816"/>
      <c r="AE116" s="815"/>
      <c r="AF116" s="816"/>
      <c r="AG116" s="816"/>
      <c r="AH116" s="818"/>
      <c r="AI116" s="819"/>
    </row>
    <row r="117" spans="1:35" ht="21.95" customHeight="1" thickBot="1">
      <c r="A117" s="576"/>
      <c r="B117" s="583"/>
      <c r="C117" s="555"/>
      <c r="D117" s="538"/>
      <c r="E117" s="538"/>
      <c r="F117" s="538"/>
      <c r="G117" s="538"/>
      <c r="H117" s="538"/>
      <c r="I117" s="555"/>
      <c r="J117" s="555"/>
      <c r="K117" s="538"/>
      <c r="L117" s="538"/>
      <c r="M117" s="538"/>
      <c r="N117" s="538"/>
      <c r="O117" s="538"/>
      <c r="P117" s="538"/>
      <c r="Q117" s="555"/>
      <c r="R117" s="538"/>
      <c r="S117" s="538"/>
      <c r="T117" s="538"/>
      <c r="U117" s="538"/>
      <c r="V117" s="538"/>
      <c r="W117" s="555"/>
      <c r="X117" s="555"/>
      <c r="Y117" s="538"/>
      <c r="Z117" s="538"/>
      <c r="AA117" s="538"/>
      <c r="AB117" s="538"/>
      <c r="AC117" s="538"/>
      <c r="AD117" s="538"/>
      <c r="AE117" s="555"/>
      <c r="AF117" s="538"/>
      <c r="AG117" s="538"/>
      <c r="AH117" s="556"/>
      <c r="AI117" s="556"/>
    </row>
    <row r="118" spans="1:35" ht="21.95" customHeight="1" thickBot="1">
      <c r="A118" s="785"/>
      <c r="B118" s="883" t="s">
        <v>476</v>
      </c>
      <c r="C118" s="946">
        <v>1</v>
      </c>
      <c r="D118" s="880">
        <v>2</v>
      </c>
      <c r="E118" s="880">
        <v>3</v>
      </c>
      <c r="F118" s="880">
        <v>4</v>
      </c>
      <c r="G118" s="880">
        <v>5</v>
      </c>
      <c r="H118" s="880">
        <v>6</v>
      </c>
      <c r="I118" s="863">
        <v>7</v>
      </c>
      <c r="J118" s="863">
        <v>8</v>
      </c>
      <c r="K118" s="863">
        <v>9</v>
      </c>
      <c r="L118" s="863">
        <v>10</v>
      </c>
      <c r="M118" s="880">
        <v>11</v>
      </c>
      <c r="N118" s="880">
        <v>12</v>
      </c>
      <c r="O118" s="863">
        <v>13</v>
      </c>
      <c r="P118" s="863">
        <v>14</v>
      </c>
      <c r="Q118" s="863">
        <v>15</v>
      </c>
      <c r="R118" s="863">
        <v>16</v>
      </c>
      <c r="S118" s="863">
        <v>17</v>
      </c>
      <c r="T118" s="880">
        <v>18</v>
      </c>
      <c r="U118" s="880">
        <v>19</v>
      </c>
      <c r="V118" s="863">
        <v>20</v>
      </c>
      <c r="W118" s="863">
        <v>21</v>
      </c>
      <c r="X118" s="863">
        <v>22</v>
      </c>
      <c r="Y118" s="863">
        <v>23</v>
      </c>
      <c r="Z118" s="863">
        <v>24</v>
      </c>
      <c r="AA118" s="880">
        <v>25</v>
      </c>
      <c r="AB118" s="880">
        <v>26</v>
      </c>
      <c r="AC118" s="863">
        <v>27</v>
      </c>
      <c r="AD118" s="863">
        <v>28</v>
      </c>
      <c r="AE118" s="863">
        <v>29</v>
      </c>
      <c r="AF118" s="863">
        <v>30</v>
      </c>
      <c r="AG118" s="945"/>
      <c r="AH118" s="884" t="s">
        <v>477</v>
      </c>
      <c r="AI118" s="885" t="s">
        <v>478</v>
      </c>
    </row>
    <row r="119" spans="1:35" ht="21.95" customHeight="1">
      <c r="A119" s="576"/>
      <c r="B119" s="881" t="s">
        <v>614</v>
      </c>
      <c r="C119" s="882" t="s">
        <v>591</v>
      </c>
      <c r="D119" s="882"/>
      <c r="E119" s="882"/>
      <c r="F119" s="882"/>
      <c r="G119" s="882"/>
      <c r="H119" s="882"/>
      <c r="I119" s="882" t="s">
        <v>591</v>
      </c>
      <c r="J119" s="882" t="s">
        <v>591</v>
      </c>
      <c r="K119" s="882" t="s">
        <v>591</v>
      </c>
      <c r="L119" s="882" t="s">
        <v>591</v>
      </c>
      <c r="M119" s="882"/>
      <c r="N119" s="882"/>
      <c r="O119" s="882" t="s">
        <v>591</v>
      </c>
      <c r="P119" s="882" t="s">
        <v>591</v>
      </c>
      <c r="Q119" s="882" t="s">
        <v>591</v>
      </c>
      <c r="R119" s="882" t="s">
        <v>591</v>
      </c>
      <c r="S119" s="882" t="s">
        <v>591</v>
      </c>
      <c r="T119" s="882"/>
      <c r="U119" s="882"/>
      <c r="V119" s="882" t="s">
        <v>591</v>
      </c>
      <c r="W119" s="882" t="s">
        <v>591</v>
      </c>
      <c r="X119" s="882" t="s">
        <v>591</v>
      </c>
      <c r="Y119" s="882" t="s">
        <v>591</v>
      </c>
      <c r="Z119" s="882" t="s">
        <v>591</v>
      </c>
      <c r="AA119" s="882"/>
      <c r="AB119" s="882"/>
      <c r="AC119" s="882" t="s">
        <v>591</v>
      </c>
      <c r="AD119" s="882" t="s">
        <v>591</v>
      </c>
      <c r="AE119" s="882" t="s">
        <v>591</v>
      </c>
      <c r="AF119" s="882" t="s">
        <v>591</v>
      </c>
      <c r="AG119" s="882"/>
      <c r="AH119" s="510">
        <v>0</v>
      </c>
      <c r="AI119" s="511">
        <v>37</v>
      </c>
    </row>
    <row r="120" spans="1:35" ht="21.95" customHeight="1">
      <c r="A120" s="576"/>
      <c r="B120" s="804" t="s">
        <v>615</v>
      </c>
      <c r="C120" s="837" t="s">
        <v>591</v>
      </c>
      <c r="D120" s="837"/>
      <c r="E120" s="837"/>
      <c r="F120" s="837"/>
      <c r="G120" s="837"/>
      <c r="H120" s="837"/>
      <c r="I120" s="837" t="s">
        <v>591</v>
      </c>
      <c r="J120" s="837" t="s">
        <v>591</v>
      </c>
      <c r="K120" s="837" t="s">
        <v>591</v>
      </c>
      <c r="L120" s="969" t="s">
        <v>591</v>
      </c>
      <c r="M120" s="837"/>
      <c r="N120" s="837"/>
      <c r="O120" s="969" t="s">
        <v>591</v>
      </c>
      <c r="P120" s="837" t="s">
        <v>591</v>
      </c>
      <c r="Q120" s="837" t="s">
        <v>591</v>
      </c>
      <c r="R120" s="882" t="s">
        <v>591</v>
      </c>
      <c r="S120" s="837" t="s">
        <v>591</v>
      </c>
      <c r="T120" s="837"/>
      <c r="U120" s="837"/>
      <c r="V120" s="837" t="s">
        <v>591</v>
      </c>
      <c r="W120" s="837" t="s">
        <v>591</v>
      </c>
      <c r="X120" s="837" t="s">
        <v>591</v>
      </c>
      <c r="Y120" s="837" t="s">
        <v>591</v>
      </c>
      <c r="Z120" s="837" t="s">
        <v>591</v>
      </c>
      <c r="AA120" s="837"/>
      <c r="AB120" s="837"/>
      <c r="AC120" s="837" t="s">
        <v>591</v>
      </c>
      <c r="AD120" s="837" t="s">
        <v>591</v>
      </c>
      <c r="AE120" s="837" t="s">
        <v>591</v>
      </c>
      <c r="AF120" s="837" t="s">
        <v>591</v>
      </c>
      <c r="AG120" s="837"/>
      <c r="AH120" s="924">
        <v>0</v>
      </c>
      <c r="AI120" s="925">
        <v>37</v>
      </c>
    </row>
    <row r="121" spans="1:35" ht="21.95" customHeight="1">
      <c r="A121" s="576"/>
      <c r="B121" s="804" t="s">
        <v>616</v>
      </c>
      <c r="C121" s="969" t="s">
        <v>596</v>
      </c>
      <c r="D121" s="837"/>
      <c r="E121" s="837"/>
      <c r="F121" s="837"/>
      <c r="G121" s="837"/>
      <c r="H121" s="837"/>
      <c r="I121" s="837" t="s">
        <v>596</v>
      </c>
      <c r="J121" s="837" t="s">
        <v>596</v>
      </c>
      <c r="K121" s="837" t="s">
        <v>596</v>
      </c>
      <c r="L121" s="837" t="s">
        <v>596</v>
      </c>
      <c r="M121" s="837"/>
      <c r="N121" s="837"/>
      <c r="O121" s="969" t="s">
        <v>596</v>
      </c>
      <c r="P121" s="969" t="s">
        <v>596</v>
      </c>
      <c r="Q121" s="969" t="s">
        <v>596</v>
      </c>
      <c r="R121" s="969" t="s">
        <v>596</v>
      </c>
      <c r="S121" s="969" t="s">
        <v>596</v>
      </c>
      <c r="T121" s="969"/>
      <c r="U121" s="969"/>
      <c r="V121" s="1321" t="s">
        <v>596</v>
      </c>
      <c r="W121" s="1321" t="s">
        <v>596</v>
      </c>
      <c r="X121" s="1321" t="s">
        <v>596</v>
      </c>
      <c r="Y121" s="1321" t="s">
        <v>596</v>
      </c>
      <c r="Z121" s="1321" t="s">
        <v>596</v>
      </c>
      <c r="AA121" s="1321"/>
      <c r="AB121" s="1321"/>
      <c r="AC121" s="1322" t="s">
        <v>596</v>
      </c>
      <c r="AD121" s="1322" t="s">
        <v>596</v>
      </c>
      <c r="AE121" s="1322" t="s">
        <v>596</v>
      </c>
      <c r="AF121" s="1322" t="s">
        <v>596</v>
      </c>
      <c r="AG121" s="837"/>
      <c r="AH121" s="924">
        <v>0</v>
      </c>
      <c r="AI121" s="925">
        <v>0</v>
      </c>
    </row>
    <row r="122" spans="1:35" ht="21.95" customHeight="1">
      <c r="A122" s="576"/>
      <c r="B122" s="804" t="s">
        <v>617</v>
      </c>
      <c r="C122" s="969" t="s">
        <v>598</v>
      </c>
      <c r="D122" s="837"/>
      <c r="E122" s="837"/>
      <c r="F122" s="837"/>
      <c r="G122" s="837"/>
      <c r="H122" s="837"/>
      <c r="I122" s="837" t="s">
        <v>598</v>
      </c>
      <c r="J122" s="837" t="s">
        <v>598</v>
      </c>
      <c r="K122" s="837" t="s">
        <v>598</v>
      </c>
      <c r="L122" s="837" t="s">
        <v>598</v>
      </c>
      <c r="M122" s="837"/>
      <c r="N122" s="837"/>
      <c r="O122" s="837" t="s">
        <v>598</v>
      </c>
      <c r="P122" s="837" t="s">
        <v>598</v>
      </c>
      <c r="Q122" s="837" t="s">
        <v>598</v>
      </c>
      <c r="R122" s="1023" t="s">
        <v>598</v>
      </c>
      <c r="S122" s="1023" t="s">
        <v>618</v>
      </c>
      <c r="T122" s="837"/>
      <c r="U122" s="837"/>
      <c r="V122" s="837" t="s">
        <v>598</v>
      </c>
      <c r="W122" s="837" t="s">
        <v>598</v>
      </c>
      <c r="X122" s="837" t="s">
        <v>598</v>
      </c>
      <c r="Y122" s="837" t="s">
        <v>598</v>
      </c>
      <c r="Z122" s="837" t="s">
        <v>598</v>
      </c>
      <c r="AA122" s="837"/>
      <c r="AB122" s="837"/>
      <c r="AC122" s="837" t="s">
        <v>598</v>
      </c>
      <c r="AD122" s="837" t="s">
        <v>598</v>
      </c>
      <c r="AE122" s="837" t="s">
        <v>598</v>
      </c>
      <c r="AF122" s="837" t="s">
        <v>598</v>
      </c>
      <c r="AG122" s="837"/>
      <c r="AH122" s="924">
        <v>0</v>
      </c>
      <c r="AI122" s="925">
        <v>37</v>
      </c>
    </row>
    <row r="123" spans="1:35" ht="21.95" customHeight="1">
      <c r="A123" s="576"/>
      <c r="B123" s="804" t="s">
        <v>619</v>
      </c>
      <c r="C123" s="837" t="s">
        <v>600</v>
      </c>
      <c r="D123" s="837"/>
      <c r="E123" s="837"/>
      <c r="F123" s="837"/>
      <c r="G123" s="837"/>
      <c r="H123" s="837"/>
      <c r="I123" s="837" t="s">
        <v>600</v>
      </c>
      <c r="J123" s="837" t="s">
        <v>600</v>
      </c>
      <c r="K123" s="837" t="s">
        <v>600</v>
      </c>
      <c r="L123" s="837" t="s">
        <v>600</v>
      </c>
      <c r="M123" s="837"/>
      <c r="N123" s="837"/>
      <c r="O123" s="837" t="s">
        <v>600</v>
      </c>
      <c r="P123" s="837" t="s">
        <v>600</v>
      </c>
      <c r="Q123" s="837" t="s">
        <v>600</v>
      </c>
      <c r="R123" s="837" t="s">
        <v>600</v>
      </c>
      <c r="S123" s="837" t="s">
        <v>600</v>
      </c>
      <c r="T123" s="837"/>
      <c r="U123" s="837"/>
      <c r="V123" s="837" t="s">
        <v>600</v>
      </c>
      <c r="W123" s="837" t="s">
        <v>600</v>
      </c>
      <c r="X123" s="837" t="s">
        <v>600</v>
      </c>
      <c r="Y123" s="837" t="s">
        <v>600</v>
      </c>
      <c r="Z123" s="837" t="s">
        <v>600</v>
      </c>
      <c r="AA123" s="837"/>
      <c r="AB123" s="837"/>
      <c r="AC123" s="837" t="s">
        <v>600</v>
      </c>
      <c r="AD123" s="837" t="s">
        <v>600</v>
      </c>
      <c r="AE123" s="837" t="s">
        <v>600</v>
      </c>
      <c r="AF123" s="837" t="s">
        <v>600</v>
      </c>
      <c r="AG123" s="837"/>
      <c r="AH123" s="924">
        <v>5</v>
      </c>
      <c r="AI123" s="925">
        <v>0</v>
      </c>
    </row>
    <row r="124" spans="1:35" ht="21.95" customHeight="1">
      <c r="A124" s="576"/>
      <c r="B124" s="804" t="s">
        <v>621</v>
      </c>
      <c r="C124" s="837" t="s">
        <v>602</v>
      </c>
      <c r="D124" s="837"/>
      <c r="E124" s="837"/>
      <c r="F124" s="837"/>
      <c r="G124" s="837"/>
      <c r="H124" s="837"/>
      <c r="I124" s="837" t="s">
        <v>602</v>
      </c>
      <c r="J124" s="837" t="s">
        <v>602</v>
      </c>
      <c r="K124" s="837" t="s">
        <v>602</v>
      </c>
      <c r="L124" s="837" t="s">
        <v>602</v>
      </c>
      <c r="M124" s="837"/>
      <c r="N124" s="837"/>
      <c r="O124" s="837" t="s">
        <v>602</v>
      </c>
      <c r="P124" s="837" t="s">
        <v>602</v>
      </c>
      <c r="Q124" s="837" t="s">
        <v>602</v>
      </c>
      <c r="R124" s="837" t="s">
        <v>602</v>
      </c>
      <c r="S124" s="837" t="s">
        <v>602</v>
      </c>
      <c r="T124" s="837"/>
      <c r="U124" s="837"/>
      <c r="V124" s="837" t="s">
        <v>602</v>
      </c>
      <c r="W124" s="1023" t="s">
        <v>772</v>
      </c>
      <c r="X124" s="837" t="s">
        <v>602</v>
      </c>
      <c r="Y124" s="837" t="s">
        <v>602</v>
      </c>
      <c r="Z124" s="837" t="s">
        <v>602</v>
      </c>
      <c r="AA124" s="837"/>
      <c r="AB124" s="837"/>
      <c r="AC124" s="837" t="s">
        <v>602</v>
      </c>
      <c r="AD124" s="837" t="s">
        <v>602</v>
      </c>
      <c r="AE124" s="837" t="s">
        <v>602</v>
      </c>
      <c r="AF124" s="837" t="s">
        <v>602</v>
      </c>
      <c r="AG124" s="837"/>
      <c r="AH124" s="924">
        <v>3</v>
      </c>
      <c r="AI124" s="925">
        <v>0</v>
      </c>
    </row>
    <row r="125" spans="1:35" ht="21.95" customHeight="1">
      <c r="A125" s="576"/>
      <c r="B125" s="804" t="s">
        <v>622</v>
      </c>
      <c r="C125" s="837" t="s">
        <v>604</v>
      </c>
      <c r="D125" s="837"/>
      <c r="E125" s="837"/>
      <c r="F125" s="837"/>
      <c r="G125" s="837"/>
      <c r="H125" s="969"/>
      <c r="I125" s="969" t="s">
        <v>604</v>
      </c>
      <c r="J125" s="969" t="s">
        <v>604</v>
      </c>
      <c r="K125" s="969" t="s">
        <v>604</v>
      </c>
      <c r="L125" s="969" t="s">
        <v>604</v>
      </c>
      <c r="M125" s="969"/>
      <c r="N125" s="969"/>
      <c r="O125" s="837" t="s">
        <v>604</v>
      </c>
      <c r="P125" s="837" t="s">
        <v>604</v>
      </c>
      <c r="Q125" s="837" t="s">
        <v>604</v>
      </c>
      <c r="R125" s="837" t="s">
        <v>604</v>
      </c>
      <c r="S125" s="837" t="s">
        <v>604</v>
      </c>
      <c r="T125" s="837"/>
      <c r="U125" s="837"/>
      <c r="V125" s="837" t="s">
        <v>604</v>
      </c>
      <c r="W125" s="837" t="s">
        <v>604</v>
      </c>
      <c r="X125" s="837" t="s">
        <v>604</v>
      </c>
      <c r="Y125" s="837" t="s">
        <v>604</v>
      </c>
      <c r="Z125" s="837" t="s">
        <v>604</v>
      </c>
      <c r="AA125" s="837"/>
      <c r="AB125" s="837"/>
      <c r="AC125" s="837" t="s">
        <v>604</v>
      </c>
      <c r="AD125" s="837" t="s">
        <v>604</v>
      </c>
      <c r="AE125" s="837" t="s">
        <v>604</v>
      </c>
      <c r="AF125" s="837" t="s">
        <v>604</v>
      </c>
      <c r="AG125" s="837"/>
      <c r="AH125" s="924">
        <v>8</v>
      </c>
      <c r="AI125" s="925">
        <v>37</v>
      </c>
    </row>
    <row r="126" spans="1:35" ht="21.95" customHeight="1">
      <c r="A126" s="576"/>
      <c r="B126" s="804" t="s">
        <v>623</v>
      </c>
      <c r="C126" s="837" t="s">
        <v>606</v>
      </c>
      <c r="D126" s="837"/>
      <c r="E126" s="837"/>
      <c r="F126" s="837"/>
      <c r="G126" s="837"/>
      <c r="H126" s="837"/>
      <c r="I126" s="837" t="s">
        <v>606</v>
      </c>
      <c r="J126" s="837" t="s">
        <v>606</v>
      </c>
      <c r="K126" s="837" t="s">
        <v>606</v>
      </c>
      <c r="L126" s="837" t="s">
        <v>606</v>
      </c>
      <c r="M126" s="837"/>
      <c r="N126" s="837"/>
      <c r="O126" s="837" t="s">
        <v>606</v>
      </c>
      <c r="P126" s="837" t="s">
        <v>606</v>
      </c>
      <c r="Q126" s="837" t="s">
        <v>606</v>
      </c>
      <c r="R126" s="837" t="s">
        <v>606</v>
      </c>
      <c r="S126" s="837" t="s">
        <v>606</v>
      </c>
      <c r="T126" s="837"/>
      <c r="U126" s="837"/>
      <c r="V126" s="837" t="s">
        <v>606</v>
      </c>
      <c r="W126" s="837" t="s">
        <v>606</v>
      </c>
      <c r="X126" s="837" t="s">
        <v>606</v>
      </c>
      <c r="Y126" s="837" t="s">
        <v>606</v>
      </c>
      <c r="Z126" s="837" t="s">
        <v>606</v>
      </c>
      <c r="AA126" s="837"/>
      <c r="AB126" s="837"/>
      <c r="AC126" s="837" t="s">
        <v>606</v>
      </c>
      <c r="AD126" s="837" t="s">
        <v>606</v>
      </c>
      <c r="AE126" s="1125" t="s">
        <v>606</v>
      </c>
      <c r="AF126" s="1125" t="s">
        <v>606</v>
      </c>
      <c r="AG126" s="837"/>
      <c r="AH126" s="924">
        <v>0</v>
      </c>
      <c r="AI126" s="925">
        <v>6</v>
      </c>
    </row>
    <row r="127" spans="1:35" ht="21.95" customHeight="1">
      <c r="A127" s="576"/>
      <c r="B127" s="804" t="s">
        <v>624</v>
      </c>
      <c r="C127" s="1006" t="s">
        <v>607</v>
      </c>
      <c r="D127" s="837"/>
      <c r="E127" s="837"/>
      <c r="F127" s="837"/>
      <c r="G127" s="837"/>
      <c r="H127" s="837"/>
      <c r="I127" s="837" t="s">
        <v>607</v>
      </c>
      <c r="J127" s="837" t="s">
        <v>607</v>
      </c>
      <c r="K127" s="837" t="s">
        <v>607</v>
      </c>
      <c r="L127" s="837" t="s">
        <v>607</v>
      </c>
      <c r="M127" s="837"/>
      <c r="N127" s="837"/>
      <c r="O127" s="837" t="s">
        <v>607</v>
      </c>
      <c r="P127" s="837" t="s">
        <v>607</v>
      </c>
      <c r="Q127" s="837" t="s">
        <v>607</v>
      </c>
      <c r="R127" s="837" t="s">
        <v>607</v>
      </c>
      <c r="S127" s="837" t="s">
        <v>607</v>
      </c>
      <c r="T127" s="837"/>
      <c r="U127" s="837"/>
      <c r="V127" s="1023" t="s">
        <v>607</v>
      </c>
      <c r="W127" s="1023" t="s">
        <v>607</v>
      </c>
      <c r="X127" s="1023" t="s">
        <v>607</v>
      </c>
      <c r="Y127" s="1023" t="s">
        <v>625</v>
      </c>
      <c r="Z127" s="837" t="s">
        <v>607</v>
      </c>
      <c r="AA127" s="837"/>
      <c r="AB127" s="837"/>
      <c r="AC127" s="837" t="s">
        <v>607</v>
      </c>
      <c r="AD127" s="837" t="s">
        <v>607</v>
      </c>
      <c r="AE127" s="837" t="s">
        <v>607</v>
      </c>
      <c r="AF127" s="837" t="s">
        <v>607</v>
      </c>
      <c r="AG127" s="837"/>
      <c r="AH127" s="924">
        <v>0</v>
      </c>
      <c r="AI127" s="925">
        <v>37</v>
      </c>
    </row>
    <row r="128" spans="1:35" ht="21.95" customHeight="1">
      <c r="A128" s="576"/>
      <c r="B128" s="804" t="s">
        <v>626</v>
      </c>
      <c r="C128" s="837" t="s">
        <v>609</v>
      </c>
      <c r="D128" s="837"/>
      <c r="E128" s="837"/>
      <c r="F128" s="837"/>
      <c r="G128" s="837"/>
      <c r="H128" s="837"/>
      <c r="I128" s="837" t="s">
        <v>609</v>
      </c>
      <c r="J128" s="837" t="s">
        <v>609</v>
      </c>
      <c r="K128" s="837" t="s">
        <v>609</v>
      </c>
      <c r="L128" s="969" t="s">
        <v>609</v>
      </c>
      <c r="M128" s="837"/>
      <c r="N128" s="837"/>
      <c r="O128" s="837" t="s">
        <v>609</v>
      </c>
      <c r="P128" s="837" t="s">
        <v>609</v>
      </c>
      <c r="Q128" s="837" t="s">
        <v>609</v>
      </c>
      <c r="R128" s="837" t="s">
        <v>609</v>
      </c>
      <c r="S128" s="837" t="s">
        <v>609</v>
      </c>
      <c r="T128" s="837"/>
      <c r="U128" s="837"/>
      <c r="V128" s="1023" t="s">
        <v>609</v>
      </c>
      <c r="W128" s="1023" t="s">
        <v>609</v>
      </c>
      <c r="X128" s="1023" t="s">
        <v>609</v>
      </c>
      <c r="Y128" s="1023" t="s">
        <v>609</v>
      </c>
      <c r="Z128" s="1023" t="s">
        <v>759</v>
      </c>
      <c r="AA128" s="837"/>
      <c r="AB128" s="837"/>
      <c r="AC128" s="837" t="s">
        <v>609</v>
      </c>
      <c r="AD128" s="837" t="s">
        <v>609</v>
      </c>
      <c r="AE128" s="837" t="s">
        <v>609</v>
      </c>
      <c r="AF128" s="837" t="s">
        <v>609</v>
      </c>
      <c r="AG128" s="837"/>
      <c r="AH128" s="924">
        <v>6</v>
      </c>
      <c r="AI128" s="925">
        <v>0</v>
      </c>
    </row>
    <row r="129" spans="1:40" ht="21.95" customHeight="1">
      <c r="A129" s="576"/>
      <c r="B129" s="804" t="s">
        <v>627</v>
      </c>
      <c r="C129" s="969" t="s">
        <v>611</v>
      </c>
      <c r="D129" s="969"/>
      <c r="E129" s="969"/>
      <c r="F129" s="969"/>
      <c r="G129" s="969"/>
      <c r="H129" s="969"/>
      <c r="I129" s="969" t="s">
        <v>611</v>
      </c>
      <c r="J129" s="969" t="s">
        <v>611</v>
      </c>
      <c r="K129" s="969" t="s">
        <v>611</v>
      </c>
      <c r="L129" s="969" t="s">
        <v>611</v>
      </c>
      <c r="M129" s="969"/>
      <c r="N129" s="969"/>
      <c r="O129" s="837" t="s">
        <v>611</v>
      </c>
      <c r="P129" s="837" t="s">
        <v>611</v>
      </c>
      <c r="Q129" s="837" t="s">
        <v>611</v>
      </c>
      <c r="R129" s="837" t="s">
        <v>611</v>
      </c>
      <c r="S129" s="837" t="s">
        <v>611</v>
      </c>
      <c r="T129" s="837"/>
      <c r="U129" s="837"/>
      <c r="V129" s="1320" t="s">
        <v>611</v>
      </c>
      <c r="W129" s="837" t="s">
        <v>611</v>
      </c>
      <c r="X129" s="837" t="s">
        <v>611</v>
      </c>
      <c r="Y129" s="837" t="s">
        <v>611</v>
      </c>
      <c r="Z129" s="837" t="s">
        <v>611</v>
      </c>
      <c r="AA129" s="837"/>
      <c r="AB129" s="837"/>
      <c r="AC129" s="837" t="s">
        <v>611</v>
      </c>
      <c r="AD129" s="837" t="s">
        <v>611</v>
      </c>
      <c r="AE129" s="837" t="s">
        <v>611</v>
      </c>
      <c r="AF129" s="837" t="s">
        <v>611</v>
      </c>
      <c r="AG129" s="837"/>
      <c r="AH129" s="924">
        <v>0</v>
      </c>
      <c r="AI129" s="925">
        <v>32</v>
      </c>
    </row>
    <row r="130" spans="1:40" ht="21.95" customHeight="1" thickBot="1">
      <c r="A130" s="576"/>
      <c r="B130" s="886" t="s">
        <v>629</v>
      </c>
      <c r="C130" s="887" t="s">
        <v>613</v>
      </c>
      <c r="D130" s="887"/>
      <c r="E130" s="887"/>
      <c r="F130" s="887"/>
      <c r="G130" s="887"/>
      <c r="H130" s="887"/>
      <c r="I130" s="887" t="s">
        <v>613</v>
      </c>
      <c r="J130" s="887" t="s">
        <v>613</v>
      </c>
      <c r="K130" s="887" t="s">
        <v>613</v>
      </c>
      <c r="L130" s="887" t="s">
        <v>613</v>
      </c>
      <c r="M130" s="887"/>
      <c r="N130" s="887"/>
      <c r="O130" s="887" t="s">
        <v>613</v>
      </c>
      <c r="P130" s="887" t="s">
        <v>613</v>
      </c>
      <c r="Q130" s="887" t="s">
        <v>613</v>
      </c>
      <c r="R130" s="887" t="s">
        <v>613</v>
      </c>
      <c r="S130" s="887" t="s">
        <v>613</v>
      </c>
      <c r="T130" s="887"/>
      <c r="U130" s="887"/>
      <c r="V130" s="887" t="s">
        <v>613</v>
      </c>
      <c r="W130" s="887" t="s">
        <v>613</v>
      </c>
      <c r="X130" s="887" t="s">
        <v>613</v>
      </c>
      <c r="Y130" s="887" t="s">
        <v>613</v>
      </c>
      <c r="Z130" s="1278" t="s">
        <v>613</v>
      </c>
      <c r="AA130" s="887"/>
      <c r="AB130" s="887"/>
      <c r="AC130" s="1278" t="s">
        <v>613</v>
      </c>
      <c r="AD130" s="887" t="s">
        <v>613</v>
      </c>
      <c r="AE130" s="887" t="s">
        <v>613</v>
      </c>
      <c r="AF130" s="887" t="s">
        <v>613</v>
      </c>
      <c r="AG130" s="887"/>
      <c r="AH130" s="868">
        <v>0</v>
      </c>
      <c r="AI130" s="869">
        <v>6</v>
      </c>
    </row>
    <row r="131" spans="1:40" ht="21.95" customHeight="1">
      <c r="A131" s="576"/>
      <c r="B131" s="847"/>
      <c r="C131" s="555"/>
      <c r="D131" s="555"/>
      <c r="E131" s="555"/>
      <c r="F131" s="555"/>
      <c r="G131" s="555"/>
      <c r="H131" s="555"/>
      <c r="I131" s="555"/>
      <c r="J131" s="555"/>
      <c r="K131" s="555"/>
      <c r="L131" s="555"/>
      <c r="M131" s="555"/>
      <c r="N131" s="555"/>
      <c r="O131" s="555"/>
      <c r="P131" s="555"/>
      <c r="Q131" s="555"/>
      <c r="R131" s="555"/>
      <c r="S131" s="555"/>
      <c r="T131" s="555"/>
      <c r="U131" s="555"/>
      <c r="V131" s="555"/>
      <c r="W131" s="555"/>
      <c r="X131" s="555"/>
      <c r="Y131" s="555"/>
      <c r="Z131" s="555"/>
      <c r="AA131" s="555"/>
      <c r="AB131" s="555"/>
      <c r="AC131" s="555"/>
      <c r="AD131" s="555"/>
      <c r="AE131" s="555"/>
      <c r="AF131" s="555"/>
      <c r="AG131" s="555"/>
      <c r="AH131" s="556"/>
      <c r="AI131" s="556"/>
    </row>
    <row r="132" spans="1:40" ht="21.95" customHeight="1" thickBot="1">
      <c r="A132" s="805" t="s">
        <v>630</v>
      </c>
      <c r="B132" s="538" t="s">
        <v>776</v>
      </c>
      <c r="C132" s="555"/>
      <c r="D132" s="538"/>
      <c r="E132" s="538"/>
      <c r="F132" s="538"/>
      <c r="G132" s="538"/>
      <c r="H132" s="538"/>
      <c r="I132" s="555"/>
      <c r="J132" s="555"/>
      <c r="K132" s="538"/>
      <c r="L132" s="538"/>
      <c r="M132" s="538"/>
      <c r="N132" s="538"/>
      <c r="O132" s="538"/>
      <c r="P132" s="538"/>
      <c r="Q132" s="555"/>
      <c r="R132" s="538"/>
      <c r="S132" s="538"/>
      <c r="T132" s="538"/>
      <c r="U132" s="538"/>
      <c r="V132" s="538"/>
      <c r="W132" s="555"/>
      <c r="X132" s="555"/>
      <c r="Y132" s="538"/>
      <c r="Z132" s="538"/>
      <c r="AA132" s="538"/>
      <c r="AB132" s="538"/>
      <c r="AC132" s="538"/>
      <c r="AD132" s="538"/>
      <c r="AE132" s="555"/>
      <c r="AF132" s="538"/>
      <c r="AG132" s="538"/>
      <c r="AH132" s="556"/>
      <c r="AI132" s="556"/>
    </row>
    <row r="133" spans="1:40" ht="21.95" customHeight="1">
      <c r="A133" s="576"/>
      <c r="B133" s="806" t="s">
        <v>589</v>
      </c>
      <c r="C133" s="814"/>
      <c r="D133" s="807" t="s">
        <v>2</v>
      </c>
      <c r="E133" s="808"/>
      <c r="F133" s="809"/>
      <c r="G133" s="810"/>
      <c r="H133" s="807" t="s">
        <v>3</v>
      </c>
      <c r="I133" s="808"/>
      <c r="J133" s="809"/>
      <c r="K133" s="810"/>
      <c r="L133" s="807" t="s">
        <v>4</v>
      </c>
      <c r="M133" s="808"/>
      <c r="N133" s="809"/>
      <c r="O133" s="810"/>
      <c r="P133" s="807" t="s">
        <v>5</v>
      </c>
      <c r="Q133" s="808"/>
      <c r="R133" s="809"/>
      <c r="S133" s="810"/>
      <c r="T133" s="807" t="s">
        <v>6</v>
      </c>
      <c r="U133" s="808"/>
      <c r="V133" s="809"/>
      <c r="W133" s="810"/>
      <c r="X133" s="807" t="s">
        <v>7</v>
      </c>
      <c r="Y133" s="808"/>
      <c r="Z133" s="809"/>
      <c r="AA133" s="810"/>
      <c r="AB133" s="807" t="s">
        <v>8</v>
      </c>
      <c r="AC133" s="808"/>
      <c r="AD133" s="808"/>
      <c r="AE133" s="811" t="s">
        <v>10</v>
      </c>
      <c r="AF133" s="808"/>
      <c r="AG133" s="808"/>
      <c r="AH133" s="808"/>
      <c r="AI133" s="812"/>
    </row>
    <row r="134" spans="1:40" ht="21.95" customHeight="1">
      <c r="A134" s="576"/>
      <c r="B134" s="832"/>
      <c r="C134" s="815"/>
      <c r="D134" s="831"/>
      <c r="E134" s="816"/>
      <c r="F134" s="813"/>
      <c r="G134" s="815"/>
      <c r="H134" s="831"/>
      <c r="I134" s="816"/>
      <c r="J134" s="813"/>
      <c r="K134" s="815"/>
      <c r="L134" s="831"/>
      <c r="M134" s="816"/>
      <c r="N134" s="813"/>
      <c r="O134" s="815"/>
      <c r="P134" s="831"/>
      <c r="Q134" s="816"/>
      <c r="R134" s="813"/>
      <c r="S134" s="815"/>
      <c r="T134" s="831"/>
      <c r="U134" s="816"/>
      <c r="V134" s="813"/>
      <c r="W134" s="815"/>
      <c r="X134" s="816"/>
      <c r="Y134" s="816"/>
      <c r="Z134" s="813"/>
      <c r="AA134" s="815"/>
      <c r="AB134" s="816"/>
      <c r="AC134" s="816"/>
      <c r="AD134" s="816"/>
      <c r="AE134" s="815"/>
      <c r="AF134" s="816"/>
      <c r="AG134" s="816"/>
      <c r="AH134" s="818"/>
      <c r="AI134" s="819"/>
    </row>
    <row r="135" spans="1:40" ht="21.95" customHeight="1">
      <c r="A135" s="576"/>
      <c r="B135" s="833"/>
      <c r="C135" s="815"/>
      <c r="D135" s="831"/>
      <c r="E135" s="816"/>
      <c r="F135" s="813"/>
      <c r="G135" s="815"/>
      <c r="H135" s="831"/>
      <c r="I135" s="816"/>
      <c r="J135" s="813"/>
      <c r="K135" s="815"/>
      <c r="L135" s="831"/>
      <c r="M135" s="816"/>
      <c r="N135" s="813"/>
      <c r="O135" s="815"/>
      <c r="P135" s="831"/>
      <c r="Q135" s="816"/>
      <c r="R135" s="813"/>
      <c r="S135" s="815"/>
      <c r="T135" s="831"/>
      <c r="U135" s="816"/>
      <c r="V135" s="813"/>
      <c r="W135" s="815"/>
      <c r="X135" s="816"/>
      <c r="Y135" s="816"/>
      <c r="Z135" s="813"/>
      <c r="AA135" s="815"/>
      <c r="AB135" s="816"/>
      <c r="AC135" s="816"/>
      <c r="AD135" s="816"/>
      <c r="AE135" s="815"/>
      <c r="AF135" s="816"/>
      <c r="AG135" s="816"/>
      <c r="AH135" s="818"/>
      <c r="AI135" s="819"/>
    </row>
    <row r="136" spans="1:40" ht="21.95" customHeight="1">
      <c r="A136" s="576"/>
      <c r="B136" s="833"/>
      <c r="C136" s="815"/>
      <c r="D136" s="831"/>
      <c r="E136" s="816"/>
      <c r="F136" s="813"/>
      <c r="G136" s="815"/>
      <c r="H136" s="831"/>
      <c r="I136" s="816"/>
      <c r="J136" s="813"/>
      <c r="K136" s="815"/>
      <c r="L136" s="831"/>
      <c r="M136" s="816"/>
      <c r="N136" s="813"/>
      <c r="O136" s="815"/>
      <c r="P136" s="831"/>
      <c r="Q136" s="816"/>
      <c r="R136" s="813"/>
      <c r="S136" s="815"/>
      <c r="T136" s="831"/>
      <c r="U136" s="816"/>
      <c r="V136" s="813"/>
      <c r="W136" s="815"/>
      <c r="X136" s="816"/>
      <c r="Y136" s="816"/>
      <c r="Z136" s="813"/>
      <c r="AA136" s="815"/>
      <c r="AB136" s="816"/>
      <c r="AC136" s="816"/>
      <c r="AD136" s="816"/>
      <c r="AE136" s="815"/>
      <c r="AF136" s="816"/>
      <c r="AG136" s="816"/>
      <c r="AH136" s="818"/>
      <c r="AI136" s="819"/>
    </row>
    <row r="137" spans="1:40" ht="21.75" customHeight="1" thickBot="1">
      <c r="A137" s="576"/>
      <c r="B137" s="847"/>
      <c r="C137" s="555"/>
      <c r="D137" s="555"/>
      <c r="E137" s="555"/>
      <c r="F137" s="555"/>
      <c r="G137" s="555"/>
      <c r="H137" s="555"/>
      <c r="I137" s="555"/>
      <c r="J137" s="555"/>
      <c r="K137" s="555"/>
      <c r="L137" s="555"/>
      <c r="M137" s="555"/>
      <c r="N137" s="555"/>
      <c r="O137" s="555"/>
      <c r="P137" s="555"/>
      <c r="Q137" s="555"/>
      <c r="R137" s="555"/>
      <c r="S137" s="555"/>
      <c r="T137" s="555"/>
      <c r="U137" s="555"/>
      <c r="V137" s="555"/>
      <c r="W137" s="555"/>
      <c r="X137" s="555"/>
      <c r="Y137" s="555"/>
      <c r="Z137" s="555"/>
      <c r="AA137" s="555"/>
      <c r="AB137" s="555"/>
      <c r="AC137" s="555"/>
      <c r="AD137" s="555"/>
      <c r="AE137" s="555"/>
      <c r="AF137" s="555"/>
      <c r="AG137" s="555"/>
      <c r="AH137" s="556"/>
      <c r="AI137" s="556"/>
    </row>
    <row r="138" spans="1:40" ht="21.95" customHeight="1" thickBot="1">
      <c r="A138" s="785"/>
      <c r="B138" s="883" t="s">
        <v>476</v>
      </c>
      <c r="C138" s="863">
        <v>1</v>
      </c>
      <c r="D138" s="880">
        <v>2</v>
      </c>
      <c r="E138" s="880">
        <v>3</v>
      </c>
      <c r="F138" s="880">
        <v>4</v>
      </c>
      <c r="G138" s="880">
        <v>5</v>
      </c>
      <c r="H138" s="880">
        <v>6</v>
      </c>
      <c r="I138" s="863">
        <v>7</v>
      </c>
      <c r="J138" s="863">
        <v>8</v>
      </c>
      <c r="K138" s="863">
        <v>9</v>
      </c>
      <c r="L138" s="863">
        <v>10</v>
      </c>
      <c r="M138" s="880">
        <v>11</v>
      </c>
      <c r="N138" s="880">
        <v>12</v>
      </c>
      <c r="O138" s="863">
        <v>13</v>
      </c>
      <c r="P138" s="863">
        <v>14</v>
      </c>
      <c r="Q138" s="863">
        <v>15</v>
      </c>
      <c r="R138" s="863">
        <v>16</v>
      </c>
      <c r="S138" s="863">
        <v>17</v>
      </c>
      <c r="T138" s="880">
        <v>18</v>
      </c>
      <c r="U138" s="880">
        <v>19</v>
      </c>
      <c r="V138" s="863">
        <v>20</v>
      </c>
      <c r="W138" s="863">
        <v>21</v>
      </c>
      <c r="X138" s="863">
        <v>22</v>
      </c>
      <c r="Y138" s="863">
        <v>23</v>
      </c>
      <c r="Z138" s="863">
        <v>24</v>
      </c>
      <c r="AA138" s="880">
        <v>25</v>
      </c>
      <c r="AB138" s="880">
        <v>26</v>
      </c>
      <c r="AC138" s="863">
        <v>27</v>
      </c>
      <c r="AD138" s="863">
        <v>28</v>
      </c>
      <c r="AE138" s="863">
        <v>29</v>
      </c>
      <c r="AF138" s="863">
        <v>30</v>
      </c>
      <c r="AG138" s="945"/>
      <c r="AH138" s="884" t="s">
        <v>477</v>
      </c>
      <c r="AI138" s="885" t="s">
        <v>478</v>
      </c>
    </row>
    <row r="139" spans="1:40" ht="21.95" customHeight="1">
      <c r="A139" s="576"/>
      <c r="B139" s="888" t="s">
        <v>632</v>
      </c>
      <c r="C139" s="768" t="s">
        <v>491</v>
      </c>
      <c r="D139" s="768"/>
      <c r="E139" s="768"/>
      <c r="F139" s="768"/>
      <c r="G139" s="768"/>
      <c r="H139" s="768"/>
      <c r="I139" s="768" t="s">
        <v>491</v>
      </c>
      <c r="J139" s="768" t="s">
        <v>491</v>
      </c>
      <c r="K139" s="768" t="s">
        <v>491</v>
      </c>
      <c r="L139" s="768" t="s">
        <v>491</v>
      </c>
      <c r="M139" s="768"/>
      <c r="N139" s="768"/>
      <c r="O139" s="768" t="s">
        <v>491</v>
      </c>
      <c r="P139" s="768" t="s">
        <v>491</v>
      </c>
      <c r="Q139" s="768" t="s">
        <v>491</v>
      </c>
      <c r="R139" s="768" t="s">
        <v>491</v>
      </c>
      <c r="S139" s="768" t="s">
        <v>491</v>
      </c>
      <c r="T139" s="768"/>
      <c r="U139" s="768"/>
      <c r="V139" s="970" t="s">
        <v>491</v>
      </c>
      <c r="W139" s="970" t="s">
        <v>491</v>
      </c>
      <c r="X139" s="970" t="s">
        <v>491</v>
      </c>
      <c r="Y139" s="970" t="s">
        <v>491</v>
      </c>
      <c r="Z139" s="970" t="s">
        <v>491</v>
      </c>
      <c r="AA139" s="970"/>
      <c r="AB139" s="970"/>
      <c r="AC139" s="768" t="s">
        <v>491</v>
      </c>
      <c r="AD139" s="768" t="s">
        <v>491</v>
      </c>
      <c r="AE139" s="768" t="s">
        <v>491</v>
      </c>
      <c r="AF139" s="768" t="s">
        <v>491</v>
      </c>
      <c r="AG139" s="882"/>
      <c r="AH139" s="510">
        <v>17</v>
      </c>
      <c r="AI139" s="511">
        <v>37</v>
      </c>
    </row>
    <row r="140" spans="1:40" ht="21.95" customHeight="1">
      <c r="A140" s="576"/>
      <c r="B140" s="858" t="s">
        <v>633</v>
      </c>
      <c r="C140" s="768" t="s">
        <v>491</v>
      </c>
      <c r="D140" s="768"/>
      <c r="E140" s="768"/>
      <c r="F140" s="768"/>
      <c r="G140" s="768"/>
      <c r="H140" s="768"/>
      <c r="I140" s="768" t="s">
        <v>491</v>
      </c>
      <c r="J140" s="768" t="s">
        <v>491</v>
      </c>
      <c r="K140" s="768" t="s">
        <v>491</v>
      </c>
      <c r="L140" s="768" t="s">
        <v>491</v>
      </c>
      <c r="M140" s="768"/>
      <c r="N140" s="768"/>
      <c r="O140" s="768" t="s">
        <v>491</v>
      </c>
      <c r="P140" s="768" t="s">
        <v>491</v>
      </c>
      <c r="Q140" s="768" t="s">
        <v>491</v>
      </c>
      <c r="R140" s="768" t="s">
        <v>491</v>
      </c>
      <c r="S140" s="768" t="s">
        <v>491</v>
      </c>
      <c r="T140" s="768"/>
      <c r="U140" s="768"/>
      <c r="V140" s="768" t="s">
        <v>491</v>
      </c>
      <c r="W140" s="768" t="s">
        <v>491</v>
      </c>
      <c r="X140" s="768" t="s">
        <v>491</v>
      </c>
      <c r="Y140" s="768" t="s">
        <v>491</v>
      </c>
      <c r="Z140" s="768" t="s">
        <v>491</v>
      </c>
      <c r="AA140" s="768"/>
      <c r="AB140" s="768"/>
      <c r="AC140" s="768" t="s">
        <v>491</v>
      </c>
      <c r="AD140" s="768" t="s">
        <v>491</v>
      </c>
      <c r="AE140" s="768" t="s">
        <v>491</v>
      </c>
      <c r="AF140" s="768" t="s">
        <v>491</v>
      </c>
      <c r="AG140" s="837"/>
      <c r="AH140" s="924">
        <v>0</v>
      </c>
      <c r="AI140" s="925">
        <v>0</v>
      </c>
    </row>
    <row r="141" spans="1:40" ht="21.95" customHeight="1">
      <c r="A141" s="576"/>
      <c r="B141" s="858" t="s">
        <v>634</v>
      </c>
      <c r="C141" s="970" t="s">
        <v>491</v>
      </c>
      <c r="D141" s="768"/>
      <c r="E141" s="768"/>
      <c r="F141" s="768"/>
      <c r="G141" s="768"/>
      <c r="H141" s="768"/>
      <c r="I141" s="980" t="s">
        <v>491</v>
      </c>
      <c r="J141" s="980" t="s">
        <v>491</v>
      </c>
      <c r="K141" s="980" t="s">
        <v>491</v>
      </c>
      <c r="L141" s="980" t="s">
        <v>491</v>
      </c>
      <c r="M141" s="980"/>
      <c r="N141" s="980"/>
      <c r="O141" s="980" t="s">
        <v>491</v>
      </c>
      <c r="P141" s="970" t="s">
        <v>491</v>
      </c>
      <c r="Q141" s="970" t="s">
        <v>491</v>
      </c>
      <c r="R141" s="970" t="s">
        <v>491</v>
      </c>
      <c r="S141" s="970" t="s">
        <v>491</v>
      </c>
      <c r="T141" s="768"/>
      <c r="U141" s="768"/>
      <c r="V141" s="768" t="s">
        <v>491</v>
      </c>
      <c r="W141" s="768" t="s">
        <v>491</v>
      </c>
      <c r="X141" s="768" t="s">
        <v>491</v>
      </c>
      <c r="Y141" s="768" t="s">
        <v>491</v>
      </c>
      <c r="Z141" s="768" t="s">
        <v>491</v>
      </c>
      <c r="AA141" s="768"/>
      <c r="AB141" s="768"/>
      <c r="AC141" s="970" t="s">
        <v>491</v>
      </c>
      <c r="AD141" s="970" t="s">
        <v>491</v>
      </c>
      <c r="AE141" s="970" t="s">
        <v>491</v>
      </c>
      <c r="AF141" s="970" t="s">
        <v>491</v>
      </c>
      <c r="AG141" s="837"/>
      <c r="AH141" s="924">
        <v>0</v>
      </c>
      <c r="AI141" s="925">
        <v>0</v>
      </c>
    </row>
    <row r="142" spans="1:40" ht="21.95" customHeight="1">
      <c r="A142" s="576"/>
      <c r="B142" s="859" t="s">
        <v>638</v>
      </c>
      <c r="C142" s="977" t="s">
        <v>491</v>
      </c>
      <c r="D142" s="768"/>
      <c r="E142" s="768"/>
      <c r="F142" s="768"/>
      <c r="G142" s="768"/>
      <c r="H142" s="768"/>
      <c r="I142" s="1144" t="s">
        <v>491</v>
      </c>
      <c r="J142" s="1144" t="s">
        <v>491</v>
      </c>
      <c r="K142" s="1144" t="s">
        <v>491</v>
      </c>
      <c r="L142" s="1144" t="s">
        <v>491</v>
      </c>
      <c r="M142" s="1144"/>
      <c r="N142" s="1144"/>
      <c r="O142" s="768" t="s">
        <v>491</v>
      </c>
      <c r="P142" s="768" t="s">
        <v>491</v>
      </c>
      <c r="Q142" s="768" t="s">
        <v>491</v>
      </c>
      <c r="R142" s="768" t="s">
        <v>491</v>
      </c>
      <c r="S142" s="768" t="s">
        <v>491</v>
      </c>
      <c r="T142" s="768"/>
      <c r="U142" s="768"/>
      <c r="V142" s="768" t="s">
        <v>491</v>
      </c>
      <c r="W142" s="768" t="s">
        <v>491</v>
      </c>
      <c r="X142" s="768" t="s">
        <v>491</v>
      </c>
      <c r="Y142" s="768" t="s">
        <v>491</v>
      </c>
      <c r="Z142" s="768" t="s">
        <v>491</v>
      </c>
      <c r="AA142" s="768"/>
      <c r="AB142" s="768"/>
      <c r="AC142" s="768" t="s">
        <v>491</v>
      </c>
      <c r="AD142" s="768" t="s">
        <v>491</v>
      </c>
      <c r="AE142" s="768" t="s">
        <v>491</v>
      </c>
      <c r="AF142" s="768" t="s">
        <v>491</v>
      </c>
      <c r="AG142" s="837"/>
      <c r="AH142" s="924">
        <v>44</v>
      </c>
      <c r="AI142" s="925">
        <v>37</v>
      </c>
    </row>
    <row r="143" spans="1:40" ht="21.95" customHeight="1">
      <c r="A143" s="576"/>
      <c r="B143" s="994" t="s">
        <v>635</v>
      </c>
      <c r="C143" s="768" t="s">
        <v>491</v>
      </c>
      <c r="D143" s="768"/>
      <c r="E143" s="768"/>
      <c r="F143" s="768"/>
      <c r="G143" s="768"/>
      <c r="H143" s="768"/>
      <c r="I143" s="768" t="s">
        <v>491</v>
      </c>
      <c r="J143" s="768" t="s">
        <v>491</v>
      </c>
      <c r="K143" s="768" t="s">
        <v>491</v>
      </c>
      <c r="L143" s="768" t="s">
        <v>491</v>
      </c>
      <c r="M143" s="768"/>
      <c r="N143" s="768"/>
      <c r="O143" s="768" t="s">
        <v>491</v>
      </c>
      <c r="P143" s="768" t="s">
        <v>491</v>
      </c>
      <c r="Q143" s="768" t="s">
        <v>491</v>
      </c>
      <c r="R143" s="768" t="s">
        <v>491</v>
      </c>
      <c r="S143" s="768" t="s">
        <v>491</v>
      </c>
      <c r="T143" s="768"/>
      <c r="U143" s="768"/>
      <c r="V143" s="768" t="s">
        <v>491</v>
      </c>
      <c r="W143" s="768" t="s">
        <v>491</v>
      </c>
      <c r="X143" s="768" t="s">
        <v>491</v>
      </c>
      <c r="Y143" s="768" t="s">
        <v>491</v>
      </c>
      <c r="Z143" s="768" t="s">
        <v>491</v>
      </c>
      <c r="AA143" s="768"/>
      <c r="AB143" s="768"/>
      <c r="AC143" s="768" t="s">
        <v>491</v>
      </c>
      <c r="AD143" s="768" t="s">
        <v>491</v>
      </c>
      <c r="AE143" s="768" t="s">
        <v>491</v>
      </c>
      <c r="AF143" s="768" t="s">
        <v>491</v>
      </c>
      <c r="AG143" s="837"/>
      <c r="AH143" s="924">
        <v>0</v>
      </c>
      <c r="AI143" s="925">
        <v>0</v>
      </c>
    </row>
    <row r="144" spans="1:40" ht="21.95" customHeight="1" thickBot="1">
      <c r="A144" s="576"/>
      <c r="B144" s="889" t="s">
        <v>637</v>
      </c>
      <c r="C144" s="768" t="s">
        <v>491</v>
      </c>
      <c r="D144" s="768"/>
      <c r="E144" s="768"/>
      <c r="F144" s="768"/>
      <c r="G144" s="768"/>
      <c r="H144" s="768"/>
      <c r="I144" s="768" t="s">
        <v>491</v>
      </c>
      <c r="J144" s="768" t="s">
        <v>491</v>
      </c>
      <c r="K144" s="768" t="s">
        <v>491</v>
      </c>
      <c r="L144" s="768" t="s">
        <v>491</v>
      </c>
      <c r="M144" s="768"/>
      <c r="N144" s="768"/>
      <c r="O144" s="768" t="s">
        <v>491</v>
      </c>
      <c r="P144" s="768" t="s">
        <v>491</v>
      </c>
      <c r="Q144" s="768" t="s">
        <v>491</v>
      </c>
      <c r="R144" s="768" t="s">
        <v>491</v>
      </c>
      <c r="S144" s="768" t="s">
        <v>491</v>
      </c>
      <c r="T144" s="768"/>
      <c r="U144" s="768"/>
      <c r="V144" s="980" t="s">
        <v>491</v>
      </c>
      <c r="W144" s="980" t="s">
        <v>491</v>
      </c>
      <c r="X144" s="980" t="s">
        <v>491</v>
      </c>
      <c r="Y144" s="980" t="s">
        <v>491</v>
      </c>
      <c r="Z144" s="980" t="s">
        <v>491</v>
      </c>
      <c r="AA144" s="980"/>
      <c r="AB144" s="980"/>
      <c r="AC144" s="970" t="s">
        <v>491</v>
      </c>
      <c r="AD144" s="970" t="s">
        <v>491</v>
      </c>
      <c r="AE144" s="970" t="s">
        <v>491</v>
      </c>
      <c r="AF144" s="970" t="s">
        <v>491</v>
      </c>
      <c r="AG144" s="887"/>
      <c r="AH144" s="868">
        <v>30</v>
      </c>
      <c r="AI144" s="869">
        <v>0</v>
      </c>
      <c r="AN144" s="1067" t="s">
        <v>813</v>
      </c>
    </row>
    <row r="145" spans="1:36" ht="21.95" customHeight="1">
      <c r="A145" s="576"/>
      <c r="B145" s="847"/>
      <c r="C145" s="555"/>
      <c r="D145" s="555"/>
      <c r="E145" s="555"/>
      <c r="F145" s="555"/>
      <c r="G145" s="555"/>
      <c r="H145" s="555"/>
      <c r="I145" s="555"/>
      <c r="J145" s="555"/>
      <c r="K145" s="555"/>
      <c r="L145" s="555"/>
      <c r="M145" s="555"/>
      <c r="N145" s="555"/>
      <c r="O145" s="555"/>
      <c r="P145" s="555"/>
      <c r="Q145" s="555"/>
      <c r="R145" s="555"/>
      <c r="S145" s="555"/>
      <c r="T145" s="555"/>
      <c r="U145" s="555"/>
      <c r="V145" s="555"/>
      <c r="W145" s="555"/>
      <c r="X145" s="555"/>
      <c r="Y145" s="555"/>
      <c r="Z145" s="555"/>
      <c r="AA145" s="555"/>
      <c r="AB145" s="555"/>
      <c r="AC145" s="555"/>
      <c r="AD145" s="555"/>
      <c r="AE145" s="555"/>
      <c r="AF145" s="555"/>
      <c r="AG145" s="555"/>
      <c r="AH145" s="556"/>
      <c r="AI145" s="556"/>
    </row>
    <row r="146" spans="1:36" ht="21.95" customHeight="1" thickBot="1">
      <c r="A146" s="805" t="s">
        <v>639</v>
      </c>
      <c r="B146" s="538"/>
      <c r="C146" s="555"/>
      <c r="D146" s="538"/>
      <c r="E146" s="538"/>
      <c r="F146" s="538"/>
      <c r="G146" s="538"/>
      <c r="H146" s="538"/>
      <c r="I146" s="555"/>
      <c r="J146" s="555"/>
      <c r="K146" s="538"/>
      <c r="L146" s="538"/>
      <c r="M146" s="538"/>
      <c r="N146" s="538"/>
      <c r="O146" s="538"/>
      <c r="P146" s="538"/>
      <c r="Q146" s="555"/>
      <c r="R146" s="538"/>
      <c r="S146" s="538"/>
      <c r="T146" s="538"/>
      <c r="U146" s="538"/>
      <c r="V146" s="538"/>
      <c r="W146" s="555"/>
      <c r="X146" s="555"/>
      <c r="Y146" s="538"/>
      <c r="Z146" s="538"/>
      <c r="AA146" s="538"/>
      <c r="AB146" s="538"/>
      <c r="AC146" s="538"/>
      <c r="AD146" s="538"/>
      <c r="AE146" s="555"/>
      <c r="AF146" s="538"/>
      <c r="AG146" s="538"/>
      <c r="AH146" s="556"/>
      <c r="AI146" s="556"/>
    </row>
    <row r="147" spans="1:36" ht="21.95" customHeight="1">
      <c r="A147" s="576"/>
      <c r="B147" s="806" t="s">
        <v>589</v>
      </c>
      <c r="C147" s="814"/>
      <c r="D147" s="807" t="s">
        <v>2</v>
      </c>
      <c r="E147" s="808"/>
      <c r="F147" s="809"/>
      <c r="G147" s="810"/>
      <c r="H147" s="807" t="s">
        <v>3</v>
      </c>
      <c r="I147" s="808"/>
      <c r="J147" s="809"/>
      <c r="K147" s="810"/>
      <c r="L147" s="807" t="s">
        <v>4</v>
      </c>
      <c r="M147" s="808"/>
      <c r="N147" s="809"/>
      <c r="O147" s="810"/>
      <c r="P147" s="807" t="s">
        <v>5</v>
      </c>
      <c r="Q147" s="808"/>
      <c r="R147" s="809"/>
      <c r="S147" s="810"/>
      <c r="T147" s="807" t="s">
        <v>6</v>
      </c>
      <c r="U147" s="808"/>
      <c r="V147" s="809"/>
      <c r="W147" s="810"/>
      <c r="X147" s="807" t="s">
        <v>7</v>
      </c>
      <c r="Y147" s="808"/>
      <c r="Z147" s="809"/>
      <c r="AA147" s="810"/>
      <c r="AB147" s="807" t="s">
        <v>8</v>
      </c>
      <c r="AC147" s="808"/>
      <c r="AD147" s="808"/>
      <c r="AE147" s="811" t="s">
        <v>10</v>
      </c>
      <c r="AF147" s="808"/>
      <c r="AG147" s="808"/>
      <c r="AH147" s="808"/>
      <c r="AI147" s="812"/>
    </row>
    <row r="148" spans="1:36" ht="21.95" customHeight="1">
      <c r="A148" s="576"/>
      <c r="B148" s="832"/>
      <c r="C148" s="815"/>
      <c r="D148" s="831"/>
      <c r="E148" s="816"/>
      <c r="F148" s="813"/>
      <c r="G148" s="815"/>
      <c r="H148" s="831"/>
      <c r="I148" s="816"/>
      <c r="J148" s="813"/>
      <c r="K148" s="815"/>
      <c r="L148" s="831"/>
      <c r="M148" s="816"/>
      <c r="N148" s="813"/>
      <c r="O148" s="815"/>
      <c r="P148" s="831"/>
      <c r="Q148" s="816"/>
      <c r="R148" s="813"/>
      <c r="S148" s="815"/>
      <c r="T148" s="831"/>
      <c r="U148" s="816"/>
      <c r="V148" s="813"/>
      <c r="W148" s="815"/>
      <c r="X148" s="816"/>
      <c r="Y148" s="816"/>
      <c r="Z148" s="813"/>
      <c r="AA148" s="815"/>
      <c r="AB148" s="816"/>
      <c r="AC148" s="816"/>
      <c r="AD148" s="816"/>
      <c r="AE148" s="815"/>
      <c r="AF148" s="816"/>
      <c r="AG148" s="816"/>
      <c r="AH148" s="818"/>
      <c r="AI148" s="819"/>
    </row>
    <row r="149" spans="1:36" ht="21.95" customHeight="1">
      <c r="A149" s="576"/>
      <c r="B149" s="833"/>
      <c r="C149" s="815"/>
      <c r="D149" s="831"/>
      <c r="E149" s="816"/>
      <c r="F149" s="813"/>
      <c r="G149" s="815"/>
      <c r="H149" s="831"/>
      <c r="I149" s="816"/>
      <c r="J149" s="813"/>
      <c r="K149" s="815"/>
      <c r="L149" s="831"/>
      <c r="M149" s="816"/>
      <c r="N149" s="813"/>
      <c r="O149" s="815"/>
      <c r="P149" s="831"/>
      <c r="Q149" s="816"/>
      <c r="R149" s="813"/>
      <c r="S149" s="815"/>
      <c r="T149" s="831"/>
      <c r="U149" s="816"/>
      <c r="V149" s="813"/>
      <c r="W149" s="815"/>
      <c r="X149" s="816"/>
      <c r="Y149" s="816"/>
      <c r="Z149" s="813"/>
      <c r="AA149" s="815"/>
      <c r="AB149" s="816"/>
      <c r="AC149" s="816"/>
      <c r="AD149" s="816"/>
      <c r="AE149" s="815"/>
      <c r="AF149" s="816"/>
      <c r="AG149" s="816"/>
      <c r="AH149" s="818"/>
      <c r="AI149" s="819"/>
    </row>
    <row r="150" spans="1:36" ht="21.95" customHeight="1">
      <c r="A150" s="576"/>
      <c r="B150" s="833"/>
      <c r="C150" s="815"/>
      <c r="D150" s="831"/>
      <c r="E150" s="816"/>
      <c r="F150" s="813"/>
      <c r="G150" s="815"/>
      <c r="H150" s="831"/>
      <c r="I150" s="816"/>
      <c r="J150" s="813"/>
      <c r="K150" s="815"/>
      <c r="L150" s="831"/>
      <c r="M150" s="816"/>
      <c r="N150" s="813"/>
      <c r="O150" s="815"/>
      <c r="P150" s="831"/>
      <c r="Q150" s="816"/>
      <c r="R150" s="813"/>
      <c r="S150" s="815"/>
      <c r="T150" s="831"/>
      <c r="U150" s="816"/>
      <c r="V150" s="813"/>
      <c r="W150" s="815"/>
      <c r="X150" s="816"/>
      <c r="Y150" s="816"/>
      <c r="Z150" s="813"/>
      <c r="AA150" s="815"/>
      <c r="AB150" s="816"/>
      <c r="AC150" s="816"/>
      <c r="AD150" s="816"/>
      <c r="AE150" s="815"/>
      <c r="AF150" s="816"/>
      <c r="AG150" s="816"/>
      <c r="AH150" s="818"/>
      <c r="AI150" s="819"/>
    </row>
    <row r="151" spans="1:36" ht="21.95" customHeight="1" thickBot="1">
      <c r="A151" s="576"/>
      <c r="B151" s="847"/>
      <c r="C151" s="555"/>
      <c r="D151" s="555"/>
      <c r="E151" s="555"/>
      <c r="F151" s="555"/>
      <c r="G151" s="555"/>
      <c r="H151" s="555"/>
      <c r="I151" s="555"/>
      <c r="J151" s="555"/>
      <c r="K151" s="555"/>
      <c r="L151" s="555"/>
      <c r="M151" s="555"/>
      <c r="N151" s="555"/>
      <c r="O151" s="555"/>
      <c r="P151" s="555"/>
      <c r="Q151" s="555"/>
      <c r="R151" s="555"/>
      <c r="S151" s="555"/>
      <c r="T151" s="555"/>
      <c r="U151" s="555"/>
      <c r="V151" s="555"/>
      <c r="W151" s="555"/>
      <c r="X151" s="555"/>
      <c r="Y151" s="555"/>
      <c r="Z151" s="555"/>
      <c r="AA151" s="555"/>
      <c r="AB151" s="555"/>
      <c r="AC151" s="555"/>
      <c r="AD151" s="555"/>
      <c r="AE151" s="555"/>
      <c r="AF151" s="555"/>
      <c r="AG151" s="555"/>
      <c r="AH151" s="556"/>
      <c r="AI151" s="556"/>
    </row>
    <row r="152" spans="1:36" ht="21.95" customHeight="1" thickBot="1">
      <c r="A152" s="785"/>
      <c r="B152" s="883" t="s">
        <v>476</v>
      </c>
      <c r="C152" s="946">
        <v>1</v>
      </c>
      <c r="D152" s="880">
        <v>2</v>
      </c>
      <c r="E152" s="880">
        <v>3</v>
      </c>
      <c r="F152" s="880">
        <v>4</v>
      </c>
      <c r="G152" s="880">
        <v>5</v>
      </c>
      <c r="H152" s="880">
        <v>6</v>
      </c>
      <c r="I152" s="863">
        <v>7</v>
      </c>
      <c r="J152" s="863">
        <v>8</v>
      </c>
      <c r="K152" s="863">
        <v>9</v>
      </c>
      <c r="L152" s="863">
        <v>10</v>
      </c>
      <c r="M152" s="880">
        <v>11</v>
      </c>
      <c r="N152" s="880">
        <v>12</v>
      </c>
      <c r="O152" s="863">
        <v>13</v>
      </c>
      <c r="P152" s="863">
        <v>14</v>
      </c>
      <c r="Q152" s="863">
        <v>15</v>
      </c>
      <c r="R152" s="863">
        <v>16</v>
      </c>
      <c r="S152" s="863">
        <v>17</v>
      </c>
      <c r="T152" s="880">
        <v>18</v>
      </c>
      <c r="U152" s="880">
        <v>19</v>
      </c>
      <c r="V152" s="863">
        <v>20</v>
      </c>
      <c r="W152" s="863">
        <v>21</v>
      </c>
      <c r="X152" s="863">
        <v>22</v>
      </c>
      <c r="Y152" s="863">
        <v>23</v>
      </c>
      <c r="Z152" s="863">
        <v>24</v>
      </c>
      <c r="AA152" s="880">
        <v>25</v>
      </c>
      <c r="AB152" s="880">
        <v>26</v>
      </c>
      <c r="AC152" s="863">
        <v>27</v>
      </c>
      <c r="AD152" s="863">
        <v>28</v>
      </c>
      <c r="AE152" s="863">
        <v>29</v>
      </c>
      <c r="AF152" s="863">
        <v>30</v>
      </c>
      <c r="AG152" s="863"/>
      <c r="AH152" s="884" t="s">
        <v>477</v>
      </c>
      <c r="AI152" s="885" t="s">
        <v>478</v>
      </c>
    </row>
    <row r="153" spans="1:36" ht="21.95" customHeight="1">
      <c r="A153" s="576"/>
      <c r="B153" s="890"/>
      <c r="C153" s="768" t="s">
        <v>491</v>
      </c>
      <c r="D153" s="768"/>
      <c r="E153" s="768"/>
      <c r="F153" s="768"/>
      <c r="G153" s="768"/>
      <c r="H153" s="768"/>
      <c r="I153" s="768" t="s">
        <v>491</v>
      </c>
      <c r="J153" s="768" t="s">
        <v>491</v>
      </c>
      <c r="K153" s="768" t="s">
        <v>491</v>
      </c>
      <c r="L153" s="768" t="s">
        <v>491</v>
      </c>
      <c r="M153" s="768"/>
      <c r="N153" s="768"/>
      <c r="O153" s="768" t="s">
        <v>491</v>
      </c>
      <c r="P153" s="768" t="s">
        <v>491</v>
      </c>
      <c r="Q153" s="768" t="s">
        <v>491</v>
      </c>
      <c r="R153" s="768" t="s">
        <v>491</v>
      </c>
      <c r="S153" s="768" t="s">
        <v>491</v>
      </c>
      <c r="T153" s="768"/>
      <c r="U153" s="768"/>
      <c r="V153" s="768" t="s">
        <v>491</v>
      </c>
      <c r="W153" s="768" t="s">
        <v>491</v>
      </c>
      <c r="X153" s="768" t="s">
        <v>491</v>
      </c>
      <c r="Y153" s="768" t="s">
        <v>491</v>
      </c>
      <c r="Z153" s="768" t="s">
        <v>491</v>
      </c>
      <c r="AA153" s="768"/>
      <c r="AB153" s="768"/>
      <c r="AC153" s="768" t="s">
        <v>491</v>
      </c>
      <c r="AD153" s="768" t="s">
        <v>491</v>
      </c>
      <c r="AE153" s="768" t="s">
        <v>491</v>
      </c>
      <c r="AF153" s="768" t="s">
        <v>491</v>
      </c>
      <c r="AG153" s="882"/>
      <c r="AH153" s="510">
        <v>185</v>
      </c>
      <c r="AI153" s="511">
        <v>37</v>
      </c>
    </row>
    <row r="154" spans="1:36" ht="21.95" customHeight="1">
      <c r="A154" s="576"/>
      <c r="B154" s="859" t="s">
        <v>742</v>
      </c>
      <c r="C154" s="768" t="s">
        <v>491</v>
      </c>
      <c r="D154" s="768"/>
      <c r="E154" s="768"/>
      <c r="F154" s="768"/>
      <c r="G154" s="768"/>
      <c r="H154" s="768"/>
      <c r="I154" s="768" t="s">
        <v>491</v>
      </c>
      <c r="J154" s="768" t="s">
        <v>491</v>
      </c>
      <c r="K154" s="768" t="s">
        <v>491</v>
      </c>
      <c r="L154" s="768" t="s">
        <v>491</v>
      </c>
      <c r="M154" s="768"/>
      <c r="N154" s="768"/>
      <c r="O154" s="768" t="s">
        <v>491</v>
      </c>
      <c r="P154" s="768" t="s">
        <v>491</v>
      </c>
      <c r="Q154" s="768" t="s">
        <v>491</v>
      </c>
      <c r="R154" s="768" t="s">
        <v>491</v>
      </c>
      <c r="S154" s="768" t="s">
        <v>491</v>
      </c>
      <c r="T154" s="768"/>
      <c r="U154" s="768"/>
      <c r="V154" s="768" t="s">
        <v>491</v>
      </c>
      <c r="W154" s="768" t="s">
        <v>491</v>
      </c>
      <c r="X154" s="768" t="s">
        <v>491</v>
      </c>
      <c r="Y154" s="768" t="s">
        <v>491</v>
      </c>
      <c r="Z154" s="768" t="s">
        <v>491</v>
      </c>
      <c r="AA154" s="768"/>
      <c r="AB154" s="768"/>
      <c r="AC154" s="768" t="s">
        <v>491</v>
      </c>
      <c r="AD154" s="768" t="s">
        <v>491</v>
      </c>
      <c r="AE154" s="1144" t="s">
        <v>491</v>
      </c>
      <c r="AF154" s="1144" t="s">
        <v>491</v>
      </c>
      <c r="AG154" s="837"/>
      <c r="AH154" s="924">
        <v>0</v>
      </c>
      <c r="AI154" s="925">
        <v>0</v>
      </c>
    </row>
    <row r="155" spans="1:36" ht="21.95" customHeight="1">
      <c r="A155" s="576"/>
      <c r="B155" s="821" t="s">
        <v>641</v>
      </c>
      <c r="C155" s="768" t="s">
        <v>491</v>
      </c>
      <c r="D155" s="768"/>
      <c r="E155" s="768"/>
      <c r="F155" s="768"/>
      <c r="G155" s="768"/>
      <c r="H155" s="768"/>
      <c r="I155" s="768" t="s">
        <v>491</v>
      </c>
      <c r="J155" s="768" t="s">
        <v>491</v>
      </c>
      <c r="K155" s="768" t="s">
        <v>491</v>
      </c>
      <c r="L155" s="768" t="s">
        <v>491</v>
      </c>
      <c r="M155" s="768"/>
      <c r="N155" s="768"/>
      <c r="O155" s="768" t="s">
        <v>491</v>
      </c>
      <c r="P155" s="768" t="s">
        <v>491</v>
      </c>
      <c r="Q155" s="768" t="s">
        <v>491</v>
      </c>
      <c r="R155" s="768" t="s">
        <v>491</v>
      </c>
      <c r="S155" s="768" t="s">
        <v>491</v>
      </c>
      <c r="T155" s="768"/>
      <c r="U155" s="768"/>
      <c r="V155" s="768" t="s">
        <v>491</v>
      </c>
      <c r="W155" s="768" t="s">
        <v>491</v>
      </c>
      <c r="X155" s="768" t="s">
        <v>491</v>
      </c>
      <c r="Y155" s="768" t="s">
        <v>491</v>
      </c>
      <c r="Z155" s="768" t="s">
        <v>491</v>
      </c>
      <c r="AA155" s="768"/>
      <c r="AB155" s="768"/>
      <c r="AC155" s="768" t="s">
        <v>491</v>
      </c>
      <c r="AD155" s="768" t="s">
        <v>491</v>
      </c>
      <c r="AE155" s="768" t="s">
        <v>491</v>
      </c>
      <c r="AF155" s="768" t="s">
        <v>491</v>
      </c>
      <c r="AG155" s="837"/>
      <c r="AH155" s="924">
        <v>185</v>
      </c>
      <c r="AI155" s="925">
        <v>37</v>
      </c>
    </row>
    <row r="156" spans="1:36" ht="21.95" customHeight="1">
      <c r="A156" s="576"/>
      <c r="B156" s="821" t="s">
        <v>642</v>
      </c>
      <c r="C156" s="768" t="s">
        <v>491</v>
      </c>
      <c r="D156" s="768"/>
      <c r="E156" s="768"/>
      <c r="F156" s="768"/>
      <c r="G156" s="768"/>
      <c r="H156" s="768"/>
      <c r="I156" s="768" t="s">
        <v>491</v>
      </c>
      <c r="J156" s="768" t="s">
        <v>491</v>
      </c>
      <c r="K156" s="768" t="s">
        <v>491</v>
      </c>
      <c r="L156" s="768" t="s">
        <v>491</v>
      </c>
      <c r="M156" s="768"/>
      <c r="N156" s="768"/>
      <c r="O156" s="768" t="s">
        <v>491</v>
      </c>
      <c r="P156" s="768" t="s">
        <v>491</v>
      </c>
      <c r="Q156" s="768" t="s">
        <v>491</v>
      </c>
      <c r="R156" s="768" t="s">
        <v>491</v>
      </c>
      <c r="S156" s="768" t="s">
        <v>491</v>
      </c>
      <c r="T156" s="768"/>
      <c r="U156" s="768"/>
      <c r="V156" s="768" t="s">
        <v>491</v>
      </c>
      <c r="W156" s="768" t="s">
        <v>491</v>
      </c>
      <c r="X156" s="970" t="s">
        <v>491</v>
      </c>
      <c r="Y156" s="970" t="s">
        <v>491</v>
      </c>
      <c r="Z156" s="980" t="s">
        <v>491</v>
      </c>
      <c r="AA156" s="768"/>
      <c r="AB156" s="768"/>
      <c r="AC156" s="980" t="s">
        <v>491</v>
      </c>
      <c r="AD156" s="980" t="s">
        <v>491</v>
      </c>
      <c r="AE156" s="980" t="s">
        <v>491</v>
      </c>
      <c r="AF156" s="980" t="s">
        <v>491</v>
      </c>
      <c r="AG156" s="837"/>
      <c r="AH156" s="924">
        <v>185</v>
      </c>
      <c r="AI156" s="925">
        <v>37</v>
      </c>
    </row>
    <row r="157" spans="1:36" ht="21.95" customHeight="1">
      <c r="A157" s="576"/>
      <c r="B157" s="821" t="s">
        <v>643</v>
      </c>
      <c r="C157" s="970" t="s">
        <v>491</v>
      </c>
      <c r="D157" s="768"/>
      <c r="E157" s="768"/>
      <c r="F157" s="768"/>
      <c r="G157" s="768"/>
      <c r="H157" s="768"/>
      <c r="I157" s="980" t="s">
        <v>491</v>
      </c>
      <c r="J157" s="980" t="s">
        <v>491</v>
      </c>
      <c r="K157" s="980" t="s">
        <v>491</v>
      </c>
      <c r="L157" s="980" t="s">
        <v>491</v>
      </c>
      <c r="M157" s="768"/>
      <c r="N157" s="768"/>
      <c r="O157" s="768" t="s">
        <v>491</v>
      </c>
      <c r="P157" s="768" t="s">
        <v>491</v>
      </c>
      <c r="Q157" s="768" t="s">
        <v>491</v>
      </c>
      <c r="R157" s="768" t="s">
        <v>491</v>
      </c>
      <c r="S157" s="768" t="s">
        <v>491</v>
      </c>
      <c r="T157" s="768"/>
      <c r="U157" s="768"/>
      <c r="V157" s="768" t="s">
        <v>491</v>
      </c>
      <c r="W157" s="768" t="s">
        <v>491</v>
      </c>
      <c r="X157" s="768" t="s">
        <v>491</v>
      </c>
      <c r="Y157" s="768" t="s">
        <v>491</v>
      </c>
      <c r="Z157" s="980" t="s">
        <v>491</v>
      </c>
      <c r="AA157" s="768"/>
      <c r="AB157" s="768"/>
      <c r="AC157" s="768" t="s">
        <v>491</v>
      </c>
      <c r="AD157" s="768" t="s">
        <v>491</v>
      </c>
      <c r="AE157" s="768" t="s">
        <v>491</v>
      </c>
      <c r="AF157" s="768" t="s">
        <v>491</v>
      </c>
      <c r="AG157" s="837"/>
      <c r="AH157" s="924">
        <v>185</v>
      </c>
      <c r="AI157" s="925">
        <v>37</v>
      </c>
    </row>
    <row r="158" spans="1:36" ht="21.95" customHeight="1" thickBot="1">
      <c r="A158" s="576"/>
      <c r="B158" s="891"/>
      <c r="C158" s="867"/>
      <c r="D158" s="867"/>
      <c r="E158" s="867"/>
      <c r="F158" s="867"/>
      <c r="G158" s="867"/>
      <c r="H158" s="867"/>
      <c r="I158" s="867"/>
      <c r="J158" s="867"/>
      <c r="K158" s="867"/>
      <c r="L158" s="867"/>
      <c r="M158" s="867"/>
      <c r="N158" s="867"/>
      <c r="O158" s="867"/>
      <c r="P158" s="867"/>
      <c r="Q158" s="867"/>
      <c r="R158" s="867"/>
      <c r="S158" s="867"/>
      <c r="T158" s="867"/>
      <c r="U158" s="867"/>
      <c r="V158" s="867"/>
      <c r="W158" s="867"/>
      <c r="X158" s="867"/>
      <c r="Y158" s="867"/>
      <c r="Z158" s="867"/>
      <c r="AA158" s="867"/>
      <c r="AB158" s="867"/>
      <c r="AC158" s="867"/>
      <c r="AD158" s="867"/>
      <c r="AE158" s="867"/>
      <c r="AF158" s="867"/>
      <c r="AG158" s="887"/>
      <c r="AH158" s="868">
        <v>185</v>
      </c>
      <c r="AI158" s="869">
        <v>37</v>
      </c>
    </row>
    <row r="159" spans="1:36" ht="21.95" customHeight="1">
      <c r="A159" s="576"/>
      <c r="B159" s="847"/>
      <c r="C159" s="555"/>
      <c r="D159" s="555"/>
      <c r="E159" s="555"/>
      <c r="F159" s="555"/>
      <c r="G159" s="555"/>
      <c r="H159" s="555"/>
      <c r="I159" s="555"/>
      <c r="J159" s="555"/>
      <c r="K159" s="555"/>
      <c r="L159" s="555"/>
      <c r="M159" s="555"/>
      <c r="N159" s="555"/>
      <c r="O159" s="555"/>
      <c r="P159" s="555"/>
      <c r="Q159" s="555"/>
      <c r="R159" s="555"/>
      <c r="S159" s="555"/>
      <c r="T159" s="555"/>
      <c r="U159" s="555"/>
      <c r="V159" s="555"/>
      <c r="W159" s="555"/>
      <c r="X159" s="555"/>
      <c r="Y159" s="555"/>
      <c r="Z159" s="555"/>
      <c r="AA159" s="555"/>
      <c r="AB159" s="555"/>
      <c r="AC159" s="555"/>
      <c r="AD159" s="555"/>
      <c r="AE159" s="555"/>
      <c r="AF159" s="555"/>
      <c r="AG159" s="555"/>
      <c r="AH159" s="556"/>
      <c r="AI159" s="556"/>
    </row>
    <row r="160" spans="1:36" ht="21.95" customHeight="1">
      <c r="A160" s="312" t="s">
        <v>644</v>
      </c>
      <c r="C160" s="555"/>
      <c r="D160" s="555"/>
      <c r="E160" s="555"/>
      <c r="F160" s="555"/>
      <c r="G160" s="555"/>
      <c r="H160" s="555"/>
      <c r="I160" s="555"/>
      <c r="J160" s="555"/>
      <c r="K160" s="555"/>
      <c r="L160" s="555"/>
      <c r="M160" s="555"/>
      <c r="N160" s="555"/>
      <c r="O160" s="555"/>
      <c r="P160" s="555"/>
      <c r="Q160" s="555"/>
      <c r="R160" s="555"/>
      <c r="S160" s="555"/>
      <c r="T160" s="555"/>
      <c r="U160" s="555"/>
      <c r="V160" s="555"/>
      <c r="W160" s="555"/>
      <c r="X160" s="555"/>
      <c r="Y160" s="555"/>
      <c r="Z160" s="555"/>
      <c r="AA160" s="555"/>
      <c r="AB160" s="555"/>
      <c r="AC160" s="555"/>
      <c r="AD160" s="555"/>
      <c r="AE160" s="555"/>
      <c r="AF160" s="555"/>
      <c r="AG160" s="555"/>
      <c r="AH160" s="556"/>
      <c r="AI160" s="556"/>
      <c r="AJ160" s="361"/>
    </row>
    <row r="161" spans="1:36" ht="21.95" customHeight="1">
      <c r="A161" s="299" t="s">
        <v>475</v>
      </c>
      <c r="B161" s="299"/>
      <c r="C161" s="153"/>
      <c r="D161" s="299" t="s">
        <v>2</v>
      </c>
      <c r="E161" s="186"/>
      <c r="F161" s="153"/>
      <c r="G161" s="299" t="s">
        <v>3</v>
      </c>
      <c r="H161" s="186"/>
      <c r="I161" s="153"/>
      <c r="J161" s="299" t="s">
        <v>4</v>
      </c>
      <c r="K161" s="186"/>
      <c r="L161" s="153"/>
      <c r="M161" s="299" t="s">
        <v>5</v>
      </c>
      <c r="N161" s="186"/>
      <c r="O161" s="153"/>
      <c r="P161" s="299" t="s">
        <v>6</v>
      </c>
      <c r="Q161" s="186"/>
      <c r="R161" s="134"/>
      <c r="S161" s="199" t="s">
        <v>7</v>
      </c>
      <c r="T161" s="186"/>
      <c r="U161" s="153"/>
      <c r="V161" s="299" t="s">
        <v>8</v>
      </c>
      <c r="W161" s="186"/>
      <c r="X161" s="585" t="s">
        <v>10</v>
      </c>
      <c r="Y161" s="186"/>
      <c r="Z161" s="186"/>
      <c r="AA161" s="561"/>
      <c r="AB161" s="483"/>
      <c r="AC161" s="483"/>
      <c r="AD161" s="483"/>
      <c r="AE161" s="483"/>
      <c r="AF161" s="483"/>
      <c r="AG161" s="484"/>
      <c r="AH161" s="361"/>
      <c r="AI161" s="361"/>
      <c r="AJ161" s="361"/>
    </row>
    <row r="162" spans="1:36" ht="21.95" customHeight="1">
      <c r="A162" s="130">
        <v>8517</v>
      </c>
      <c r="B162" s="500" t="s">
        <v>645</v>
      </c>
      <c r="C162" s="584" t="s">
        <v>124</v>
      </c>
      <c r="D162" s="581"/>
      <c r="E162" s="586"/>
      <c r="F162" s="584" t="s">
        <v>124</v>
      </c>
      <c r="G162" s="587"/>
      <c r="H162" s="586"/>
      <c r="I162" s="121" t="s">
        <v>124</v>
      </c>
      <c r="J162" s="565"/>
      <c r="K162" s="588"/>
      <c r="L162" s="121" t="s">
        <v>124</v>
      </c>
      <c r="M162" s="565"/>
      <c r="N162" s="588"/>
      <c r="O162" s="121" t="s">
        <v>125</v>
      </c>
      <c r="P162" s="565"/>
      <c r="Q162" s="477"/>
      <c r="R162" s="589" t="s">
        <v>28</v>
      </c>
      <c r="S162" s="565"/>
      <c r="T162" s="588"/>
      <c r="U162" s="565" t="s">
        <v>28</v>
      </c>
      <c r="V162" s="565"/>
      <c r="W162" s="477"/>
      <c r="X162" s="145" t="s">
        <v>28</v>
      </c>
      <c r="Y162" s="361"/>
      <c r="Z162" s="361"/>
      <c r="AA162" s="361"/>
      <c r="AB162" s="361"/>
      <c r="AC162" s="361"/>
      <c r="AD162" s="361"/>
      <c r="AE162" s="361"/>
      <c r="AF162" s="361"/>
      <c r="AG162" s="590"/>
      <c r="AH162" s="361"/>
      <c r="AI162" s="361"/>
      <c r="AJ162" s="361"/>
    </row>
    <row r="163" spans="1:36" ht="21.95" customHeight="1">
      <c r="A163" s="591">
        <v>8502</v>
      </c>
      <c r="B163" s="592" t="s">
        <v>646</v>
      </c>
      <c r="C163" s="121" t="s">
        <v>11</v>
      </c>
      <c r="D163" s="565"/>
      <c r="E163" s="477"/>
      <c r="F163" s="121" t="s">
        <v>11</v>
      </c>
      <c r="G163" s="565"/>
      <c r="H163" s="588"/>
      <c r="I163" s="121" t="s">
        <v>11</v>
      </c>
      <c r="J163" s="565"/>
      <c r="K163" s="588"/>
      <c r="L163" s="121" t="s">
        <v>11</v>
      </c>
      <c r="M163" s="565"/>
      <c r="N163" s="588"/>
      <c r="O163" s="121" t="s">
        <v>12</v>
      </c>
      <c r="P163" s="565"/>
      <c r="Q163" s="477"/>
      <c r="R163" s="593"/>
      <c r="S163" s="594"/>
      <c r="T163" s="588"/>
      <c r="U163" s="565"/>
      <c r="V163" s="565"/>
      <c r="W163" s="477"/>
      <c r="X163" s="476"/>
      <c r="Y163" s="483"/>
      <c r="Z163" s="483"/>
      <c r="AA163" s="483"/>
      <c r="AB163" s="483"/>
      <c r="AC163" s="483"/>
      <c r="AD163" s="483"/>
      <c r="AE163" s="483"/>
      <c r="AF163" s="483"/>
      <c r="AG163" s="484"/>
      <c r="AH163" s="361"/>
      <c r="AI163" s="361"/>
      <c r="AJ163" s="361"/>
    </row>
    <row r="164" spans="1:36" ht="21.95" customHeight="1" thickBot="1">
      <c r="A164" s="274"/>
      <c r="B164" s="516"/>
      <c r="C164" s="354"/>
      <c r="D164" s="354"/>
      <c r="E164" s="73"/>
      <c r="F164" s="354"/>
      <c r="G164" s="354"/>
      <c r="H164" s="73"/>
      <c r="I164" s="354"/>
      <c r="J164" s="354"/>
      <c r="K164" s="73"/>
      <c r="L164" s="354"/>
      <c r="M164" s="354"/>
      <c r="N164" s="73"/>
      <c r="O164" s="354"/>
      <c r="P164" s="354"/>
      <c r="Q164" s="73"/>
      <c r="R164" s="168"/>
      <c r="S164" s="354"/>
      <c r="T164" s="73"/>
      <c r="U164" s="354"/>
      <c r="V164" s="354"/>
      <c r="W164" s="73"/>
      <c r="X164" s="73"/>
      <c r="Y164" s="361"/>
      <c r="Z164" s="361"/>
      <c r="AA164" s="361"/>
      <c r="AB164" s="361"/>
      <c r="AC164" s="361"/>
      <c r="AD164" s="361"/>
      <c r="AE164" s="361"/>
      <c r="AF164" s="361"/>
      <c r="AG164" s="361"/>
      <c r="AH164" s="361"/>
      <c r="AI164" s="361"/>
    </row>
    <row r="165" spans="1:36" ht="21.95" customHeight="1" thickBot="1">
      <c r="A165" s="595"/>
      <c r="B165" s="862" t="s">
        <v>476</v>
      </c>
      <c r="C165" s="863">
        <v>1</v>
      </c>
      <c r="D165" s="880">
        <v>2</v>
      </c>
      <c r="E165" s="880">
        <v>3</v>
      </c>
      <c r="F165" s="880">
        <v>4</v>
      </c>
      <c r="G165" s="880">
        <v>5</v>
      </c>
      <c r="H165" s="880">
        <v>6</v>
      </c>
      <c r="I165" s="863">
        <v>7</v>
      </c>
      <c r="J165" s="863">
        <v>8</v>
      </c>
      <c r="K165" s="863">
        <v>9</v>
      </c>
      <c r="L165" s="863">
        <v>10</v>
      </c>
      <c r="M165" s="880">
        <v>11</v>
      </c>
      <c r="N165" s="880">
        <v>12</v>
      </c>
      <c r="O165" s="863">
        <v>13</v>
      </c>
      <c r="P165" s="863">
        <v>14</v>
      </c>
      <c r="Q165" s="863">
        <v>15</v>
      </c>
      <c r="R165" s="863">
        <v>16</v>
      </c>
      <c r="S165" s="863">
        <v>17</v>
      </c>
      <c r="T165" s="880">
        <v>18</v>
      </c>
      <c r="U165" s="880">
        <v>19</v>
      </c>
      <c r="V165" s="863">
        <v>20</v>
      </c>
      <c r="W165" s="863">
        <v>21</v>
      </c>
      <c r="X165" s="863">
        <v>22</v>
      </c>
      <c r="Y165" s="863">
        <v>23</v>
      </c>
      <c r="Z165" s="863">
        <v>24</v>
      </c>
      <c r="AA165" s="880">
        <v>25</v>
      </c>
      <c r="AB165" s="880">
        <v>26</v>
      </c>
      <c r="AC165" s="863">
        <v>27</v>
      </c>
      <c r="AD165" s="863">
        <v>28</v>
      </c>
      <c r="AE165" s="863">
        <v>29</v>
      </c>
      <c r="AF165" s="863">
        <v>30</v>
      </c>
      <c r="AG165" s="863"/>
      <c r="AH165" s="864" t="s">
        <v>477</v>
      </c>
      <c r="AI165" s="865" t="s">
        <v>478</v>
      </c>
    </row>
    <row r="166" spans="1:36" ht="21.95" customHeight="1">
      <c r="A166" s="596">
        <v>1</v>
      </c>
      <c r="B166" s="542" t="s">
        <v>516</v>
      </c>
      <c r="C166" s="768" t="s">
        <v>491</v>
      </c>
      <c r="D166" s="768"/>
      <c r="E166" s="768"/>
      <c r="F166" s="768"/>
      <c r="G166" s="768"/>
      <c r="H166" s="768"/>
      <c r="I166" s="768" t="s">
        <v>491</v>
      </c>
      <c r="J166" s="768" t="s">
        <v>491</v>
      </c>
      <c r="K166" s="768" t="s">
        <v>491</v>
      </c>
      <c r="L166" s="768" t="s">
        <v>491</v>
      </c>
      <c r="M166" s="768"/>
      <c r="N166" s="768"/>
      <c r="O166" s="768" t="s">
        <v>491</v>
      </c>
      <c r="P166" s="768" t="s">
        <v>491</v>
      </c>
      <c r="Q166" s="768" t="s">
        <v>491</v>
      </c>
      <c r="R166" s="768" t="s">
        <v>491</v>
      </c>
      <c r="S166" s="768" t="s">
        <v>491</v>
      </c>
      <c r="T166" s="768"/>
      <c r="U166" s="768"/>
      <c r="V166" s="768" t="s">
        <v>491</v>
      </c>
      <c r="W166" s="768" t="s">
        <v>491</v>
      </c>
      <c r="X166" s="768" t="s">
        <v>491</v>
      </c>
      <c r="Y166" s="768" t="s">
        <v>491</v>
      </c>
      <c r="Z166" s="768" t="s">
        <v>491</v>
      </c>
      <c r="AA166" s="768"/>
      <c r="AB166" s="768"/>
      <c r="AC166" s="768" t="s">
        <v>491</v>
      </c>
      <c r="AD166" s="768" t="s">
        <v>491</v>
      </c>
      <c r="AE166" s="768" t="s">
        <v>491</v>
      </c>
      <c r="AF166" s="768" t="s">
        <v>491</v>
      </c>
      <c r="AG166" s="771"/>
      <c r="AH166" s="892">
        <v>185</v>
      </c>
      <c r="AI166" s="893">
        <v>37</v>
      </c>
    </row>
    <row r="167" spans="1:36" ht="21.95" customHeight="1">
      <c r="A167" s="596">
        <v>2</v>
      </c>
      <c r="B167" s="153" t="s">
        <v>648</v>
      </c>
      <c r="C167" s="768">
        <v>4</v>
      </c>
      <c r="D167" s="768"/>
      <c r="E167" s="768"/>
      <c r="F167" s="768" t="s">
        <v>583</v>
      </c>
      <c r="G167" s="768"/>
      <c r="H167" s="764"/>
      <c r="I167" s="764" t="s">
        <v>585</v>
      </c>
      <c r="J167" s="764" t="s">
        <v>585</v>
      </c>
      <c r="K167" s="764" t="s">
        <v>585</v>
      </c>
      <c r="L167" s="764" t="s">
        <v>585</v>
      </c>
      <c r="M167" s="768"/>
      <c r="N167" s="768"/>
      <c r="O167" s="768" t="s">
        <v>583</v>
      </c>
      <c r="P167" s="768" t="s">
        <v>583</v>
      </c>
      <c r="Q167" s="768" t="s">
        <v>583</v>
      </c>
      <c r="R167" s="768" t="s">
        <v>583</v>
      </c>
      <c r="S167" s="768" t="s">
        <v>583</v>
      </c>
      <c r="T167" s="768"/>
      <c r="U167" s="768"/>
      <c r="V167" s="964" t="s">
        <v>583</v>
      </c>
      <c r="W167" s="764">
        <v>4</v>
      </c>
      <c r="X167" s="764">
        <v>1</v>
      </c>
      <c r="Y167" s="764">
        <v>1</v>
      </c>
      <c r="Z167" s="764" t="s">
        <v>583</v>
      </c>
      <c r="AA167" s="764" t="s">
        <v>583</v>
      </c>
      <c r="AB167" s="768"/>
      <c r="AC167" s="764" t="s">
        <v>583</v>
      </c>
      <c r="AD167" s="764" t="s">
        <v>583</v>
      </c>
      <c r="AE167" s="764" t="s">
        <v>583</v>
      </c>
      <c r="AF167" s="764" t="s">
        <v>583</v>
      </c>
      <c r="AG167" s="769"/>
      <c r="AH167" s="822">
        <v>0</v>
      </c>
      <c r="AI167" s="823">
        <v>37</v>
      </c>
    </row>
    <row r="168" spans="1:36" ht="21.95" customHeight="1">
      <c r="A168" s="596">
        <v>3</v>
      </c>
      <c r="B168" s="601" t="s">
        <v>651</v>
      </c>
      <c r="C168" s="768" t="s">
        <v>540</v>
      </c>
      <c r="D168" s="768"/>
      <c r="E168" s="768"/>
      <c r="F168" s="768"/>
      <c r="G168" s="768"/>
      <c r="H168" s="768"/>
      <c r="I168" s="768" t="s">
        <v>540</v>
      </c>
      <c r="J168" s="768" t="s">
        <v>540</v>
      </c>
      <c r="K168" s="768" t="s">
        <v>540</v>
      </c>
      <c r="L168" s="768" t="s">
        <v>540</v>
      </c>
      <c r="M168" s="768"/>
      <c r="N168" s="768" t="s">
        <v>540</v>
      </c>
      <c r="O168" s="768" t="s">
        <v>540</v>
      </c>
      <c r="P168" s="768" t="s">
        <v>540</v>
      </c>
      <c r="Q168" s="768" t="s">
        <v>540</v>
      </c>
      <c r="R168" s="768" t="s">
        <v>540</v>
      </c>
      <c r="S168" s="768" t="s">
        <v>540</v>
      </c>
      <c r="T168" s="768"/>
      <c r="U168" s="768"/>
      <c r="V168" s="768" t="s">
        <v>540</v>
      </c>
      <c r="W168" s="768" t="s">
        <v>540</v>
      </c>
      <c r="X168" s="768" t="s">
        <v>540</v>
      </c>
      <c r="Y168" s="768" t="s">
        <v>540</v>
      </c>
      <c r="Z168" s="768" t="s">
        <v>540</v>
      </c>
      <c r="AA168" s="768"/>
      <c r="AB168" s="768"/>
      <c r="AC168" s="768" t="s">
        <v>540</v>
      </c>
      <c r="AD168" s="768" t="s">
        <v>540</v>
      </c>
      <c r="AE168" s="768" t="s">
        <v>540</v>
      </c>
      <c r="AF168" s="768" t="s">
        <v>540</v>
      </c>
      <c r="AG168" s="769"/>
      <c r="AH168" s="822">
        <v>0</v>
      </c>
      <c r="AI168" s="823">
        <v>37</v>
      </c>
    </row>
    <row r="169" spans="1:36" ht="21.95" customHeight="1">
      <c r="A169" s="596">
        <v>4</v>
      </c>
      <c r="B169" s="319" t="s">
        <v>654</v>
      </c>
      <c r="C169" s="977" t="s">
        <v>491</v>
      </c>
      <c r="D169" s="768"/>
      <c r="E169" s="768"/>
      <c r="F169" s="768"/>
      <c r="G169" s="768"/>
      <c r="H169" s="768"/>
      <c r="I169" s="1038" t="s">
        <v>811</v>
      </c>
      <c r="J169" s="768">
        <v>3</v>
      </c>
      <c r="K169" s="977">
        <v>3</v>
      </c>
      <c r="L169" s="977">
        <v>3</v>
      </c>
      <c r="M169" s="768"/>
      <c r="N169" s="768"/>
      <c r="O169" s="768" t="s">
        <v>553</v>
      </c>
      <c r="P169" s="768" t="s">
        <v>553</v>
      </c>
      <c r="Q169" s="768" t="s">
        <v>553</v>
      </c>
      <c r="R169" s="768" t="s">
        <v>554</v>
      </c>
      <c r="S169" s="768" t="s">
        <v>554</v>
      </c>
      <c r="T169" s="768"/>
      <c r="U169" s="768"/>
      <c r="V169" s="768">
        <v>10</v>
      </c>
      <c r="W169" s="768">
        <v>10</v>
      </c>
      <c r="X169" s="768">
        <v>10</v>
      </c>
      <c r="Y169" s="768">
        <v>10</v>
      </c>
      <c r="Z169" s="768">
        <v>10</v>
      </c>
      <c r="AA169" s="768" t="s">
        <v>519</v>
      </c>
      <c r="AB169" s="768" t="s">
        <v>519</v>
      </c>
      <c r="AC169" s="768" t="s">
        <v>481</v>
      </c>
      <c r="AD169" s="768" t="s">
        <v>481</v>
      </c>
      <c r="AE169" s="768" t="s">
        <v>481</v>
      </c>
      <c r="AF169" s="768" t="s">
        <v>481</v>
      </c>
      <c r="AG169" s="769"/>
      <c r="AH169" s="822">
        <v>0</v>
      </c>
      <c r="AI169" s="823">
        <v>37</v>
      </c>
    </row>
    <row r="170" spans="1:36" ht="21.95" customHeight="1">
      <c r="A170" s="596">
        <v>5</v>
      </c>
      <c r="B170" s="153" t="s">
        <v>655</v>
      </c>
      <c r="C170" s="768" t="s">
        <v>607</v>
      </c>
      <c r="D170" s="768"/>
      <c r="E170" s="768"/>
      <c r="F170" s="768"/>
      <c r="G170" s="768"/>
      <c r="H170" s="768"/>
      <c r="I170" s="768" t="s">
        <v>553</v>
      </c>
      <c r="J170" s="768" t="s">
        <v>553</v>
      </c>
      <c r="K170" s="1044" t="s">
        <v>554</v>
      </c>
      <c r="L170" s="768" t="s">
        <v>554</v>
      </c>
      <c r="M170" s="768" t="s">
        <v>555</v>
      </c>
      <c r="N170" s="768" t="s">
        <v>555</v>
      </c>
      <c r="O170" s="768">
        <v>2</v>
      </c>
      <c r="P170" s="768" t="s">
        <v>481</v>
      </c>
      <c r="Q170" s="768" t="s">
        <v>481</v>
      </c>
      <c r="R170" s="768" t="s">
        <v>491</v>
      </c>
      <c r="S170" s="768" t="s">
        <v>481</v>
      </c>
      <c r="T170" s="768"/>
      <c r="U170" s="768"/>
      <c r="V170" s="768">
        <v>1</v>
      </c>
      <c r="W170" s="768">
        <v>1</v>
      </c>
      <c r="X170" s="768">
        <v>1</v>
      </c>
      <c r="Y170" s="768">
        <v>1</v>
      </c>
      <c r="Z170" s="768">
        <v>1</v>
      </c>
      <c r="AA170" s="768"/>
      <c r="AB170" s="768"/>
      <c r="AC170" s="768" t="s">
        <v>553</v>
      </c>
      <c r="AD170" s="768" t="s">
        <v>553</v>
      </c>
      <c r="AE170" s="768" t="s">
        <v>553</v>
      </c>
      <c r="AF170" s="768" t="s">
        <v>554</v>
      </c>
      <c r="AG170" s="769"/>
      <c r="AH170" s="824">
        <v>0</v>
      </c>
      <c r="AI170" s="825">
        <v>37</v>
      </c>
    </row>
    <row r="171" spans="1:36" ht="21.95" customHeight="1">
      <c r="A171" s="596">
        <v>6</v>
      </c>
      <c r="B171" s="793" t="s">
        <v>656</v>
      </c>
      <c r="C171" s="1038" t="s">
        <v>539</v>
      </c>
      <c r="D171" s="1038">
        <v>8</v>
      </c>
      <c r="E171" s="1038">
        <v>8</v>
      </c>
      <c r="F171" s="1038" t="s">
        <v>513</v>
      </c>
      <c r="G171" s="1038" t="s">
        <v>513</v>
      </c>
      <c r="H171" s="768" t="s">
        <v>481</v>
      </c>
      <c r="I171" s="768" t="s">
        <v>481</v>
      </c>
      <c r="J171" s="768" t="s">
        <v>481</v>
      </c>
      <c r="K171" s="768" t="s">
        <v>481</v>
      </c>
      <c r="L171" s="768" t="s">
        <v>481</v>
      </c>
      <c r="M171" s="768"/>
      <c r="N171" s="768"/>
      <c r="O171" s="768">
        <v>5</v>
      </c>
      <c r="P171" s="768">
        <v>5</v>
      </c>
      <c r="Q171" s="768">
        <v>5</v>
      </c>
      <c r="R171" s="768">
        <v>5</v>
      </c>
      <c r="S171" s="768">
        <v>5</v>
      </c>
      <c r="T171" s="768"/>
      <c r="U171" s="768"/>
      <c r="V171" s="768">
        <v>11</v>
      </c>
      <c r="W171" s="1038">
        <v>11</v>
      </c>
      <c r="X171" s="1038">
        <v>11</v>
      </c>
      <c r="Y171" s="1038">
        <v>11</v>
      </c>
      <c r="Z171" s="1038">
        <v>11</v>
      </c>
      <c r="AA171" s="1038" t="s">
        <v>517</v>
      </c>
      <c r="AB171" s="1038" t="s">
        <v>517</v>
      </c>
      <c r="AC171" s="768" t="s">
        <v>481</v>
      </c>
      <c r="AD171" s="768" t="s">
        <v>481</v>
      </c>
      <c r="AE171" s="768" t="s">
        <v>481</v>
      </c>
      <c r="AF171" s="768" t="s">
        <v>481</v>
      </c>
      <c r="AG171" s="769"/>
      <c r="AH171" s="826">
        <v>0</v>
      </c>
      <c r="AI171" s="827">
        <v>37</v>
      </c>
    </row>
    <row r="172" spans="1:36" ht="21.95" customHeight="1">
      <c r="A172" s="596">
        <v>7</v>
      </c>
      <c r="B172" s="601" t="s">
        <v>804</v>
      </c>
      <c r="C172" s="768" t="s">
        <v>485</v>
      </c>
      <c r="D172" s="768"/>
      <c r="E172" s="768"/>
      <c r="F172" s="768"/>
      <c r="G172" s="768"/>
      <c r="H172" s="768"/>
      <c r="I172" s="768" t="s">
        <v>485</v>
      </c>
      <c r="J172" s="768" t="s">
        <v>485</v>
      </c>
      <c r="K172" s="768" t="s">
        <v>485</v>
      </c>
      <c r="L172" s="768" t="s">
        <v>485</v>
      </c>
      <c r="M172" s="768"/>
      <c r="N172" s="768"/>
      <c r="O172" s="1038">
        <v>11</v>
      </c>
      <c r="P172" s="1038">
        <v>11</v>
      </c>
      <c r="Q172" s="1038" t="s">
        <v>733</v>
      </c>
      <c r="R172" s="987">
        <v>11</v>
      </c>
      <c r="S172" s="987" t="s">
        <v>733</v>
      </c>
      <c r="T172" s="768" t="s">
        <v>517</v>
      </c>
      <c r="U172" s="768" t="s">
        <v>517</v>
      </c>
      <c r="V172" s="768" t="s">
        <v>481</v>
      </c>
      <c r="W172" s="768">
        <v>7</v>
      </c>
      <c r="X172" s="768">
        <v>7</v>
      </c>
      <c r="Y172" s="768">
        <v>7</v>
      </c>
      <c r="Z172" s="768">
        <v>7</v>
      </c>
      <c r="AA172" s="768"/>
      <c r="AB172" s="768"/>
      <c r="AC172" s="768">
        <v>8</v>
      </c>
      <c r="AD172" s="768">
        <v>8</v>
      </c>
      <c r="AE172" s="768">
        <v>8</v>
      </c>
      <c r="AF172" s="768">
        <v>8</v>
      </c>
      <c r="AG172" s="769"/>
      <c r="AH172" s="826">
        <v>0</v>
      </c>
      <c r="AI172" s="827">
        <v>37</v>
      </c>
    </row>
    <row r="173" spans="1:36" ht="21.95" customHeight="1">
      <c r="A173" s="596">
        <v>8</v>
      </c>
      <c r="B173" s="1153" t="s">
        <v>805</v>
      </c>
      <c r="C173" s="768">
        <v>1</v>
      </c>
      <c r="D173" s="768">
        <v>1</v>
      </c>
      <c r="E173" s="768">
        <v>1</v>
      </c>
      <c r="F173" s="768"/>
      <c r="G173" s="768"/>
      <c r="H173" s="768"/>
      <c r="I173" s="768">
        <v>5</v>
      </c>
      <c r="J173" s="768">
        <v>5</v>
      </c>
      <c r="K173" s="768">
        <v>5</v>
      </c>
      <c r="L173" s="1044">
        <v>5</v>
      </c>
      <c r="M173" s="768" t="s">
        <v>515</v>
      </c>
      <c r="N173" s="768"/>
      <c r="O173" s="768" t="s">
        <v>491</v>
      </c>
      <c r="P173" s="987">
        <v>11</v>
      </c>
      <c r="Q173" s="987">
        <v>11</v>
      </c>
      <c r="R173" s="768">
        <v>11</v>
      </c>
      <c r="S173" s="768">
        <v>11</v>
      </c>
      <c r="T173" s="768"/>
      <c r="U173" s="768"/>
      <c r="V173" s="768">
        <v>7</v>
      </c>
      <c r="W173" s="768" t="s">
        <v>554</v>
      </c>
      <c r="X173" s="768" t="s">
        <v>554</v>
      </c>
      <c r="Y173" s="768" t="s">
        <v>553</v>
      </c>
      <c r="Z173" s="768" t="s">
        <v>553</v>
      </c>
      <c r="AA173" s="768" t="s">
        <v>515</v>
      </c>
      <c r="AB173" s="768" t="s">
        <v>515</v>
      </c>
      <c r="AC173" s="768" t="s">
        <v>481</v>
      </c>
      <c r="AD173" s="768" t="s">
        <v>481</v>
      </c>
      <c r="AE173" s="768" t="s">
        <v>481</v>
      </c>
      <c r="AF173" s="768" t="s">
        <v>491</v>
      </c>
      <c r="AG173" s="769"/>
      <c r="AH173" s="826">
        <v>0</v>
      </c>
      <c r="AI173" s="827">
        <v>37</v>
      </c>
    </row>
    <row r="174" spans="1:36" ht="21.95" customHeight="1">
      <c r="A174" s="596">
        <v>9</v>
      </c>
      <c r="B174" s="1153"/>
      <c r="C174" s="768"/>
      <c r="D174" s="768"/>
      <c r="E174" s="768"/>
      <c r="F174" s="768"/>
      <c r="G174" s="768"/>
      <c r="H174" s="768"/>
      <c r="I174" s="768"/>
      <c r="J174" s="768"/>
      <c r="K174" s="768"/>
      <c r="L174" s="768"/>
      <c r="M174" s="768"/>
      <c r="N174" s="768"/>
      <c r="O174" s="768"/>
      <c r="P174" s="768"/>
      <c r="Q174" s="768"/>
      <c r="R174" s="768"/>
      <c r="S174" s="768"/>
      <c r="T174" s="768"/>
      <c r="U174" s="768"/>
      <c r="V174" s="768"/>
      <c r="W174" s="768"/>
      <c r="X174" s="768"/>
      <c r="Y174" s="768"/>
      <c r="Z174" s="768"/>
      <c r="AA174" s="768"/>
      <c r="AB174" s="768"/>
      <c r="AC174" s="768"/>
      <c r="AD174" s="768"/>
      <c r="AE174" s="768"/>
      <c r="AF174" s="768"/>
      <c r="AG174" s="769"/>
      <c r="AH174" s="826">
        <v>185</v>
      </c>
      <c r="AI174" s="827">
        <v>37</v>
      </c>
    </row>
    <row r="175" spans="1:36" ht="21.95" customHeight="1">
      <c r="A175" s="596">
        <v>10</v>
      </c>
      <c r="B175" s="153"/>
      <c r="C175" s="766"/>
      <c r="D175" s="766"/>
      <c r="E175" s="766"/>
      <c r="F175" s="766"/>
      <c r="G175" s="766"/>
      <c r="H175" s="766"/>
      <c r="I175" s="766"/>
      <c r="J175" s="766"/>
      <c r="K175" s="766"/>
      <c r="L175" s="766"/>
      <c r="M175" s="766"/>
      <c r="N175" s="766"/>
      <c r="O175" s="766"/>
      <c r="P175" s="766"/>
      <c r="Q175" s="766"/>
      <c r="R175" s="766"/>
      <c r="S175" s="766"/>
      <c r="T175" s="766"/>
      <c r="U175" s="766"/>
      <c r="V175" s="766"/>
      <c r="W175" s="768"/>
      <c r="X175" s="766"/>
      <c r="Y175" s="766"/>
      <c r="Z175" s="766"/>
      <c r="AA175" s="766"/>
      <c r="AB175" s="766"/>
      <c r="AC175" s="766"/>
      <c r="AD175" s="766"/>
      <c r="AE175" s="766"/>
      <c r="AF175" s="766"/>
      <c r="AG175" s="783"/>
      <c r="AH175" s="826">
        <v>185</v>
      </c>
      <c r="AI175" s="827">
        <v>37</v>
      </c>
    </row>
    <row r="176" spans="1:36" ht="21.95" customHeight="1">
      <c r="A176" s="596">
        <v>11</v>
      </c>
      <c r="B176" s="153"/>
      <c r="C176" s="766"/>
      <c r="D176" s="766"/>
      <c r="E176" s="766"/>
      <c r="F176" s="766"/>
      <c r="G176" s="766"/>
      <c r="H176" s="766"/>
      <c r="I176" s="766"/>
      <c r="J176" s="766"/>
      <c r="K176" s="766"/>
      <c r="L176" s="766"/>
      <c r="M176" s="766"/>
      <c r="N176" s="766"/>
      <c r="O176" s="766"/>
      <c r="P176" s="766"/>
      <c r="Q176" s="766"/>
      <c r="R176" s="766"/>
      <c r="S176" s="766"/>
      <c r="T176" s="766"/>
      <c r="U176" s="766"/>
      <c r="V176" s="766"/>
      <c r="W176" s="768"/>
      <c r="X176" s="766"/>
      <c r="Y176" s="766"/>
      <c r="Z176" s="766"/>
      <c r="AA176" s="766"/>
      <c r="AB176" s="766"/>
      <c r="AC176" s="766"/>
      <c r="AD176" s="766"/>
      <c r="AE176" s="766"/>
      <c r="AF176" s="766"/>
      <c r="AG176" s="783"/>
      <c r="AH176" s="826">
        <v>185</v>
      </c>
      <c r="AI176" s="827">
        <v>37</v>
      </c>
    </row>
    <row r="177" spans="1:35" ht="21.95" customHeight="1" thickBot="1">
      <c r="A177" s="894">
        <v>12</v>
      </c>
      <c r="B177" s="895"/>
      <c r="C177" s="863"/>
      <c r="D177" s="863"/>
      <c r="E177" s="863"/>
      <c r="F177" s="863"/>
      <c r="G177" s="863"/>
      <c r="H177" s="863"/>
      <c r="I177" s="863"/>
      <c r="J177" s="863"/>
      <c r="K177" s="863"/>
      <c r="L177" s="863"/>
      <c r="M177" s="863"/>
      <c r="N177" s="863"/>
      <c r="O177" s="863"/>
      <c r="P177" s="863"/>
      <c r="Q177" s="863"/>
      <c r="R177" s="863"/>
      <c r="S177" s="863"/>
      <c r="T177" s="863"/>
      <c r="U177" s="863"/>
      <c r="V177" s="863"/>
      <c r="W177" s="867"/>
      <c r="X177" s="863"/>
      <c r="Y177" s="863"/>
      <c r="Z177" s="863"/>
      <c r="AA177" s="863"/>
      <c r="AB177" s="863"/>
      <c r="AC177" s="863"/>
      <c r="AD177" s="863"/>
      <c r="AE177" s="863"/>
      <c r="AF177" s="863"/>
      <c r="AG177" s="896"/>
      <c r="AH177" s="828">
        <v>185</v>
      </c>
      <c r="AI177" s="829">
        <v>37</v>
      </c>
    </row>
    <row r="178" spans="1:35" ht="21" customHeight="1">
      <c r="A178" s="312" t="s">
        <v>659</v>
      </c>
    </row>
    <row r="179" spans="1:35" ht="21" customHeight="1" thickBot="1">
      <c r="A179" s="861"/>
      <c r="B179" s="862" t="s">
        <v>476</v>
      </c>
      <c r="C179" s="863">
        <v>1</v>
      </c>
      <c r="D179" s="880">
        <v>2</v>
      </c>
      <c r="E179" s="880">
        <v>3</v>
      </c>
      <c r="F179" s="880">
        <v>4</v>
      </c>
      <c r="G179" s="880">
        <v>5</v>
      </c>
      <c r="H179" s="880">
        <v>6</v>
      </c>
      <c r="I179" s="863">
        <v>7</v>
      </c>
      <c r="J179" s="863">
        <v>8</v>
      </c>
      <c r="K179" s="863">
        <v>9</v>
      </c>
      <c r="L179" s="863">
        <v>10</v>
      </c>
      <c r="M179" s="880">
        <v>11</v>
      </c>
      <c r="N179" s="880">
        <v>12</v>
      </c>
      <c r="O179" s="863">
        <v>13</v>
      </c>
      <c r="P179" s="863">
        <v>14</v>
      </c>
      <c r="Q179" s="863">
        <v>15</v>
      </c>
      <c r="R179" s="863">
        <v>16</v>
      </c>
      <c r="S179" s="863">
        <v>17</v>
      </c>
      <c r="T179" s="880">
        <v>18</v>
      </c>
      <c r="U179" s="880">
        <v>19</v>
      </c>
      <c r="V179" s="863">
        <v>20</v>
      </c>
      <c r="W179" s="863">
        <v>21</v>
      </c>
      <c r="X179" s="863">
        <v>22</v>
      </c>
      <c r="Y179" s="863">
        <v>23</v>
      </c>
      <c r="Z179" s="863">
        <v>24</v>
      </c>
      <c r="AA179" s="880">
        <v>25</v>
      </c>
      <c r="AB179" s="880">
        <v>26</v>
      </c>
      <c r="AC179" s="863">
        <v>27</v>
      </c>
      <c r="AD179" s="863">
        <v>28</v>
      </c>
      <c r="AE179" s="863">
        <v>29</v>
      </c>
      <c r="AF179" s="863">
        <v>30</v>
      </c>
      <c r="AG179" s="863"/>
      <c r="AH179" s="600"/>
    </row>
    <row r="180" spans="1:35" ht="21" customHeight="1">
      <c r="A180" s="897">
        <v>1</v>
      </c>
      <c r="B180" s="859" t="s">
        <v>807</v>
      </c>
      <c r="C180" s="768">
        <v>8</v>
      </c>
      <c r="D180" s="768">
        <v>4</v>
      </c>
      <c r="E180" s="768">
        <v>4</v>
      </c>
      <c r="F180" s="768"/>
      <c r="G180" s="768"/>
      <c r="H180" s="768">
        <v>1</v>
      </c>
      <c r="I180" s="768" t="s">
        <v>481</v>
      </c>
      <c r="J180" s="768">
        <v>1</v>
      </c>
      <c r="K180" s="1038">
        <v>1</v>
      </c>
      <c r="L180" s="1038">
        <v>1</v>
      </c>
      <c r="M180" s="1038"/>
      <c r="N180" s="1038" t="s">
        <v>765</v>
      </c>
      <c r="O180" s="768">
        <v>10</v>
      </c>
      <c r="P180" s="768">
        <v>10</v>
      </c>
      <c r="Q180" s="768">
        <v>10</v>
      </c>
      <c r="R180" s="768">
        <v>10</v>
      </c>
      <c r="S180" s="768">
        <v>10</v>
      </c>
      <c r="T180" s="768" t="s">
        <v>514</v>
      </c>
      <c r="U180" s="768" t="s">
        <v>514</v>
      </c>
      <c r="V180" s="768" t="s">
        <v>481</v>
      </c>
      <c r="W180" s="768" t="s">
        <v>481</v>
      </c>
      <c r="X180" s="768" t="s">
        <v>481</v>
      </c>
      <c r="Y180" s="768" t="s">
        <v>481</v>
      </c>
      <c r="Z180" s="768" t="s">
        <v>481</v>
      </c>
      <c r="AA180" s="768"/>
      <c r="AB180" s="768"/>
      <c r="AC180" s="768">
        <v>7</v>
      </c>
      <c r="AD180" s="768">
        <v>7</v>
      </c>
      <c r="AE180" s="768">
        <v>7</v>
      </c>
      <c r="AF180" s="768">
        <v>7</v>
      </c>
      <c r="AG180" s="898"/>
      <c r="AH180" s="600"/>
    </row>
    <row r="181" spans="1:35" ht="21" customHeight="1">
      <c r="A181" s="552">
        <v>2</v>
      </c>
      <c r="B181" s="601" t="s">
        <v>814</v>
      </c>
      <c r="C181" s="1044" t="s">
        <v>481</v>
      </c>
      <c r="D181" s="768">
        <v>8</v>
      </c>
      <c r="E181" s="768"/>
      <c r="F181" s="768" t="s">
        <v>513</v>
      </c>
      <c r="G181" s="768" t="s">
        <v>513</v>
      </c>
      <c r="H181" s="768" t="s">
        <v>481</v>
      </c>
      <c r="I181" s="768" t="s">
        <v>481</v>
      </c>
      <c r="J181" s="768" t="s">
        <v>481</v>
      </c>
      <c r="K181" s="768">
        <v>1</v>
      </c>
      <c r="L181" s="1044">
        <v>1</v>
      </c>
      <c r="M181" s="768"/>
      <c r="N181" s="768"/>
      <c r="O181" s="1044">
        <v>8</v>
      </c>
      <c r="P181" s="768">
        <v>8</v>
      </c>
      <c r="Q181" s="768">
        <v>8</v>
      </c>
      <c r="R181" s="768">
        <v>8</v>
      </c>
      <c r="S181" s="768">
        <v>8</v>
      </c>
      <c r="T181" s="768" t="s">
        <v>513</v>
      </c>
      <c r="U181" s="768" t="s">
        <v>513</v>
      </c>
      <c r="V181" s="1044" t="s">
        <v>481</v>
      </c>
      <c r="W181" s="1044" t="s">
        <v>481</v>
      </c>
      <c r="X181" s="1044">
        <v>11</v>
      </c>
      <c r="Y181" s="768" t="s">
        <v>481</v>
      </c>
      <c r="Z181" s="1044">
        <v>4</v>
      </c>
      <c r="AA181" s="768"/>
      <c r="AB181" s="768"/>
      <c r="AC181" s="768">
        <v>5</v>
      </c>
      <c r="AD181" s="1044">
        <v>5</v>
      </c>
      <c r="AE181" s="1044">
        <v>5</v>
      </c>
      <c r="AF181" s="768">
        <v>5</v>
      </c>
      <c r="AG181" s="172"/>
      <c r="AH181" s="600"/>
    </row>
    <row r="182" spans="1:35" ht="21" customHeight="1">
      <c r="A182" s="552">
        <v>3</v>
      </c>
      <c r="B182" s="601" t="s">
        <v>809</v>
      </c>
      <c r="C182" s="1038" t="s">
        <v>491</v>
      </c>
      <c r="D182" s="1038"/>
      <c r="E182" s="1038"/>
      <c r="F182" s="1038"/>
      <c r="G182" s="1038"/>
      <c r="H182" s="1038"/>
      <c r="I182" s="1038" t="s">
        <v>491</v>
      </c>
      <c r="J182" s="1038" t="s">
        <v>491</v>
      </c>
      <c r="K182" s="1038" t="s">
        <v>491</v>
      </c>
      <c r="L182" s="1038" t="s">
        <v>493</v>
      </c>
      <c r="M182" s="768"/>
      <c r="N182" s="768"/>
      <c r="O182" s="768"/>
      <c r="P182" s="768"/>
      <c r="Q182" s="768"/>
      <c r="R182" s="768"/>
      <c r="S182" s="768"/>
      <c r="T182" s="768"/>
      <c r="U182" s="768"/>
      <c r="V182" s="768"/>
      <c r="W182" s="768"/>
      <c r="X182" s="768"/>
      <c r="Y182" s="768"/>
      <c r="Z182" s="768"/>
      <c r="AA182" s="768"/>
      <c r="AB182" s="768"/>
      <c r="AC182" s="768"/>
      <c r="AD182" s="768"/>
      <c r="AE182" s="768"/>
      <c r="AF182" s="768"/>
      <c r="AG182" s="172"/>
      <c r="AH182" s="600"/>
    </row>
    <row r="183" spans="1:35" ht="21" customHeight="1">
      <c r="A183" s="552">
        <v>4</v>
      </c>
      <c r="B183" s="542"/>
      <c r="C183" s="766"/>
      <c r="D183" s="766"/>
      <c r="E183" s="766"/>
      <c r="F183" s="766"/>
      <c r="G183" s="766"/>
      <c r="H183" s="766"/>
      <c r="I183" s="766"/>
      <c r="J183" s="766"/>
      <c r="K183" s="766"/>
      <c r="L183" s="766"/>
      <c r="M183" s="766"/>
      <c r="N183" s="766"/>
      <c r="O183" s="766"/>
      <c r="P183" s="766"/>
      <c r="Q183" s="766"/>
      <c r="R183" s="766"/>
      <c r="S183" s="766"/>
      <c r="T183" s="766"/>
      <c r="U183" s="766"/>
      <c r="V183" s="766"/>
      <c r="W183" s="766"/>
      <c r="X183" s="766"/>
      <c r="Y183" s="766"/>
      <c r="Z183" s="766"/>
      <c r="AA183" s="766"/>
      <c r="AB183" s="766"/>
      <c r="AC183" s="766"/>
      <c r="AD183" s="766"/>
      <c r="AE183" s="766"/>
      <c r="AF183" s="766"/>
      <c r="AG183" s="172"/>
      <c r="AH183" s="600"/>
    </row>
    <row r="184" spans="1:35" ht="21" customHeight="1" thickBot="1">
      <c r="A184" s="861">
        <v>5</v>
      </c>
      <c r="B184" s="874"/>
      <c r="C184" s="863"/>
      <c r="D184" s="863"/>
      <c r="E184" s="863"/>
      <c r="F184" s="863"/>
      <c r="G184" s="863"/>
      <c r="H184" s="863"/>
      <c r="I184" s="863"/>
      <c r="J184" s="863"/>
      <c r="K184" s="863"/>
      <c r="L184" s="863"/>
      <c r="M184" s="863"/>
      <c r="N184" s="863"/>
      <c r="O184" s="863"/>
      <c r="P184" s="863"/>
      <c r="Q184" s="863"/>
      <c r="R184" s="863"/>
      <c r="S184" s="863"/>
      <c r="T184" s="863"/>
      <c r="U184" s="863"/>
      <c r="V184" s="863"/>
      <c r="W184" s="863"/>
      <c r="X184" s="863"/>
      <c r="Y184" s="863"/>
      <c r="Z184" s="863"/>
      <c r="AA184" s="863"/>
      <c r="AB184" s="863"/>
      <c r="AC184" s="863"/>
      <c r="AD184" s="863"/>
      <c r="AE184" s="863"/>
      <c r="AF184" s="863"/>
      <c r="AG184" s="899"/>
      <c r="AH184" s="600"/>
    </row>
    <row r="185" spans="1:35" ht="21" customHeight="1">
      <c r="A185" s="785"/>
      <c r="B185" s="354"/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  <c r="M185" s="139"/>
      <c r="N185" s="786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600"/>
    </row>
    <row r="186" spans="1:35" ht="21.95" customHeight="1" thickBot="1">
      <c r="A186" s="1" t="s">
        <v>663</v>
      </c>
      <c r="B186" s="274"/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</row>
    <row r="187" spans="1:35" ht="21.95" customHeight="1">
      <c r="A187" s="1"/>
      <c r="B187" s="796" t="s">
        <v>664</v>
      </c>
      <c r="C187" s="51" t="s">
        <v>2</v>
      </c>
      <c r="D187" s="51"/>
      <c r="E187" s="51"/>
      <c r="F187" s="51"/>
      <c r="G187" s="798" t="s">
        <v>3</v>
      </c>
      <c r="H187" s="51"/>
      <c r="I187" s="51"/>
      <c r="J187" s="51"/>
      <c r="K187" s="798" t="s">
        <v>4</v>
      </c>
      <c r="L187" s="51"/>
      <c r="M187" s="51"/>
      <c r="N187" s="51"/>
      <c r="O187" s="798" t="s">
        <v>5</v>
      </c>
      <c r="P187" s="51"/>
      <c r="Q187" s="51"/>
      <c r="R187" s="51"/>
      <c r="S187" s="798" t="s">
        <v>6</v>
      </c>
      <c r="T187" s="51"/>
      <c r="U187" s="51"/>
      <c r="V187" s="51"/>
      <c r="W187" s="51"/>
      <c r="X187" s="802" t="s">
        <v>7</v>
      </c>
      <c r="Y187" s="51"/>
      <c r="Z187" s="548"/>
      <c r="AA187" s="7"/>
      <c r="AB187" s="522" t="s">
        <v>8</v>
      </c>
      <c r="AC187" s="51"/>
      <c r="AD187" s="51"/>
      <c r="AE187" s="425" t="s">
        <v>10</v>
      </c>
      <c r="AF187" s="51"/>
      <c r="AG187" s="51"/>
      <c r="AH187" s="51"/>
      <c r="AI187" s="523"/>
    </row>
    <row r="188" spans="1:35" ht="21.95" customHeight="1">
      <c r="A188" s="1"/>
      <c r="B188" s="796">
        <v>3701</v>
      </c>
      <c r="C188" s="55" t="s">
        <v>665</v>
      </c>
      <c r="D188" s="55"/>
      <c r="E188" s="55"/>
      <c r="F188" s="55"/>
      <c r="G188" s="799" t="s">
        <v>124</v>
      </c>
      <c r="H188" s="55"/>
      <c r="I188" s="55"/>
      <c r="J188" s="55"/>
      <c r="K188" s="799" t="s">
        <v>124</v>
      </c>
      <c r="L188" s="55"/>
      <c r="M188" s="55"/>
      <c r="N188" s="55"/>
      <c r="O188" s="799" t="s">
        <v>124</v>
      </c>
      <c r="P188" s="55"/>
      <c r="Q188" s="55"/>
      <c r="R188" s="55"/>
      <c r="S188" s="799" t="s">
        <v>125</v>
      </c>
      <c r="T188" s="55"/>
      <c r="U188" s="55"/>
      <c r="V188" s="55"/>
      <c r="W188" s="55"/>
      <c r="X188" s="803"/>
      <c r="Y188" s="55"/>
      <c r="Z188" s="602"/>
      <c r="AA188" s="14"/>
      <c r="AB188" s="603"/>
      <c r="AC188" s="55"/>
      <c r="AD188" s="55"/>
      <c r="AE188" s="604"/>
      <c r="AF188" s="55"/>
      <c r="AG188" s="55"/>
      <c r="AH188" s="55"/>
      <c r="AI188" s="605"/>
    </row>
    <row r="189" spans="1:35" ht="21.95" customHeight="1">
      <c r="B189" s="796">
        <v>3700</v>
      </c>
      <c r="C189" s="157" t="s">
        <v>535</v>
      </c>
      <c r="D189" s="157"/>
      <c r="E189" s="157"/>
      <c r="F189" s="157"/>
      <c r="G189" s="712" t="s">
        <v>535</v>
      </c>
      <c r="H189" s="157"/>
      <c r="I189" s="157"/>
      <c r="J189" s="157"/>
      <c r="K189" s="712" t="s">
        <v>535</v>
      </c>
      <c r="L189" s="157"/>
      <c r="M189" s="157"/>
      <c r="N189" s="157"/>
      <c r="O189" s="712" t="s">
        <v>535</v>
      </c>
      <c r="P189" s="157"/>
      <c r="Q189" s="157"/>
      <c r="R189" s="157"/>
      <c r="S189" s="712" t="s">
        <v>116</v>
      </c>
      <c r="T189" s="157"/>
      <c r="U189" s="157"/>
      <c r="V189" s="157"/>
      <c r="W189" s="157"/>
      <c r="X189" s="712"/>
      <c r="Y189" s="157"/>
      <c r="Z189" s="564"/>
      <c r="AA189" s="563"/>
      <c r="AB189" s="157"/>
      <c r="AC189" s="157"/>
      <c r="AD189" s="565"/>
      <c r="AE189" s="607"/>
      <c r="AF189" s="157"/>
      <c r="AG189" s="157"/>
      <c r="AH189" s="565"/>
      <c r="AI189" s="490"/>
    </row>
    <row r="190" spans="1:35" ht="21.95" customHeight="1">
      <c r="A190" s="1"/>
      <c r="B190" s="796">
        <v>8514</v>
      </c>
      <c r="C190" s="157" t="s">
        <v>124</v>
      </c>
      <c r="D190" s="157"/>
      <c r="E190" s="157"/>
      <c r="F190" s="157"/>
      <c r="G190" s="712" t="s">
        <v>124</v>
      </c>
      <c r="H190" s="157"/>
      <c r="I190" s="157"/>
      <c r="J190" s="157"/>
      <c r="K190" s="712" t="s">
        <v>124</v>
      </c>
      <c r="L190" s="157"/>
      <c r="M190" s="157"/>
      <c r="N190" s="157"/>
      <c r="O190" s="712" t="s">
        <v>124</v>
      </c>
      <c r="P190" s="157"/>
      <c r="Q190" s="157"/>
      <c r="R190" s="157"/>
      <c r="S190" s="712" t="s">
        <v>666</v>
      </c>
      <c r="T190" s="157"/>
      <c r="U190" s="157"/>
      <c r="V190" s="157"/>
      <c r="W190" s="157"/>
      <c r="X190" s="712"/>
      <c r="Y190" s="157"/>
      <c r="Z190" s="564"/>
      <c r="AA190" s="121"/>
      <c r="AB190" s="157"/>
      <c r="AC190" s="157"/>
      <c r="AD190" s="565"/>
      <c r="AE190" s="121"/>
      <c r="AF190" s="157"/>
      <c r="AG190" s="157"/>
      <c r="AH190" s="565"/>
      <c r="AI190" s="490"/>
    </row>
    <row r="191" spans="1:35" ht="21.95" customHeight="1">
      <c r="A191" s="1"/>
      <c r="B191" s="796">
        <v>8500</v>
      </c>
      <c r="C191" s="55" t="s">
        <v>11</v>
      </c>
      <c r="D191" s="55"/>
      <c r="E191" s="55"/>
      <c r="F191" s="55"/>
      <c r="G191" s="799" t="s">
        <v>11</v>
      </c>
      <c r="H191" s="55"/>
      <c r="I191" s="55"/>
      <c r="J191" s="55"/>
      <c r="K191" s="799" t="s">
        <v>11</v>
      </c>
      <c r="L191" s="55"/>
      <c r="M191" s="55"/>
      <c r="N191" s="55"/>
      <c r="O191" s="799" t="s">
        <v>11</v>
      </c>
      <c r="P191" s="55"/>
      <c r="Q191" s="55"/>
      <c r="R191" s="55"/>
      <c r="S191" s="799" t="s">
        <v>12</v>
      </c>
      <c r="T191" s="55"/>
      <c r="U191" s="55"/>
      <c r="V191" s="55"/>
      <c r="W191" s="55"/>
      <c r="X191" s="799"/>
      <c r="Y191" s="55"/>
      <c r="Z191" s="609"/>
      <c r="AA191" s="608"/>
      <c r="AB191" s="55"/>
      <c r="AC191" s="55"/>
      <c r="AD191" s="609"/>
      <c r="AE191" s="608"/>
      <c r="AF191" s="55"/>
      <c r="AG191" s="55"/>
      <c r="AH191" s="594"/>
      <c r="AI191" s="605"/>
    </row>
    <row r="192" spans="1:35" ht="21.95" customHeight="1">
      <c r="A192" s="1"/>
      <c r="B192" s="796">
        <v>8514</v>
      </c>
      <c r="C192" s="610" t="s">
        <v>124</v>
      </c>
      <c r="D192" s="610"/>
      <c r="E192" s="610"/>
      <c r="F192" s="610"/>
      <c r="G192" s="800" t="s">
        <v>124</v>
      </c>
      <c r="H192" s="610"/>
      <c r="I192" s="610"/>
      <c r="J192" s="610"/>
      <c r="K192" s="800" t="s">
        <v>124</v>
      </c>
      <c r="L192" s="610"/>
      <c r="M192" s="610"/>
      <c r="N192" s="610"/>
      <c r="O192" s="800" t="s">
        <v>124</v>
      </c>
      <c r="P192" s="610"/>
      <c r="Q192" s="610"/>
      <c r="R192" s="610"/>
      <c r="S192" s="800" t="s">
        <v>666</v>
      </c>
      <c r="T192" s="610"/>
      <c r="U192" s="610"/>
      <c r="V192" s="610"/>
      <c r="W192" s="610"/>
      <c r="X192" s="803"/>
      <c r="Y192" s="55"/>
      <c r="Z192" s="602"/>
      <c r="AA192" s="14"/>
      <c r="AB192" s="603"/>
      <c r="AC192" s="55"/>
      <c r="AD192" s="55"/>
      <c r="AE192" s="604"/>
      <c r="AF192" s="55"/>
      <c r="AG192" s="55"/>
      <c r="AH192" s="55"/>
      <c r="AI192" s="605"/>
    </row>
    <row r="193" spans="1:35" ht="21.95" customHeight="1" thickBot="1">
      <c r="A193" s="1"/>
      <c r="B193" s="797" t="s">
        <v>667</v>
      </c>
      <c r="C193" s="53" t="s">
        <v>668</v>
      </c>
      <c r="D193" s="53"/>
      <c r="E193" s="53"/>
      <c r="F193" s="53"/>
      <c r="G193" s="801" t="s">
        <v>668</v>
      </c>
      <c r="H193" s="53"/>
      <c r="I193" s="53"/>
      <c r="J193" s="53"/>
      <c r="K193" s="53" t="s">
        <v>668</v>
      </c>
      <c r="L193" s="53"/>
      <c r="M193" s="53"/>
      <c r="N193" s="53"/>
      <c r="O193" s="801" t="s">
        <v>668</v>
      </c>
      <c r="P193" s="53"/>
      <c r="Q193" s="53"/>
      <c r="R193" s="53"/>
      <c r="S193" s="801" t="s">
        <v>669</v>
      </c>
      <c r="T193" s="53"/>
      <c r="U193" s="53"/>
      <c r="V193" s="53"/>
      <c r="W193" s="53"/>
      <c r="X193" s="801"/>
      <c r="Y193" s="53"/>
      <c r="Z193" s="571"/>
      <c r="AA193" s="570"/>
      <c r="AB193" s="53"/>
      <c r="AC193" s="53"/>
      <c r="AD193" s="573"/>
      <c r="AE193" s="612"/>
      <c r="AF193" s="53"/>
      <c r="AG193" s="53"/>
      <c r="AH193" s="573"/>
      <c r="AI193" s="536"/>
    </row>
    <row r="194" spans="1:35" ht="21.95" customHeight="1">
      <c r="A194" s="1"/>
      <c r="B194" s="72"/>
      <c r="C194" s="312"/>
      <c r="F194" s="354"/>
      <c r="G194" s="312"/>
      <c r="J194" s="354"/>
      <c r="K194" s="312"/>
      <c r="N194" s="354"/>
      <c r="O194" s="312"/>
      <c r="R194" s="354"/>
      <c r="S194" s="312"/>
      <c r="V194" s="354"/>
      <c r="W194" s="354"/>
      <c r="Z194" s="354"/>
      <c r="AA194" s="354"/>
      <c r="AD194" s="354"/>
      <c r="AE194" s="354"/>
      <c r="AH194" s="354"/>
    </row>
    <row r="195" spans="1:35" ht="21.95" customHeight="1" thickBot="1">
      <c r="A195" s="1" t="s">
        <v>785</v>
      </c>
      <c r="B195" s="72"/>
      <c r="C195" s="312"/>
      <c r="F195" s="354"/>
      <c r="G195" s="312"/>
      <c r="J195" s="354"/>
      <c r="K195" s="312"/>
      <c r="N195" s="354"/>
      <c r="O195" s="312"/>
      <c r="R195" s="354"/>
      <c r="S195" s="312"/>
      <c r="V195" s="354"/>
      <c r="W195" s="354"/>
      <c r="Z195" s="354"/>
      <c r="AA195" s="354"/>
      <c r="AD195" s="354"/>
      <c r="AE195" s="354"/>
      <c r="AH195" s="354"/>
    </row>
    <row r="196" spans="1:35" ht="21.95" customHeight="1" thickBot="1">
      <c r="A196" s="861"/>
      <c r="B196" s="862" t="s">
        <v>476</v>
      </c>
      <c r="C196" s="863">
        <v>1</v>
      </c>
      <c r="D196" s="880">
        <v>2</v>
      </c>
      <c r="E196" s="880">
        <v>3</v>
      </c>
      <c r="F196" s="880">
        <v>4</v>
      </c>
      <c r="G196" s="880">
        <v>5</v>
      </c>
      <c r="H196" s="880">
        <v>6</v>
      </c>
      <c r="I196" s="863">
        <v>7</v>
      </c>
      <c r="J196" s="863">
        <v>8</v>
      </c>
      <c r="K196" s="863">
        <v>9</v>
      </c>
      <c r="L196" s="863">
        <v>10</v>
      </c>
      <c r="M196" s="880">
        <v>11</v>
      </c>
      <c r="N196" s="880">
        <v>12</v>
      </c>
      <c r="O196" s="863">
        <v>13</v>
      </c>
      <c r="P196" s="863">
        <v>14</v>
      </c>
      <c r="Q196" s="863">
        <v>15</v>
      </c>
      <c r="R196" s="863">
        <v>16</v>
      </c>
      <c r="S196" s="863">
        <v>17</v>
      </c>
      <c r="T196" s="880">
        <v>18</v>
      </c>
      <c r="U196" s="880">
        <v>19</v>
      </c>
      <c r="V196" s="863">
        <v>20</v>
      </c>
      <c r="W196" s="863">
        <v>21</v>
      </c>
      <c r="X196" s="863">
        <v>22</v>
      </c>
      <c r="Y196" s="863">
        <v>23</v>
      </c>
      <c r="Z196" s="863">
        <v>24</v>
      </c>
      <c r="AA196" s="880">
        <v>25</v>
      </c>
      <c r="AB196" s="880">
        <v>26</v>
      </c>
      <c r="AC196" s="863">
        <v>27</v>
      </c>
      <c r="AD196" s="863">
        <v>28</v>
      </c>
      <c r="AE196" s="863">
        <v>29</v>
      </c>
      <c r="AF196" s="863">
        <v>30</v>
      </c>
      <c r="AG196" s="863"/>
      <c r="AH196" s="864" t="s">
        <v>477</v>
      </c>
      <c r="AI196" s="865" t="s">
        <v>478</v>
      </c>
    </row>
    <row r="197" spans="1:35" ht="21.95" customHeight="1">
      <c r="A197" s="897"/>
      <c r="B197" s="900" t="s">
        <v>671</v>
      </c>
      <c r="C197" s="768" t="s">
        <v>491</v>
      </c>
      <c r="D197" s="768"/>
      <c r="E197" s="768"/>
      <c r="F197" s="768"/>
      <c r="G197" s="768"/>
      <c r="H197" s="768"/>
      <c r="I197" s="768" t="s">
        <v>491</v>
      </c>
      <c r="J197" s="768" t="s">
        <v>491</v>
      </c>
      <c r="K197" s="768" t="s">
        <v>491</v>
      </c>
      <c r="L197" s="768" t="s">
        <v>491</v>
      </c>
      <c r="M197" s="768"/>
      <c r="N197" s="768"/>
      <c r="O197" s="768" t="s">
        <v>491</v>
      </c>
      <c r="P197" s="768" t="s">
        <v>491</v>
      </c>
      <c r="Q197" s="768" t="s">
        <v>491</v>
      </c>
      <c r="R197" s="768" t="s">
        <v>491</v>
      </c>
      <c r="S197" s="768" t="s">
        <v>491</v>
      </c>
      <c r="T197" s="768"/>
      <c r="U197" s="768"/>
      <c r="V197" s="768" t="s">
        <v>491</v>
      </c>
      <c r="W197" s="768" t="s">
        <v>491</v>
      </c>
      <c r="X197" s="768" t="s">
        <v>491</v>
      </c>
      <c r="Y197" s="768" t="s">
        <v>491</v>
      </c>
      <c r="Z197" s="768" t="s">
        <v>491</v>
      </c>
      <c r="AA197" s="768"/>
      <c r="AB197" s="768"/>
      <c r="AC197" s="768" t="s">
        <v>491</v>
      </c>
      <c r="AD197" s="768" t="s">
        <v>491</v>
      </c>
      <c r="AE197" s="768" t="s">
        <v>491</v>
      </c>
      <c r="AF197" s="768" t="s">
        <v>491</v>
      </c>
      <c r="AG197" s="771"/>
      <c r="AH197" s="901">
        <v>74</v>
      </c>
      <c r="AI197" s="902">
        <v>37</v>
      </c>
    </row>
    <row r="198" spans="1:35" ht="21.95" customHeight="1">
      <c r="A198" s="614">
        <v>8500</v>
      </c>
      <c r="B198" s="790" t="s">
        <v>156</v>
      </c>
      <c r="C198" s="970" t="s">
        <v>491</v>
      </c>
      <c r="D198" s="768"/>
      <c r="E198" s="768"/>
      <c r="F198" s="768"/>
      <c r="G198" s="768"/>
      <c r="H198" s="768"/>
      <c r="I198" s="977" t="s">
        <v>491</v>
      </c>
      <c r="J198" s="977" t="s">
        <v>491</v>
      </c>
      <c r="K198" s="970" t="s">
        <v>491</v>
      </c>
      <c r="L198" s="970" t="s">
        <v>491</v>
      </c>
      <c r="M198" s="768"/>
      <c r="N198" s="768"/>
      <c r="O198" s="768" t="s">
        <v>491</v>
      </c>
      <c r="P198" s="768" t="s">
        <v>491</v>
      </c>
      <c r="Q198" s="768" t="s">
        <v>491</v>
      </c>
      <c r="R198" s="768" t="s">
        <v>491</v>
      </c>
      <c r="S198" s="768" t="s">
        <v>491</v>
      </c>
      <c r="T198" s="768"/>
      <c r="U198" s="768"/>
      <c r="V198" s="768" t="s">
        <v>491</v>
      </c>
      <c r="W198" s="768" t="s">
        <v>491</v>
      </c>
      <c r="X198" s="768" t="s">
        <v>491</v>
      </c>
      <c r="Y198" s="768" t="s">
        <v>491</v>
      </c>
      <c r="Z198" s="768" t="s">
        <v>491</v>
      </c>
      <c r="AA198" s="768"/>
      <c r="AB198" s="768"/>
      <c r="AC198" s="768" t="s">
        <v>491</v>
      </c>
      <c r="AD198" s="768" t="s">
        <v>491</v>
      </c>
      <c r="AE198" s="768" t="s">
        <v>491</v>
      </c>
      <c r="AF198" s="768" t="s">
        <v>491</v>
      </c>
      <c r="AG198" s="769"/>
      <c r="AH198" s="597">
        <v>0</v>
      </c>
      <c r="AI198" s="598">
        <v>0</v>
      </c>
    </row>
    <row r="199" spans="1:35" ht="21" customHeight="1">
      <c r="A199" s="442"/>
      <c r="B199" s="789" t="s">
        <v>672</v>
      </c>
      <c r="C199" s="768" t="s">
        <v>491</v>
      </c>
      <c r="D199" s="768"/>
      <c r="E199" s="768"/>
      <c r="F199" s="768"/>
      <c r="G199" s="768"/>
      <c r="H199" s="768"/>
      <c r="I199" s="970" t="s">
        <v>491</v>
      </c>
      <c r="J199" s="970" t="s">
        <v>491</v>
      </c>
      <c r="K199" s="970" t="s">
        <v>491</v>
      </c>
      <c r="L199" s="970" t="s">
        <v>491</v>
      </c>
      <c r="M199" s="768"/>
      <c r="N199" s="768"/>
      <c r="O199" s="768" t="s">
        <v>491</v>
      </c>
      <c r="P199" s="768" t="s">
        <v>491</v>
      </c>
      <c r="Q199" s="768" t="s">
        <v>491</v>
      </c>
      <c r="R199" s="768" t="s">
        <v>491</v>
      </c>
      <c r="S199" s="768" t="s">
        <v>491</v>
      </c>
      <c r="T199" s="768"/>
      <c r="U199" s="768"/>
      <c r="V199" s="768" t="s">
        <v>491</v>
      </c>
      <c r="W199" s="768" t="s">
        <v>491</v>
      </c>
      <c r="X199" s="768" t="s">
        <v>491</v>
      </c>
      <c r="Y199" s="768" t="s">
        <v>491</v>
      </c>
      <c r="Z199" s="768" t="s">
        <v>491</v>
      </c>
      <c r="AA199" s="768"/>
      <c r="AB199" s="768"/>
      <c r="AC199" s="768" t="s">
        <v>491</v>
      </c>
      <c r="AD199" s="768" t="s">
        <v>491</v>
      </c>
      <c r="AE199" s="768" t="s">
        <v>491</v>
      </c>
      <c r="AF199" s="768" t="s">
        <v>491</v>
      </c>
      <c r="AG199" s="769"/>
      <c r="AH199" s="597">
        <v>67</v>
      </c>
      <c r="AI199" s="598">
        <v>37</v>
      </c>
    </row>
    <row r="200" spans="1:35" ht="21" customHeight="1">
      <c r="A200" s="442">
        <v>8521</v>
      </c>
      <c r="B200" s="789" t="s">
        <v>673</v>
      </c>
      <c r="C200" s="1038" t="s">
        <v>491</v>
      </c>
      <c r="D200" s="1038"/>
      <c r="E200" s="1038"/>
      <c r="F200" s="1038"/>
      <c r="G200" s="1038"/>
      <c r="H200" s="1038"/>
      <c r="I200" s="1038" t="s">
        <v>491</v>
      </c>
      <c r="J200" s="1038" t="s">
        <v>491</v>
      </c>
      <c r="K200" s="1038" t="s">
        <v>491</v>
      </c>
      <c r="L200" s="1038" t="s">
        <v>491</v>
      </c>
      <c r="M200" s="1038"/>
      <c r="N200" s="1038"/>
      <c r="O200" s="1038" t="s">
        <v>491</v>
      </c>
      <c r="P200" s="1038" t="s">
        <v>491</v>
      </c>
      <c r="Q200" s="1038" t="s">
        <v>491</v>
      </c>
      <c r="R200" s="1038" t="s">
        <v>491</v>
      </c>
      <c r="S200" s="1038" t="s">
        <v>491</v>
      </c>
      <c r="T200" s="1038"/>
      <c r="U200" s="1038"/>
      <c r="V200" s="1038" t="s">
        <v>491</v>
      </c>
      <c r="W200" s="1038" t="s">
        <v>491</v>
      </c>
      <c r="X200" s="1038" t="s">
        <v>491</v>
      </c>
      <c r="Y200" s="1038" t="s">
        <v>491</v>
      </c>
      <c r="Z200" s="1038" t="s">
        <v>491</v>
      </c>
      <c r="AA200" s="1038"/>
      <c r="AB200" s="1038"/>
      <c r="AC200" s="1038" t="s">
        <v>491</v>
      </c>
      <c r="AD200" s="1038" t="s">
        <v>491</v>
      </c>
      <c r="AE200" s="1038" t="s">
        <v>491</v>
      </c>
      <c r="AF200" s="1038" t="s">
        <v>491</v>
      </c>
      <c r="AG200" s="769"/>
      <c r="AH200" s="597">
        <v>111</v>
      </c>
      <c r="AI200" s="598">
        <v>37</v>
      </c>
    </row>
    <row r="201" spans="1:35" ht="21" customHeight="1">
      <c r="A201" s="442"/>
      <c r="B201" s="791" t="s">
        <v>674</v>
      </c>
      <c r="C201" s="970" t="s">
        <v>491</v>
      </c>
      <c r="D201" s="768"/>
      <c r="E201" s="768"/>
      <c r="F201" s="768"/>
      <c r="G201" s="768"/>
      <c r="H201" s="768"/>
      <c r="I201" s="980" t="s">
        <v>491</v>
      </c>
      <c r="J201" s="980" t="s">
        <v>491</v>
      </c>
      <c r="K201" s="980" t="s">
        <v>491</v>
      </c>
      <c r="L201" s="980" t="s">
        <v>491</v>
      </c>
      <c r="M201" s="768"/>
      <c r="N201" s="768"/>
      <c r="O201" s="768" t="s">
        <v>491</v>
      </c>
      <c r="P201" s="768" t="s">
        <v>491</v>
      </c>
      <c r="Q201" s="768" t="s">
        <v>491</v>
      </c>
      <c r="R201" s="768" t="s">
        <v>491</v>
      </c>
      <c r="S201" s="768" t="s">
        <v>491</v>
      </c>
      <c r="T201" s="768"/>
      <c r="U201" s="768"/>
      <c r="V201" s="1038" t="s">
        <v>491</v>
      </c>
      <c r="W201" s="1038" t="s">
        <v>493</v>
      </c>
      <c r="X201" s="768" t="s">
        <v>491</v>
      </c>
      <c r="Y201" s="768" t="s">
        <v>491</v>
      </c>
      <c r="Z201" s="768" t="s">
        <v>491</v>
      </c>
      <c r="AA201" s="768"/>
      <c r="AB201" s="768"/>
      <c r="AC201" s="768" t="s">
        <v>491</v>
      </c>
      <c r="AD201" s="768" t="s">
        <v>491</v>
      </c>
      <c r="AE201" s="768" t="s">
        <v>491</v>
      </c>
      <c r="AF201" s="768" t="s">
        <v>491</v>
      </c>
      <c r="AG201" s="769"/>
      <c r="AH201" s="597">
        <v>0</v>
      </c>
      <c r="AI201" s="598">
        <v>8</v>
      </c>
    </row>
    <row r="202" spans="1:35" ht="21" customHeight="1">
      <c r="A202" s="442">
        <v>8514</v>
      </c>
      <c r="B202" s="542" t="s">
        <v>675</v>
      </c>
      <c r="C202" s="970" t="s">
        <v>491</v>
      </c>
      <c r="D202" s="768"/>
      <c r="E202" s="768"/>
      <c r="F202" s="768"/>
      <c r="G202" s="768"/>
      <c r="H202" s="768"/>
      <c r="I202" s="970" t="s">
        <v>491</v>
      </c>
      <c r="J202" s="970" t="s">
        <v>491</v>
      </c>
      <c r="K202" s="970" t="s">
        <v>491</v>
      </c>
      <c r="L202" s="970" t="s">
        <v>491</v>
      </c>
      <c r="M202" s="768"/>
      <c r="N202" s="768"/>
      <c r="O202" s="768" t="s">
        <v>491</v>
      </c>
      <c r="P202" s="768" t="s">
        <v>491</v>
      </c>
      <c r="Q202" s="768" t="s">
        <v>491</v>
      </c>
      <c r="R202" s="768" t="s">
        <v>491</v>
      </c>
      <c r="S202" s="768" t="s">
        <v>491</v>
      </c>
      <c r="T202" s="768"/>
      <c r="U202" s="768"/>
      <c r="V202" s="768" t="s">
        <v>491</v>
      </c>
      <c r="W202" s="768" t="s">
        <v>491</v>
      </c>
      <c r="X202" s="768" t="s">
        <v>491</v>
      </c>
      <c r="Y202" s="768" t="s">
        <v>491</v>
      </c>
      <c r="Z202" s="768" t="s">
        <v>491</v>
      </c>
      <c r="AA202" s="768"/>
      <c r="AB202" s="768"/>
      <c r="AC202" s="768" t="s">
        <v>491</v>
      </c>
      <c r="AD202" s="768" t="s">
        <v>491</v>
      </c>
      <c r="AE202" s="768" t="s">
        <v>491</v>
      </c>
      <c r="AF202" s="768" t="s">
        <v>491</v>
      </c>
      <c r="AG202" s="769"/>
      <c r="AH202" s="597">
        <v>0</v>
      </c>
      <c r="AI202" s="598">
        <v>0</v>
      </c>
    </row>
    <row r="203" spans="1:35" ht="21.95" customHeight="1">
      <c r="A203" s="442">
        <v>3701</v>
      </c>
      <c r="B203" s="789" t="s">
        <v>433</v>
      </c>
      <c r="C203" s="970" t="s">
        <v>491</v>
      </c>
      <c r="D203" s="768"/>
      <c r="E203" s="768"/>
      <c r="F203" s="768"/>
      <c r="G203" s="768"/>
      <c r="H203" s="768"/>
      <c r="I203" s="970" t="s">
        <v>491</v>
      </c>
      <c r="J203" s="970" t="s">
        <v>491</v>
      </c>
      <c r="K203" s="970" t="s">
        <v>491</v>
      </c>
      <c r="L203" s="970" t="s">
        <v>491</v>
      </c>
      <c r="M203" s="768"/>
      <c r="N203" s="768"/>
      <c r="O203" s="768" t="s">
        <v>491</v>
      </c>
      <c r="P203" s="768" t="s">
        <v>491</v>
      </c>
      <c r="Q203" s="768" t="s">
        <v>491</v>
      </c>
      <c r="R203" s="768" t="s">
        <v>491</v>
      </c>
      <c r="S203" s="768" t="s">
        <v>491</v>
      </c>
      <c r="T203" s="768"/>
      <c r="U203" s="768"/>
      <c r="V203" s="768" t="s">
        <v>491</v>
      </c>
      <c r="W203" s="768" t="s">
        <v>491</v>
      </c>
      <c r="X203" s="768" t="s">
        <v>491</v>
      </c>
      <c r="Y203" s="977" t="s">
        <v>491</v>
      </c>
      <c r="Z203" s="977" t="s">
        <v>491</v>
      </c>
      <c r="AA203" s="768"/>
      <c r="AB203" s="768"/>
      <c r="AC203" s="768" t="s">
        <v>491</v>
      </c>
      <c r="AD203" s="768" t="s">
        <v>491</v>
      </c>
      <c r="AE203" s="768" t="s">
        <v>491</v>
      </c>
      <c r="AF203" s="768" t="s">
        <v>491</v>
      </c>
      <c r="AG203" s="769"/>
      <c r="AH203" s="597">
        <v>1</v>
      </c>
      <c r="AI203" s="598">
        <v>37</v>
      </c>
    </row>
    <row r="204" spans="1:35" ht="21.95" customHeight="1">
      <c r="A204" s="442">
        <v>3701</v>
      </c>
      <c r="B204" s="789" t="s">
        <v>786</v>
      </c>
      <c r="C204" s="768" t="s">
        <v>491</v>
      </c>
      <c r="D204" s="768"/>
      <c r="E204" s="768"/>
      <c r="F204" s="768"/>
      <c r="G204" s="768"/>
      <c r="H204" s="768"/>
      <c r="I204" s="768" t="s">
        <v>491</v>
      </c>
      <c r="J204" s="768" t="s">
        <v>491</v>
      </c>
      <c r="K204" s="768" t="s">
        <v>491</v>
      </c>
      <c r="L204" s="768" t="s">
        <v>491</v>
      </c>
      <c r="M204" s="768"/>
      <c r="N204" s="768"/>
      <c r="O204" s="768" t="s">
        <v>491</v>
      </c>
      <c r="P204" s="768" t="s">
        <v>491</v>
      </c>
      <c r="Q204" s="768" t="s">
        <v>491</v>
      </c>
      <c r="R204" s="768" t="s">
        <v>491</v>
      </c>
      <c r="S204" s="768" t="s">
        <v>491</v>
      </c>
      <c r="T204" s="768"/>
      <c r="U204" s="768"/>
      <c r="V204" s="768" t="s">
        <v>491</v>
      </c>
      <c r="W204" s="768" t="s">
        <v>491</v>
      </c>
      <c r="X204" s="768" t="s">
        <v>491</v>
      </c>
      <c r="Y204" s="768" t="s">
        <v>491</v>
      </c>
      <c r="Z204" s="768" t="s">
        <v>491</v>
      </c>
      <c r="AA204" s="768"/>
      <c r="AB204" s="768"/>
      <c r="AC204" s="768">
        <v>19</v>
      </c>
      <c r="AD204" s="768">
        <v>19</v>
      </c>
      <c r="AE204" s="768">
        <v>19</v>
      </c>
      <c r="AF204" s="768">
        <v>19</v>
      </c>
      <c r="AG204" s="769"/>
      <c r="AH204" s="597">
        <v>185</v>
      </c>
      <c r="AI204" s="598">
        <v>37</v>
      </c>
    </row>
    <row r="205" spans="1:35" ht="21.95" customHeight="1">
      <c r="A205" s="442">
        <v>3701</v>
      </c>
      <c r="B205" s="789" t="s">
        <v>438</v>
      </c>
      <c r="C205" s="980" t="s">
        <v>491</v>
      </c>
      <c r="D205" s="768"/>
      <c r="E205" s="768"/>
      <c r="F205" s="768"/>
      <c r="G205" s="768"/>
      <c r="H205" s="768"/>
      <c r="I205" s="764">
        <v>19</v>
      </c>
      <c r="J205" s="764">
        <v>19</v>
      </c>
      <c r="K205" s="764">
        <v>19</v>
      </c>
      <c r="L205" s="764">
        <v>19</v>
      </c>
      <c r="M205" s="768"/>
      <c r="N205" s="768"/>
      <c r="O205" s="768" t="s">
        <v>491</v>
      </c>
      <c r="P205" s="768" t="s">
        <v>491</v>
      </c>
      <c r="Q205" s="768" t="s">
        <v>491</v>
      </c>
      <c r="R205" s="768" t="s">
        <v>491</v>
      </c>
      <c r="S205" s="768" t="s">
        <v>491</v>
      </c>
      <c r="T205" s="768"/>
      <c r="U205" s="768"/>
      <c r="V205" s="768" t="s">
        <v>491</v>
      </c>
      <c r="W205" s="977" t="s">
        <v>491</v>
      </c>
      <c r="X205" s="977" t="s">
        <v>491</v>
      </c>
      <c r="Y205" s="768" t="s">
        <v>491</v>
      </c>
      <c r="Z205" s="768" t="s">
        <v>491</v>
      </c>
      <c r="AA205" s="768"/>
      <c r="AB205" s="768"/>
      <c r="AC205" s="768" t="s">
        <v>485</v>
      </c>
      <c r="AD205" s="768" t="s">
        <v>485</v>
      </c>
      <c r="AE205" s="768" t="s">
        <v>485</v>
      </c>
      <c r="AF205" s="768" t="s">
        <v>485</v>
      </c>
      <c r="AG205" s="768"/>
      <c r="AH205" s="597">
        <v>2</v>
      </c>
      <c r="AI205" s="598">
        <v>0</v>
      </c>
    </row>
    <row r="206" spans="1:35" ht="21.95" customHeight="1">
      <c r="A206" s="442">
        <v>3701</v>
      </c>
      <c r="B206" s="789" t="s">
        <v>439</v>
      </c>
      <c r="C206" s="768" t="s">
        <v>491</v>
      </c>
      <c r="D206" s="768"/>
      <c r="E206" s="768"/>
      <c r="F206" s="768"/>
      <c r="G206" s="768"/>
      <c r="H206" s="764"/>
      <c r="I206" s="764" t="s">
        <v>485</v>
      </c>
      <c r="J206" s="964" t="s">
        <v>485</v>
      </c>
      <c r="K206" s="764" t="s">
        <v>485</v>
      </c>
      <c r="L206" s="764" t="s">
        <v>485</v>
      </c>
      <c r="M206" s="768"/>
      <c r="N206" s="768"/>
      <c r="O206" s="768" t="s">
        <v>491</v>
      </c>
      <c r="P206" s="768" t="s">
        <v>491</v>
      </c>
      <c r="Q206" s="768" t="s">
        <v>491</v>
      </c>
      <c r="R206" s="768" t="s">
        <v>491</v>
      </c>
      <c r="S206" s="977" t="s">
        <v>491</v>
      </c>
      <c r="T206" s="768"/>
      <c r="U206" s="768"/>
      <c r="V206" s="768">
        <v>19</v>
      </c>
      <c r="W206" s="987">
        <v>19</v>
      </c>
      <c r="X206" s="987">
        <v>19</v>
      </c>
      <c r="Y206" s="768">
        <v>19</v>
      </c>
      <c r="Z206" s="768">
        <v>19</v>
      </c>
      <c r="AA206" s="768"/>
      <c r="AB206" s="768"/>
      <c r="AC206" s="980" t="s">
        <v>491</v>
      </c>
      <c r="AD206" s="980" t="s">
        <v>491</v>
      </c>
      <c r="AE206" s="980" t="s">
        <v>491</v>
      </c>
      <c r="AF206" s="980" t="s">
        <v>491</v>
      </c>
      <c r="AG206" s="769"/>
      <c r="AH206" s="597">
        <v>2.5</v>
      </c>
      <c r="AI206" s="598">
        <v>31</v>
      </c>
    </row>
    <row r="207" spans="1:35" ht="21.95" customHeight="1">
      <c r="A207" s="442">
        <v>3701</v>
      </c>
      <c r="B207" s="789" t="s">
        <v>677</v>
      </c>
      <c r="C207" s="768" t="s">
        <v>491</v>
      </c>
      <c r="D207" s="768"/>
      <c r="E207" s="768"/>
      <c r="F207" s="768"/>
      <c r="G207" s="768"/>
      <c r="H207" s="768"/>
      <c r="I207" s="977" t="s">
        <v>491</v>
      </c>
      <c r="J207" s="768" t="s">
        <v>491</v>
      </c>
      <c r="K207" s="768" t="s">
        <v>491</v>
      </c>
      <c r="L207" s="768" t="s">
        <v>491</v>
      </c>
      <c r="M207" s="768"/>
      <c r="N207" s="768"/>
      <c r="O207" s="768">
        <v>19</v>
      </c>
      <c r="P207" s="768">
        <v>19</v>
      </c>
      <c r="Q207" s="768">
        <v>19</v>
      </c>
      <c r="R207" s="768">
        <v>19</v>
      </c>
      <c r="S207" s="768">
        <v>19</v>
      </c>
      <c r="T207" s="768"/>
      <c r="U207" s="768"/>
      <c r="V207" s="1038" t="s">
        <v>493</v>
      </c>
      <c r="W207" s="987" t="s">
        <v>485</v>
      </c>
      <c r="X207" s="987" t="s">
        <v>485</v>
      </c>
      <c r="Y207" s="987" t="s">
        <v>485</v>
      </c>
      <c r="Z207" s="987" t="s">
        <v>485</v>
      </c>
      <c r="AA207" s="768"/>
      <c r="AB207" s="768"/>
      <c r="AC207" s="768" t="s">
        <v>491</v>
      </c>
      <c r="AD207" s="768" t="s">
        <v>491</v>
      </c>
      <c r="AE207" s="768" t="s">
        <v>491</v>
      </c>
      <c r="AF207" s="768" t="s">
        <v>491</v>
      </c>
      <c r="AG207" s="769"/>
      <c r="AH207" s="597">
        <v>10</v>
      </c>
      <c r="AI207" s="598">
        <v>37</v>
      </c>
    </row>
    <row r="208" spans="1:35" ht="21.95" customHeight="1">
      <c r="A208" s="442">
        <v>3701</v>
      </c>
      <c r="B208" s="542" t="s">
        <v>678</v>
      </c>
      <c r="C208" s="768" t="s">
        <v>491</v>
      </c>
      <c r="D208" s="768"/>
      <c r="E208" s="768"/>
      <c r="F208" s="768"/>
      <c r="G208" s="768"/>
      <c r="H208" s="768"/>
      <c r="I208" s="768" t="s">
        <v>491</v>
      </c>
      <c r="J208" s="768" t="s">
        <v>491</v>
      </c>
      <c r="K208" s="768" t="s">
        <v>491</v>
      </c>
      <c r="L208" s="768" t="s">
        <v>491</v>
      </c>
      <c r="M208" s="768"/>
      <c r="N208" s="768"/>
      <c r="O208" s="768" t="s">
        <v>491</v>
      </c>
      <c r="P208" s="768" t="s">
        <v>491</v>
      </c>
      <c r="Q208" s="768" t="s">
        <v>491</v>
      </c>
      <c r="R208" s="768" t="s">
        <v>491</v>
      </c>
      <c r="S208" s="768" t="s">
        <v>491</v>
      </c>
      <c r="T208" s="768"/>
      <c r="U208" s="768"/>
      <c r="V208" s="768" t="s">
        <v>491</v>
      </c>
      <c r="W208" s="768" t="s">
        <v>491</v>
      </c>
      <c r="X208" s="768" t="s">
        <v>491</v>
      </c>
      <c r="Y208" s="768" t="s">
        <v>491</v>
      </c>
      <c r="Z208" s="768" t="s">
        <v>491</v>
      </c>
      <c r="AA208" s="768"/>
      <c r="AB208" s="768"/>
      <c r="AC208" s="768" t="s">
        <v>491</v>
      </c>
      <c r="AD208" s="768" t="s">
        <v>491</v>
      </c>
      <c r="AE208" s="768" t="s">
        <v>491</v>
      </c>
      <c r="AF208" s="768" t="s">
        <v>491</v>
      </c>
      <c r="AG208" s="769"/>
      <c r="AH208" s="597">
        <v>23</v>
      </c>
      <c r="AI208" s="598">
        <v>37</v>
      </c>
    </row>
    <row r="209" spans="1:35" ht="21.95" customHeight="1">
      <c r="A209" s="442">
        <v>3701</v>
      </c>
      <c r="B209" s="821" t="s">
        <v>679</v>
      </c>
      <c r="C209" s="977">
        <v>19</v>
      </c>
      <c r="D209" s="768"/>
      <c r="E209" s="768"/>
      <c r="F209" s="768"/>
      <c r="G209" s="768"/>
      <c r="H209" s="768"/>
      <c r="I209" s="768" t="s">
        <v>491</v>
      </c>
      <c r="J209" s="768" t="s">
        <v>491</v>
      </c>
      <c r="K209" s="768" t="s">
        <v>491</v>
      </c>
      <c r="L209" s="768" t="s">
        <v>491</v>
      </c>
      <c r="M209" s="768"/>
      <c r="N209" s="768"/>
      <c r="O209" s="768" t="s">
        <v>485</v>
      </c>
      <c r="P209" s="768" t="s">
        <v>485</v>
      </c>
      <c r="Q209" s="768" t="s">
        <v>485</v>
      </c>
      <c r="R209" s="768" t="s">
        <v>485</v>
      </c>
      <c r="S209" s="768" t="s">
        <v>485</v>
      </c>
      <c r="T209" s="768"/>
      <c r="U209" s="768"/>
      <c r="V209" s="768" t="s">
        <v>491</v>
      </c>
      <c r="W209" s="977" t="s">
        <v>491</v>
      </c>
      <c r="X209" s="977" t="s">
        <v>491</v>
      </c>
      <c r="Y209" s="768" t="s">
        <v>491</v>
      </c>
      <c r="Z209" s="768" t="s">
        <v>491</v>
      </c>
      <c r="AA209" s="768"/>
      <c r="AB209" s="768"/>
      <c r="AC209" s="768" t="s">
        <v>491</v>
      </c>
      <c r="AD209" s="768" t="s">
        <v>491</v>
      </c>
      <c r="AE209" s="768" t="s">
        <v>491</v>
      </c>
      <c r="AF209" s="768" t="s">
        <v>491</v>
      </c>
      <c r="AG209" s="769"/>
      <c r="AH209" s="597">
        <v>10</v>
      </c>
      <c r="AI209" s="598">
        <v>0</v>
      </c>
    </row>
    <row r="210" spans="1:35" ht="21.95" customHeight="1">
      <c r="A210" s="820">
        <v>3701</v>
      </c>
      <c r="B210" s="792" t="s">
        <v>680</v>
      </c>
      <c r="C210" s="768" t="s">
        <v>491</v>
      </c>
      <c r="D210" s="768"/>
      <c r="E210" s="768"/>
      <c r="F210" s="768"/>
      <c r="G210" s="768"/>
      <c r="H210" s="768"/>
      <c r="I210" s="768" t="s">
        <v>491</v>
      </c>
      <c r="J210" s="768" t="s">
        <v>491</v>
      </c>
      <c r="K210" s="768" t="s">
        <v>491</v>
      </c>
      <c r="L210" s="768" t="s">
        <v>491</v>
      </c>
      <c r="M210" s="768"/>
      <c r="N210" s="768"/>
      <c r="O210" s="768" t="s">
        <v>491</v>
      </c>
      <c r="P210" s="768" t="s">
        <v>491</v>
      </c>
      <c r="Q210" s="768" t="s">
        <v>491</v>
      </c>
      <c r="R210" s="768" t="s">
        <v>491</v>
      </c>
      <c r="S210" s="768" t="s">
        <v>491</v>
      </c>
      <c r="T210" s="768"/>
      <c r="U210" s="768"/>
      <c r="V210" s="768" t="s">
        <v>491</v>
      </c>
      <c r="W210" s="768" t="s">
        <v>491</v>
      </c>
      <c r="X210" s="768" t="s">
        <v>491</v>
      </c>
      <c r="Y210" s="768" t="s">
        <v>491</v>
      </c>
      <c r="Z210" s="768" t="s">
        <v>491</v>
      </c>
      <c r="AA210" s="768"/>
      <c r="AB210" s="768"/>
      <c r="AC210" s="768" t="s">
        <v>491</v>
      </c>
      <c r="AD210" s="768" t="s">
        <v>491</v>
      </c>
      <c r="AE210" s="768" t="s">
        <v>491</v>
      </c>
      <c r="AF210" s="768" t="s">
        <v>491</v>
      </c>
      <c r="AG210" s="769"/>
      <c r="AH210" s="597">
        <v>31</v>
      </c>
      <c r="AI210" s="598">
        <v>37</v>
      </c>
    </row>
    <row r="211" spans="1:35" ht="21.95" customHeight="1" thickBot="1">
      <c r="A211" s="442">
        <v>3701</v>
      </c>
      <c r="B211" s="904" t="s">
        <v>681</v>
      </c>
      <c r="C211" s="768" t="s">
        <v>491</v>
      </c>
      <c r="D211" s="768"/>
      <c r="E211" s="768"/>
      <c r="F211" s="768"/>
      <c r="G211" s="768"/>
      <c r="H211" s="768"/>
      <c r="I211" s="970" t="s">
        <v>491</v>
      </c>
      <c r="J211" s="970" t="s">
        <v>491</v>
      </c>
      <c r="K211" s="970" t="s">
        <v>491</v>
      </c>
      <c r="L211" s="970" t="s">
        <v>491</v>
      </c>
      <c r="M211" s="970"/>
      <c r="N211" s="970"/>
      <c r="O211" s="768" t="s">
        <v>491</v>
      </c>
      <c r="P211" s="768" t="s">
        <v>491</v>
      </c>
      <c r="Q211" s="768" t="s">
        <v>491</v>
      </c>
      <c r="R211" s="768" t="s">
        <v>491</v>
      </c>
      <c r="S211" s="768" t="s">
        <v>491</v>
      </c>
      <c r="T211" s="768"/>
      <c r="U211" s="768"/>
      <c r="V211" s="768" t="s">
        <v>491</v>
      </c>
      <c r="W211" s="768" t="s">
        <v>491</v>
      </c>
      <c r="X211" s="768" t="s">
        <v>491</v>
      </c>
      <c r="Y211" s="768" t="s">
        <v>491</v>
      </c>
      <c r="Z211" s="768" t="s">
        <v>491</v>
      </c>
      <c r="AA211" s="768"/>
      <c r="AB211" s="768"/>
      <c r="AC211" s="768" t="s">
        <v>491</v>
      </c>
      <c r="AD211" s="768" t="s">
        <v>491</v>
      </c>
      <c r="AE211" s="768" t="s">
        <v>491</v>
      </c>
      <c r="AF211" s="768" t="s">
        <v>491</v>
      </c>
      <c r="AG211" s="769"/>
      <c r="AH211" s="597">
        <v>96</v>
      </c>
      <c r="AI211" s="598">
        <v>37</v>
      </c>
    </row>
    <row r="212" spans="1:35" ht="21.95" customHeight="1">
      <c r="A212" s="442">
        <v>3701</v>
      </c>
      <c r="B212" s="789" t="s">
        <v>436</v>
      </c>
      <c r="C212" s="980" t="s">
        <v>491</v>
      </c>
      <c r="D212" s="768"/>
      <c r="E212" s="768"/>
      <c r="F212" s="768"/>
      <c r="G212" s="768"/>
      <c r="H212" s="768"/>
      <c r="I212" s="768" t="s">
        <v>491</v>
      </c>
      <c r="J212" s="768" t="s">
        <v>491</v>
      </c>
      <c r="K212" s="768" t="s">
        <v>491</v>
      </c>
      <c r="L212" s="768" t="s">
        <v>491</v>
      </c>
      <c r="M212" s="768"/>
      <c r="N212" s="768"/>
      <c r="O212" s="768" t="s">
        <v>491</v>
      </c>
      <c r="P212" s="768" t="s">
        <v>491</v>
      </c>
      <c r="Q212" s="768" t="s">
        <v>491</v>
      </c>
      <c r="R212" s="768" t="s">
        <v>491</v>
      </c>
      <c r="S212" s="768" t="s">
        <v>491</v>
      </c>
      <c r="T212" s="768"/>
      <c r="U212" s="768"/>
      <c r="V212" s="1038" t="s">
        <v>491</v>
      </c>
      <c r="W212" s="1038" t="s">
        <v>491</v>
      </c>
      <c r="X212" s="1038" t="s">
        <v>493</v>
      </c>
      <c r="Y212" s="768" t="s">
        <v>491</v>
      </c>
      <c r="Z212" s="768" t="s">
        <v>491</v>
      </c>
      <c r="AA212" s="768"/>
      <c r="AB212" s="768"/>
      <c r="AC212" s="980" t="s">
        <v>491</v>
      </c>
      <c r="AD212" s="980" t="s">
        <v>491</v>
      </c>
      <c r="AE212" s="768" t="s">
        <v>491</v>
      </c>
      <c r="AF212" s="768" t="s">
        <v>491</v>
      </c>
      <c r="AG212" s="769"/>
      <c r="AH212" s="597">
        <v>1.75</v>
      </c>
      <c r="AI212" s="598">
        <v>13.75</v>
      </c>
    </row>
    <row r="213" spans="1:35" ht="21.95" customHeight="1">
      <c r="A213" s="442">
        <v>3701</v>
      </c>
      <c r="B213" s="1301" t="s">
        <v>188</v>
      </c>
      <c r="C213" s="768" t="s">
        <v>491</v>
      </c>
      <c r="D213" s="768"/>
      <c r="E213" s="768"/>
      <c r="F213" s="768"/>
      <c r="G213" s="768"/>
      <c r="H213" s="768"/>
      <c r="I213" s="768" t="s">
        <v>491</v>
      </c>
      <c r="J213" s="768" t="s">
        <v>491</v>
      </c>
      <c r="K213" s="768" t="s">
        <v>491</v>
      </c>
      <c r="L213" s="768" t="s">
        <v>491</v>
      </c>
      <c r="M213" s="768"/>
      <c r="N213" s="768"/>
      <c r="O213" s="970" t="s">
        <v>491</v>
      </c>
      <c r="P213" s="970" t="s">
        <v>491</v>
      </c>
      <c r="Q213" s="970" t="s">
        <v>491</v>
      </c>
      <c r="R213" s="987" t="s">
        <v>491</v>
      </c>
      <c r="S213" s="970" t="s">
        <v>491</v>
      </c>
      <c r="T213" s="970"/>
      <c r="U213" s="970"/>
      <c r="V213" s="768" t="s">
        <v>491</v>
      </c>
      <c r="W213" s="768" t="s">
        <v>491</v>
      </c>
      <c r="X213" s="768" t="s">
        <v>491</v>
      </c>
      <c r="Y213" s="768" t="s">
        <v>491</v>
      </c>
      <c r="Z213" s="768" t="s">
        <v>491</v>
      </c>
      <c r="AA213" s="768"/>
      <c r="AB213" s="768"/>
      <c r="AC213" s="768" t="s">
        <v>491</v>
      </c>
      <c r="AD213" s="768" t="s">
        <v>491</v>
      </c>
      <c r="AE213" s="768" t="s">
        <v>491</v>
      </c>
      <c r="AF213" s="768" t="s">
        <v>491</v>
      </c>
      <c r="AG213" s="769"/>
      <c r="AH213" s="597">
        <v>50</v>
      </c>
      <c r="AI213" s="598">
        <v>37</v>
      </c>
    </row>
    <row r="214" spans="1:35" ht="21.95" customHeight="1" thickBot="1">
      <c r="A214" s="903">
        <v>3701</v>
      </c>
      <c r="B214" s="904" t="s">
        <v>788</v>
      </c>
      <c r="C214" s="768" t="s">
        <v>491</v>
      </c>
      <c r="D214" s="768"/>
      <c r="E214" s="768"/>
      <c r="F214" s="768"/>
      <c r="G214" s="768"/>
      <c r="H214" s="768"/>
      <c r="I214" s="768" t="s">
        <v>491</v>
      </c>
      <c r="J214" s="768" t="s">
        <v>491</v>
      </c>
      <c r="K214" s="768" t="s">
        <v>491</v>
      </c>
      <c r="L214" s="768" t="s">
        <v>491</v>
      </c>
      <c r="M214" s="768"/>
      <c r="N214" s="768"/>
      <c r="O214" s="768" t="s">
        <v>491</v>
      </c>
      <c r="P214" s="768" t="s">
        <v>491</v>
      </c>
      <c r="Q214" s="768" t="s">
        <v>491</v>
      </c>
      <c r="R214" s="768" t="s">
        <v>491</v>
      </c>
      <c r="S214" s="768" t="s">
        <v>491</v>
      </c>
      <c r="T214" s="768"/>
      <c r="U214" s="768"/>
      <c r="V214" s="768" t="s">
        <v>491</v>
      </c>
      <c r="W214" s="768" t="s">
        <v>491</v>
      </c>
      <c r="X214" s="768" t="s">
        <v>491</v>
      </c>
      <c r="Y214" s="768" t="s">
        <v>491</v>
      </c>
      <c r="Z214" s="768" t="s">
        <v>491</v>
      </c>
      <c r="AA214" s="768"/>
      <c r="AB214" s="768"/>
      <c r="AC214" s="768" t="s">
        <v>491</v>
      </c>
      <c r="AD214" s="768" t="s">
        <v>491</v>
      </c>
      <c r="AE214" s="768" t="s">
        <v>491</v>
      </c>
      <c r="AF214" s="768" t="s">
        <v>491</v>
      </c>
      <c r="AG214" s="905"/>
      <c r="AH214" s="597"/>
      <c r="AI214" s="598"/>
    </row>
    <row r="215" spans="1:35" ht="21.95" customHeight="1">
      <c r="A215" s="574"/>
      <c r="B215" s="615"/>
      <c r="C215" s="555"/>
      <c r="D215" s="555"/>
      <c r="E215" s="555"/>
      <c r="F215" s="555"/>
      <c r="G215" s="555"/>
      <c r="H215" s="555"/>
      <c r="I215" s="555"/>
      <c r="J215" s="555"/>
      <c r="K215" s="517"/>
      <c r="L215" s="555"/>
      <c r="M215" s="555"/>
      <c r="N215" s="555"/>
      <c r="O215" s="555"/>
      <c r="P215" s="538"/>
      <c r="Q215" s="538"/>
      <c r="R215" s="538"/>
      <c r="S215" s="555"/>
      <c r="T215" s="555"/>
      <c r="U215" s="555"/>
      <c r="V215" s="555"/>
      <c r="W215" s="555"/>
      <c r="X215" s="555"/>
      <c r="Y215" s="555"/>
      <c r="Z215" s="555"/>
      <c r="AA215" s="555"/>
      <c r="AB215" s="555"/>
      <c r="AC215" s="555"/>
      <c r="AD215" s="555"/>
      <c r="AE215" s="555"/>
      <c r="AF215" s="555"/>
      <c r="AG215" s="555"/>
      <c r="AH215" s="556"/>
      <c r="AI215" s="556"/>
    </row>
    <row r="216" spans="1:35" ht="21" customHeight="1" thickBot="1">
      <c r="A216" s="1" t="s">
        <v>682</v>
      </c>
    </row>
    <row r="217" spans="1:35" ht="21" customHeight="1">
      <c r="B217" s="201" t="s">
        <v>664</v>
      </c>
      <c r="C217" s="7"/>
      <c r="D217" s="522" t="s">
        <v>2</v>
      </c>
      <c r="E217" s="51"/>
      <c r="F217" s="548"/>
      <c r="G217" s="7"/>
      <c r="H217" s="522" t="s">
        <v>3</v>
      </c>
      <c r="I217" s="51"/>
      <c r="J217" s="548"/>
      <c r="K217" s="7"/>
      <c r="L217" s="522" t="s">
        <v>4</v>
      </c>
      <c r="M217" s="51"/>
      <c r="N217" s="548"/>
      <c r="O217" s="7"/>
      <c r="P217" s="522" t="s">
        <v>5</v>
      </c>
      <c r="Q217" s="51"/>
      <c r="R217" s="548"/>
      <c r="S217" s="7"/>
      <c r="T217" s="522" t="s">
        <v>6</v>
      </c>
      <c r="U217" s="51"/>
      <c r="V217" s="548"/>
      <c r="W217" s="7"/>
      <c r="X217" s="522" t="s">
        <v>7</v>
      </c>
      <c r="Y217" s="51"/>
      <c r="Z217" s="548"/>
      <c r="AA217" s="7"/>
      <c r="AB217" s="522" t="s">
        <v>8</v>
      </c>
      <c r="AC217" s="51"/>
      <c r="AD217" s="51"/>
      <c r="AE217" s="425" t="s">
        <v>10</v>
      </c>
      <c r="AF217" s="51"/>
      <c r="AG217" s="51"/>
      <c r="AH217" s="51"/>
      <c r="AI217" s="523"/>
    </row>
    <row r="218" spans="1:35" ht="21" customHeight="1">
      <c r="B218" s="9">
        <v>8502</v>
      </c>
      <c r="C218" s="14" t="s">
        <v>11</v>
      </c>
      <c r="D218" s="603"/>
      <c r="E218" s="55"/>
      <c r="F218" s="602"/>
      <c r="G218" s="14" t="s">
        <v>11</v>
      </c>
      <c r="H218" s="603"/>
      <c r="I218" s="55"/>
      <c r="J218" s="602"/>
      <c r="K218" s="14" t="s">
        <v>11</v>
      </c>
      <c r="L218" s="603"/>
      <c r="M218" s="55"/>
      <c r="N218" s="602"/>
      <c r="O218" s="14" t="s">
        <v>11</v>
      </c>
      <c r="P218" s="603"/>
      <c r="Q218" s="55"/>
      <c r="R218" s="602"/>
      <c r="S218" s="14" t="s">
        <v>12</v>
      </c>
      <c r="T218" s="603"/>
      <c r="U218" s="55"/>
      <c r="V218" s="602"/>
      <c r="W218" s="14"/>
      <c r="X218" s="603"/>
      <c r="Y218" s="55"/>
      <c r="Z218" s="602"/>
      <c r="AA218" s="14"/>
      <c r="AB218" s="603"/>
      <c r="AC218" s="55"/>
      <c r="AD218" s="55"/>
      <c r="AE218" s="604"/>
      <c r="AF218" s="55"/>
      <c r="AG218" s="55"/>
      <c r="AH218" s="55"/>
      <c r="AI218" s="605"/>
    </row>
    <row r="219" spans="1:35" ht="21" customHeight="1">
      <c r="B219" s="606">
        <v>3701</v>
      </c>
      <c r="C219" s="121" t="s">
        <v>11</v>
      </c>
      <c r="D219" s="131"/>
      <c r="E219" s="55"/>
      <c r="F219" s="602"/>
      <c r="G219" s="121" t="s">
        <v>11</v>
      </c>
      <c r="H219" s="603"/>
      <c r="I219" s="55"/>
      <c r="J219" s="602"/>
      <c r="K219" s="121" t="s">
        <v>11</v>
      </c>
      <c r="L219" s="603"/>
      <c r="M219" s="55"/>
      <c r="N219" s="602"/>
      <c r="O219" s="121" t="s">
        <v>11</v>
      </c>
      <c r="P219" s="603"/>
      <c r="Q219" s="55"/>
      <c r="R219" s="602"/>
      <c r="S219" s="14" t="s">
        <v>12</v>
      </c>
      <c r="T219" s="603"/>
      <c r="U219" s="55"/>
      <c r="V219" s="602"/>
      <c r="W219" s="14"/>
      <c r="X219" s="603"/>
      <c r="Y219" s="55"/>
      <c r="Z219" s="602"/>
      <c r="AA219" s="14"/>
      <c r="AB219" s="603"/>
      <c r="AC219" s="55"/>
      <c r="AD219" s="55"/>
      <c r="AE219" s="604"/>
      <c r="AF219" s="55"/>
      <c r="AG219" s="55"/>
      <c r="AH219" s="55"/>
      <c r="AI219" s="605"/>
    </row>
    <row r="220" spans="1:35" ht="21" customHeight="1">
      <c r="B220" s="606">
        <v>3705</v>
      </c>
      <c r="C220" s="121" t="s">
        <v>147</v>
      </c>
      <c r="D220" s="131"/>
      <c r="E220" s="55"/>
      <c r="F220" s="602"/>
      <c r="G220" s="121" t="s">
        <v>147</v>
      </c>
      <c r="H220" s="603"/>
      <c r="I220" s="55"/>
      <c r="J220" s="602"/>
      <c r="K220" s="121" t="s">
        <v>147</v>
      </c>
      <c r="L220" s="603"/>
      <c r="M220" s="55"/>
      <c r="N220" s="602"/>
      <c r="O220" s="121" t="s">
        <v>147</v>
      </c>
      <c r="P220" s="603"/>
      <c r="Q220" s="55"/>
      <c r="R220" s="602"/>
      <c r="S220" s="121" t="s">
        <v>537</v>
      </c>
      <c r="T220" s="603"/>
      <c r="U220" s="55"/>
      <c r="V220" s="602"/>
      <c r="W220" s="14"/>
      <c r="X220" s="603"/>
      <c r="Y220" s="55"/>
      <c r="Z220" s="602"/>
      <c r="AA220" s="14"/>
      <c r="AB220" s="603"/>
      <c r="AC220" s="55"/>
      <c r="AD220" s="55"/>
      <c r="AE220" s="604"/>
      <c r="AF220" s="55"/>
      <c r="AG220" s="55"/>
      <c r="AH220" s="55"/>
      <c r="AI220" s="605"/>
    </row>
    <row r="221" spans="1:35" ht="21" customHeight="1">
      <c r="B221" s="606">
        <v>3702</v>
      </c>
      <c r="C221" s="563" t="s">
        <v>683</v>
      </c>
      <c r="D221" s="131"/>
      <c r="E221" s="55"/>
      <c r="F221" s="602"/>
      <c r="G221" s="563" t="s">
        <v>683</v>
      </c>
      <c r="H221" s="131"/>
      <c r="I221" s="55"/>
      <c r="J221" s="602"/>
      <c r="K221" s="563" t="s">
        <v>683</v>
      </c>
      <c r="L221" s="131"/>
      <c r="M221" s="55"/>
      <c r="N221" s="602"/>
      <c r="O221" s="563" t="s">
        <v>683</v>
      </c>
      <c r="P221" s="131"/>
      <c r="Q221" s="55"/>
      <c r="R221" s="602"/>
      <c r="S221" s="563" t="s">
        <v>270</v>
      </c>
      <c r="T221" s="131"/>
      <c r="U221" s="55"/>
      <c r="V221" s="602"/>
      <c r="W221" s="14"/>
      <c r="X221" s="603"/>
      <c r="Y221" s="55"/>
      <c r="Z221" s="602"/>
      <c r="AA221" s="14"/>
      <c r="AB221" s="603"/>
      <c r="AC221" s="55"/>
      <c r="AD221" s="55"/>
      <c r="AE221" s="604"/>
      <c r="AF221" s="55"/>
      <c r="AG221" s="55"/>
      <c r="AH221" s="55"/>
      <c r="AI221" s="605"/>
    </row>
    <row r="222" spans="1:35" ht="21" customHeight="1">
      <c r="B222" s="606"/>
      <c r="C222" s="563"/>
      <c r="D222" s="131"/>
      <c r="E222" s="55"/>
      <c r="F222" s="602"/>
      <c r="G222" s="603"/>
      <c r="H222" s="603"/>
      <c r="I222" s="55"/>
      <c r="J222" s="602"/>
      <c r="K222" s="603"/>
      <c r="L222" s="603"/>
      <c r="M222" s="55"/>
      <c r="N222" s="602"/>
      <c r="O222" s="603"/>
      <c r="P222" s="603"/>
      <c r="Q222" s="55"/>
      <c r="R222" s="602"/>
      <c r="S222" s="603"/>
      <c r="T222" s="603"/>
      <c r="U222" s="55"/>
      <c r="V222" s="602"/>
      <c r="W222" s="14"/>
      <c r="X222" s="603"/>
      <c r="Y222" s="55"/>
      <c r="Z222" s="602"/>
      <c r="AA222" s="14"/>
      <c r="AB222" s="603"/>
      <c r="AC222" s="55"/>
      <c r="AD222" s="55"/>
      <c r="AE222" s="604"/>
      <c r="AF222" s="55"/>
      <c r="AG222" s="55"/>
      <c r="AH222" s="55"/>
      <c r="AI222" s="605"/>
    </row>
    <row r="223" spans="1:35" ht="21" customHeight="1">
      <c r="B223" s="606" t="s">
        <v>324</v>
      </c>
      <c r="C223" s="563" t="s">
        <v>684</v>
      </c>
      <c r="D223" s="131"/>
      <c r="E223" s="55"/>
      <c r="F223" s="602"/>
      <c r="G223" s="563" t="s">
        <v>684</v>
      </c>
      <c r="H223" s="131"/>
      <c r="I223" s="55"/>
      <c r="J223" s="602"/>
      <c r="K223" s="563" t="s">
        <v>684</v>
      </c>
      <c r="L223" s="131"/>
      <c r="M223" s="55"/>
      <c r="N223" s="602"/>
      <c r="O223" s="563" t="s">
        <v>684</v>
      </c>
      <c r="P223" s="131"/>
      <c r="Q223" s="55"/>
      <c r="R223" s="602"/>
      <c r="S223" s="603" t="s">
        <v>685</v>
      </c>
      <c r="T223" s="603"/>
      <c r="U223" s="55"/>
      <c r="V223" s="602"/>
      <c r="W223" s="14"/>
      <c r="X223" s="603"/>
      <c r="Y223" s="55"/>
      <c r="Z223" s="602"/>
      <c r="AA223" s="14"/>
      <c r="AB223" s="603"/>
      <c r="AC223" s="55"/>
      <c r="AD223" s="55"/>
      <c r="AE223" s="604"/>
      <c r="AF223" s="55"/>
      <c r="AG223" s="55"/>
      <c r="AH223" s="55"/>
      <c r="AI223" s="605"/>
    </row>
    <row r="224" spans="1:35" ht="21" customHeight="1">
      <c r="B224" s="606" t="s">
        <v>325</v>
      </c>
      <c r="C224" s="563" t="s">
        <v>686</v>
      </c>
      <c r="D224" s="131"/>
      <c r="E224" s="55"/>
      <c r="F224" s="602"/>
      <c r="G224" s="563" t="s">
        <v>686</v>
      </c>
      <c r="H224" s="131"/>
      <c r="I224" s="55"/>
      <c r="J224" s="602"/>
      <c r="K224" s="563" t="s">
        <v>686</v>
      </c>
      <c r="L224" s="131"/>
      <c r="M224" s="55"/>
      <c r="N224" s="602"/>
      <c r="O224" s="563" t="s">
        <v>686</v>
      </c>
      <c r="P224" s="131"/>
      <c r="Q224" s="55"/>
      <c r="R224" s="602"/>
      <c r="S224" s="603" t="s">
        <v>687</v>
      </c>
      <c r="T224" s="603"/>
      <c r="U224" s="55"/>
      <c r="V224" s="602"/>
      <c r="W224" s="14"/>
      <c r="X224" s="603"/>
      <c r="Y224" s="55"/>
      <c r="Z224" s="602"/>
      <c r="AA224" s="14"/>
      <c r="AB224" s="603"/>
      <c r="AC224" s="55"/>
      <c r="AD224" s="55"/>
      <c r="AE224" s="604"/>
      <c r="AF224" s="55"/>
      <c r="AG224" s="55"/>
      <c r="AH224" s="55"/>
      <c r="AI224" s="605"/>
    </row>
    <row r="225" spans="1:35" ht="21" customHeight="1" thickBot="1">
      <c r="B225" s="611" t="s">
        <v>326</v>
      </c>
      <c r="C225" s="570" t="s">
        <v>688</v>
      </c>
      <c r="D225" s="48"/>
      <c r="E225" s="616"/>
      <c r="F225" s="240"/>
      <c r="G225" s="570" t="s">
        <v>688</v>
      </c>
      <c r="H225" s="48"/>
      <c r="I225" s="616"/>
      <c r="J225" s="240"/>
      <c r="K225" s="570" t="s">
        <v>688</v>
      </c>
      <c r="L225" s="48"/>
      <c r="M225" s="616"/>
      <c r="N225" s="240"/>
      <c r="O225" s="570" t="s">
        <v>688</v>
      </c>
      <c r="P225" s="48"/>
      <c r="Q225" s="616"/>
      <c r="R225" s="240"/>
      <c r="S225" s="149" t="s">
        <v>689</v>
      </c>
      <c r="T225" s="149"/>
      <c r="U225" s="616"/>
      <c r="V225" s="240"/>
      <c r="W225" s="617"/>
      <c r="X225" s="149"/>
      <c r="Y225" s="616"/>
      <c r="Z225" s="240"/>
      <c r="AA225" s="617"/>
      <c r="AB225" s="149"/>
      <c r="AC225" s="616"/>
      <c r="AD225" s="616"/>
      <c r="AE225" s="618"/>
      <c r="AF225" s="616"/>
      <c r="AG225" s="616"/>
      <c r="AH225" s="616"/>
      <c r="AI225" s="619"/>
    </row>
    <row r="226" spans="1:35" ht="21" customHeight="1">
      <c r="B226" s="274"/>
      <c r="C226" s="312"/>
      <c r="D226" s="72"/>
      <c r="G226" s="312"/>
      <c r="H226" s="72"/>
      <c r="K226" s="312"/>
      <c r="L226" s="72"/>
      <c r="O226" s="312"/>
      <c r="P226" s="72"/>
      <c r="S226" s="312"/>
      <c r="T226" s="312"/>
      <c r="X226" s="312"/>
      <c r="AB226" s="312"/>
      <c r="AE226" s="312"/>
    </row>
    <row r="227" spans="1:35" ht="21" customHeight="1" thickBot="1">
      <c r="A227" s="620" t="s">
        <v>789</v>
      </c>
    </row>
    <row r="228" spans="1:35" ht="21" customHeight="1" thickBot="1">
      <c r="A228" s="861"/>
      <c r="B228" s="862" t="s">
        <v>476</v>
      </c>
      <c r="C228" s="863">
        <v>1</v>
      </c>
      <c r="D228" s="880">
        <v>2</v>
      </c>
      <c r="E228" s="880">
        <v>3</v>
      </c>
      <c r="F228" s="880">
        <v>4</v>
      </c>
      <c r="G228" s="880">
        <v>5</v>
      </c>
      <c r="H228" s="880">
        <v>6</v>
      </c>
      <c r="I228" s="863">
        <v>7</v>
      </c>
      <c r="J228" s="863">
        <v>8</v>
      </c>
      <c r="K228" s="863">
        <v>9</v>
      </c>
      <c r="L228" s="863">
        <v>10</v>
      </c>
      <c r="M228" s="880">
        <v>11</v>
      </c>
      <c r="N228" s="880">
        <v>12</v>
      </c>
      <c r="O228" s="863">
        <v>13</v>
      </c>
      <c r="P228" s="863">
        <v>14</v>
      </c>
      <c r="Q228" s="863">
        <v>15</v>
      </c>
      <c r="R228" s="863">
        <v>16</v>
      </c>
      <c r="S228" s="863">
        <v>17</v>
      </c>
      <c r="T228" s="880">
        <v>18</v>
      </c>
      <c r="U228" s="880">
        <v>19</v>
      </c>
      <c r="V228" s="863">
        <v>20</v>
      </c>
      <c r="W228" s="863">
        <v>21</v>
      </c>
      <c r="X228" s="863">
        <v>22</v>
      </c>
      <c r="Y228" s="863">
        <v>23</v>
      </c>
      <c r="Z228" s="863">
        <v>24</v>
      </c>
      <c r="AA228" s="880">
        <v>25</v>
      </c>
      <c r="AB228" s="880">
        <v>26</v>
      </c>
      <c r="AC228" s="863">
        <v>27</v>
      </c>
      <c r="AD228" s="863">
        <v>28</v>
      </c>
      <c r="AE228" s="863">
        <v>29</v>
      </c>
      <c r="AF228" s="863">
        <v>30</v>
      </c>
      <c r="AG228" s="863"/>
      <c r="AH228" s="864" t="s">
        <v>477</v>
      </c>
      <c r="AI228" s="865" t="s">
        <v>478</v>
      </c>
    </row>
    <row r="229" spans="1:35" ht="21" customHeight="1">
      <c r="A229" s="438">
        <v>3702</v>
      </c>
      <c r="B229" s="54" t="s">
        <v>691</v>
      </c>
      <c r="C229" s="871">
        <v>1</v>
      </c>
      <c r="D229" s="871"/>
      <c r="E229" s="871"/>
      <c r="F229" s="871"/>
      <c r="G229" s="871"/>
      <c r="H229" s="871"/>
      <c r="I229" s="871">
        <v>2</v>
      </c>
      <c r="J229" s="871">
        <v>2</v>
      </c>
      <c r="K229" s="871">
        <v>2</v>
      </c>
      <c r="L229" s="871">
        <v>2</v>
      </c>
      <c r="M229" s="871"/>
      <c r="N229" s="871"/>
      <c r="O229" s="764">
        <v>1</v>
      </c>
      <c r="P229" s="764">
        <v>1</v>
      </c>
      <c r="Q229" s="871">
        <v>1</v>
      </c>
      <c r="R229" s="871">
        <v>1</v>
      </c>
      <c r="S229" s="871">
        <v>1</v>
      </c>
      <c r="T229" s="871"/>
      <c r="U229" s="871"/>
      <c r="V229" s="871">
        <v>2</v>
      </c>
      <c r="W229" s="871">
        <v>2</v>
      </c>
      <c r="X229" s="871">
        <v>2</v>
      </c>
      <c r="Y229" s="871">
        <v>2</v>
      </c>
      <c r="Z229" s="871">
        <v>2</v>
      </c>
      <c r="AA229" s="871"/>
      <c r="AB229" s="871"/>
      <c r="AC229" s="764">
        <v>1</v>
      </c>
      <c r="AD229" s="764">
        <v>1</v>
      </c>
      <c r="AE229" s="871">
        <v>1</v>
      </c>
      <c r="AF229" s="871">
        <v>1</v>
      </c>
      <c r="AG229" s="871"/>
      <c r="AH229" s="510">
        <v>0</v>
      </c>
      <c r="AI229" s="511">
        <v>0</v>
      </c>
    </row>
    <row r="230" spans="1:35" ht="21" customHeight="1">
      <c r="A230" s="442">
        <v>3701</v>
      </c>
      <c r="B230" s="153" t="s">
        <v>692</v>
      </c>
      <c r="C230" s="979" t="s">
        <v>491</v>
      </c>
      <c r="D230" s="762"/>
      <c r="E230" s="762"/>
      <c r="F230" s="762"/>
      <c r="G230" s="762"/>
      <c r="H230" s="762"/>
      <c r="I230" s="979" t="s">
        <v>491</v>
      </c>
      <c r="J230" s="979" t="s">
        <v>491</v>
      </c>
      <c r="K230" s="979" t="s">
        <v>491</v>
      </c>
      <c r="L230" s="979" t="s">
        <v>491</v>
      </c>
      <c r="M230" s="762"/>
      <c r="N230" s="762"/>
      <c r="O230" s="768" t="s">
        <v>491</v>
      </c>
      <c r="P230" s="768" t="s">
        <v>491</v>
      </c>
      <c r="Q230" s="762" t="s">
        <v>491</v>
      </c>
      <c r="R230" s="762" t="s">
        <v>491</v>
      </c>
      <c r="S230" s="762" t="s">
        <v>491</v>
      </c>
      <c r="T230" s="762"/>
      <c r="U230" s="762"/>
      <c r="V230" s="762" t="s">
        <v>491</v>
      </c>
      <c r="W230" s="762" t="s">
        <v>491</v>
      </c>
      <c r="X230" s="762" t="s">
        <v>491</v>
      </c>
      <c r="Y230" s="762" t="s">
        <v>491</v>
      </c>
      <c r="Z230" s="762" t="s">
        <v>491</v>
      </c>
      <c r="AA230" s="762"/>
      <c r="AB230" s="762"/>
      <c r="AC230" s="768" t="s">
        <v>491</v>
      </c>
      <c r="AD230" s="768" t="s">
        <v>491</v>
      </c>
      <c r="AE230" s="762" t="s">
        <v>491</v>
      </c>
      <c r="AF230" s="762" t="s">
        <v>491</v>
      </c>
      <c r="AG230" s="762"/>
      <c r="AH230" s="924">
        <v>0</v>
      </c>
      <c r="AI230" s="925">
        <v>37</v>
      </c>
    </row>
    <row r="231" spans="1:35" ht="21" customHeight="1">
      <c r="A231" s="442">
        <v>3702</v>
      </c>
      <c r="B231" s="153" t="s">
        <v>693</v>
      </c>
      <c r="C231" s="762">
        <v>2</v>
      </c>
      <c r="D231" s="762"/>
      <c r="E231" s="762"/>
      <c r="F231" s="762"/>
      <c r="G231" s="762"/>
      <c r="H231" s="762"/>
      <c r="I231" s="762">
        <v>1</v>
      </c>
      <c r="J231" s="762">
        <v>1</v>
      </c>
      <c r="K231" s="762">
        <v>1</v>
      </c>
      <c r="L231" s="762">
        <v>1</v>
      </c>
      <c r="M231" s="762"/>
      <c r="N231" s="762"/>
      <c r="O231" s="970">
        <v>2</v>
      </c>
      <c r="P231" s="970">
        <v>2</v>
      </c>
      <c r="Q231" s="966">
        <v>2</v>
      </c>
      <c r="R231" s="966">
        <v>2</v>
      </c>
      <c r="S231" s="966">
        <v>2</v>
      </c>
      <c r="T231" s="966"/>
      <c r="U231" s="966"/>
      <c r="V231" s="966">
        <v>1</v>
      </c>
      <c r="W231" s="966">
        <v>1</v>
      </c>
      <c r="X231" s="966">
        <v>1</v>
      </c>
      <c r="Y231" s="966">
        <v>1</v>
      </c>
      <c r="Z231" s="966">
        <v>1</v>
      </c>
      <c r="AA231" s="966"/>
      <c r="AB231" s="966"/>
      <c r="AC231" s="768">
        <v>2</v>
      </c>
      <c r="AD231" s="768">
        <v>2</v>
      </c>
      <c r="AE231" s="762">
        <v>2</v>
      </c>
      <c r="AF231" s="762">
        <v>2</v>
      </c>
      <c r="AG231" s="762"/>
      <c r="AH231" s="924">
        <v>140.5</v>
      </c>
      <c r="AI231" s="925">
        <v>7.5</v>
      </c>
    </row>
    <row r="232" spans="1:35" ht="21" customHeight="1">
      <c r="A232" s="621">
        <v>3706</v>
      </c>
      <c r="B232" s="854"/>
      <c r="C232" s="768"/>
      <c r="D232" s="768"/>
      <c r="E232" s="768"/>
      <c r="F232" s="768"/>
      <c r="G232" s="768"/>
      <c r="H232" s="768"/>
      <c r="I232" s="768"/>
      <c r="J232" s="768"/>
      <c r="K232" s="768"/>
      <c r="L232" s="768"/>
      <c r="M232" s="768"/>
      <c r="N232" s="768"/>
      <c r="O232" s="768"/>
      <c r="P232" s="768"/>
      <c r="Q232" s="768"/>
      <c r="R232" s="768"/>
      <c r="S232" s="768"/>
      <c r="T232" s="768"/>
      <c r="U232" s="768"/>
      <c r="V232" s="768"/>
      <c r="W232" s="768"/>
      <c r="X232" s="768"/>
      <c r="Y232" s="768"/>
      <c r="Z232" s="768"/>
      <c r="AA232" s="768"/>
      <c r="AB232" s="768"/>
      <c r="AC232" s="768"/>
      <c r="AD232" s="768"/>
      <c r="AE232" s="768"/>
      <c r="AF232" s="768"/>
      <c r="AG232" s="768"/>
      <c r="AH232" s="924">
        <v>185</v>
      </c>
      <c r="AI232" s="925">
        <v>37</v>
      </c>
    </row>
    <row r="233" spans="1:35" ht="21" customHeight="1">
      <c r="A233" s="622"/>
      <c r="B233" s="623" t="s">
        <v>695</v>
      </c>
      <c r="C233" s="940"/>
      <c r="D233" s="940"/>
      <c r="E233" s="940"/>
      <c r="F233" s="940"/>
      <c r="G233" s="940"/>
      <c r="H233" s="940"/>
      <c r="I233" s="940"/>
      <c r="J233" s="940"/>
      <c r="K233" s="940"/>
      <c r="L233" s="940"/>
      <c r="M233" s="940"/>
      <c r="N233" s="940"/>
      <c r="O233" s="940"/>
      <c r="P233" s="940"/>
      <c r="Q233" s="940"/>
      <c r="R233" s="940"/>
      <c r="S233" s="940"/>
      <c r="T233" s="940"/>
      <c r="U233" s="940"/>
      <c r="V233" s="940"/>
      <c r="W233" s="940"/>
      <c r="X233" s="940"/>
      <c r="Y233" s="940"/>
      <c r="Z233" s="940"/>
      <c r="AA233" s="940"/>
      <c r="AB233" s="940"/>
      <c r="AC233" s="940"/>
      <c r="AD233" s="940"/>
      <c r="AE233" s="940"/>
      <c r="AF233" s="940"/>
      <c r="AG233" s="922"/>
      <c r="AH233" s="624"/>
      <c r="AI233" s="625"/>
    </row>
    <row r="234" spans="1:35" ht="21" customHeight="1">
      <c r="A234" s="442">
        <v>3702</v>
      </c>
      <c r="B234" s="793" t="s">
        <v>696</v>
      </c>
      <c r="C234" s="762" t="s">
        <v>697</v>
      </c>
      <c r="D234" s="762"/>
      <c r="E234" s="762"/>
      <c r="F234" s="762"/>
      <c r="G234" s="762"/>
      <c r="H234" s="762"/>
      <c r="I234" s="1015" t="s">
        <v>697</v>
      </c>
      <c r="J234" s="1015" t="s">
        <v>748</v>
      </c>
      <c r="K234" s="762" t="s">
        <v>697</v>
      </c>
      <c r="L234" s="762" t="s">
        <v>697</v>
      </c>
      <c r="M234" s="762"/>
      <c r="N234" s="762"/>
      <c r="O234" s="762" t="s">
        <v>697</v>
      </c>
      <c r="P234" s="762" t="s">
        <v>697</v>
      </c>
      <c r="Q234" s="762" t="s">
        <v>697</v>
      </c>
      <c r="R234" s="762" t="s">
        <v>697</v>
      </c>
      <c r="S234" s="762" t="s">
        <v>697</v>
      </c>
      <c r="T234" s="762"/>
      <c r="U234" s="762"/>
      <c r="V234" s="762" t="s">
        <v>697</v>
      </c>
      <c r="W234" s="762" t="s">
        <v>697</v>
      </c>
      <c r="X234" s="762" t="s">
        <v>697</v>
      </c>
      <c r="Y234" s="762" t="s">
        <v>697</v>
      </c>
      <c r="Z234" s="762" t="s">
        <v>697</v>
      </c>
      <c r="AA234" s="762"/>
      <c r="AB234" s="762"/>
      <c r="AC234" s="762" t="s">
        <v>697</v>
      </c>
      <c r="AD234" s="762" t="s">
        <v>697</v>
      </c>
      <c r="AE234" s="762" t="s">
        <v>697</v>
      </c>
      <c r="AF234" s="762" t="s">
        <v>697</v>
      </c>
      <c r="AG234" s="762"/>
      <c r="AH234" s="924">
        <v>52</v>
      </c>
      <c r="AI234" s="925">
        <v>37</v>
      </c>
    </row>
    <row r="235" spans="1:35" ht="21" customHeight="1">
      <c r="A235" s="442"/>
      <c r="B235" s="153" t="s">
        <v>698</v>
      </c>
      <c r="C235" s="762" t="s">
        <v>699</v>
      </c>
      <c r="D235" s="762"/>
      <c r="E235" s="762"/>
      <c r="F235" s="762"/>
      <c r="G235" s="762"/>
      <c r="H235" s="762"/>
      <c r="I235" s="762" t="s">
        <v>699</v>
      </c>
      <c r="J235" s="762" t="s">
        <v>699</v>
      </c>
      <c r="K235" s="762" t="s">
        <v>699</v>
      </c>
      <c r="L235" s="762" t="s">
        <v>699</v>
      </c>
      <c r="M235" s="762"/>
      <c r="N235" s="762"/>
      <c r="O235" s="762" t="s">
        <v>699</v>
      </c>
      <c r="P235" s="762" t="s">
        <v>699</v>
      </c>
      <c r="Q235" s="762" t="s">
        <v>699</v>
      </c>
      <c r="R235" s="762" t="s">
        <v>699</v>
      </c>
      <c r="S235" s="762" t="s">
        <v>699</v>
      </c>
      <c r="T235" s="762"/>
      <c r="U235" s="762"/>
      <c r="V235" s="762" t="s">
        <v>699</v>
      </c>
      <c r="W235" s="762" t="s">
        <v>699</v>
      </c>
      <c r="X235" s="762" t="s">
        <v>699</v>
      </c>
      <c r="Y235" s="762" t="s">
        <v>699</v>
      </c>
      <c r="Z235" s="762" t="s">
        <v>699</v>
      </c>
      <c r="AA235" s="762"/>
      <c r="AB235" s="762"/>
      <c r="AC235" s="762" t="s">
        <v>699</v>
      </c>
      <c r="AD235" s="762" t="s">
        <v>699</v>
      </c>
      <c r="AE235" s="762" t="s">
        <v>699</v>
      </c>
      <c r="AF235" s="762" t="s">
        <v>699</v>
      </c>
      <c r="AG235" s="762"/>
      <c r="AH235" s="924">
        <v>0</v>
      </c>
      <c r="AI235" s="925">
        <v>0</v>
      </c>
    </row>
    <row r="236" spans="1:35" ht="21" customHeight="1" thickBot="1">
      <c r="A236" s="906"/>
      <c r="B236" s="895" t="s">
        <v>700</v>
      </c>
      <c r="C236" s="875" t="s">
        <v>701</v>
      </c>
      <c r="D236" s="875"/>
      <c r="E236" s="875"/>
      <c r="F236" s="875"/>
      <c r="G236" s="875"/>
      <c r="H236" s="875"/>
      <c r="I236" s="1087" t="s">
        <v>701</v>
      </c>
      <c r="J236" s="1087" t="s">
        <v>701</v>
      </c>
      <c r="K236" s="1087" t="s">
        <v>701</v>
      </c>
      <c r="L236" s="1087" t="s">
        <v>749</v>
      </c>
      <c r="M236" s="875"/>
      <c r="N236" s="875"/>
      <c r="O236" s="875" t="s">
        <v>701</v>
      </c>
      <c r="P236" s="875" t="s">
        <v>701</v>
      </c>
      <c r="Q236" s="875" t="s">
        <v>701</v>
      </c>
      <c r="R236" s="875" t="s">
        <v>701</v>
      </c>
      <c r="S236" s="875" t="s">
        <v>701</v>
      </c>
      <c r="T236" s="875"/>
      <c r="U236" s="875"/>
      <c r="V236" s="875" t="s">
        <v>701</v>
      </c>
      <c r="W236" s="875" t="s">
        <v>701</v>
      </c>
      <c r="X236" s="875" t="s">
        <v>701</v>
      </c>
      <c r="Y236" s="875" t="s">
        <v>701</v>
      </c>
      <c r="Z236" s="875" t="s">
        <v>701</v>
      </c>
      <c r="AA236" s="875"/>
      <c r="AB236" s="875"/>
      <c r="AC236" s="875" t="s">
        <v>701</v>
      </c>
      <c r="AD236" s="875" t="s">
        <v>701</v>
      </c>
      <c r="AE236" s="875" t="s">
        <v>701</v>
      </c>
      <c r="AF236" s="875" t="s">
        <v>701</v>
      </c>
      <c r="AG236" s="875"/>
      <c r="AH236" s="868">
        <v>0</v>
      </c>
      <c r="AI236" s="869">
        <v>22</v>
      </c>
    </row>
    <row r="237" spans="1:35" ht="21" customHeight="1"/>
    <row r="238" spans="1:35" ht="21" customHeight="1"/>
    <row r="239" spans="1:35" ht="21" customHeight="1" thickBot="1">
      <c r="A239" s="1" t="s">
        <v>702</v>
      </c>
    </row>
    <row r="240" spans="1:35" ht="21" customHeight="1">
      <c r="B240" s="201" t="s">
        <v>664</v>
      </c>
      <c r="C240" s="7"/>
      <c r="D240" s="522" t="s">
        <v>2</v>
      </c>
      <c r="E240" s="51"/>
      <c r="F240" s="548"/>
      <c r="G240" s="7"/>
      <c r="H240" s="522" t="s">
        <v>3</v>
      </c>
      <c r="I240" s="51"/>
      <c r="J240" s="548"/>
      <c r="K240" s="7"/>
      <c r="L240" s="522" t="s">
        <v>4</v>
      </c>
      <c r="M240" s="51"/>
      <c r="N240" s="548"/>
      <c r="O240" s="7"/>
      <c r="P240" s="522" t="s">
        <v>5</v>
      </c>
      <c r="Q240" s="51"/>
      <c r="R240" s="548"/>
      <c r="S240" s="7"/>
      <c r="T240" s="522" t="s">
        <v>6</v>
      </c>
      <c r="U240" s="51"/>
      <c r="V240" s="548"/>
      <c r="W240" s="7"/>
      <c r="X240" s="522" t="s">
        <v>7</v>
      </c>
      <c r="Y240" s="51"/>
      <c r="Z240" s="548"/>
      <c r="AA240" s="7"/>
      <c r="AB240" s="522" t="s">
        <v>8</v>
      </c>
      <c r="AC240" s="51"/>
      <c r="AD240" s="51"/>
      <c r="AE240" s="425" t="s">
        <v>10</v>
      </c>
      <c r="AF240" s="51"/>
      <c r="AG240" s="51"/>
      <c r="AH240" s="51"/>
      <c r="AI240" s="523"/>
    </row>
    <row r="241" spans="1:35" ht="21" customHeight="1">
      <c r="B241" s="9">
        <v>8500</v>
      </c>
      <c r="C241" s="121" t="s">
        <v>33</v>
      </c>
      <c r="D241" s="603"/>
      <c r="E241" s="55"/>
      <c r="F241" s="602"/>
      <c r="G241" s="121" t="s">
        <v>33</v>
      </c>
      <c r="H241" s="603"/>
      <c r="I241" s="55"/>
      <c r="J241" s="602"/>
      <c r="K241" s="121" t="s">
        <v>33</v>
      </c>
      <c r="L241" s="603"/>
      <c r="M241" s="55"/>
      <c r="N241" s="602"/>
      <c r="O241" s="121" t="s">
        <v>33</v>
      </c>
      <c r="P241" s="603"/>
      <c r="Q241" s="55"/>
      <c r="R241" s="602"/>
      <c r="S241" s="121" t="s">
        <v>34</v>
      </c>
      <c r="T241" s="603"/>
      <c r="U241" s="55"/>
      <c r="V241" s="602"/>
      <c r="W241" s="14"/>
      <c r="X241" s="603"/>
      <c r="Y241" s="55"/>
      <c r="Z241" s="602"/>
      <c r="AA241" s="14"/>
      <c r="AB241" s="603"/>
      <c r="AC241" s="55"/>
      <c r="AD241" s="55"/>
      <c r="AE241" s="604"/>
      <c r="AF241" s="55"/>
      <c r="AG241" s="55"/>
      <c r="AH241" s="55"/>
      <c r="AI241" s="605"/>
    </row>
    <row r="242" spans="1:35" ht="21" customHeight="1" thickBot="1">
      <c r="B242" s="163" t="s">
        <v>703</v>
      </c>
      <c r="C242" s="626" t="s">
        <v>704</v>
      </c>
      <c r="D242" s="627"/>
      <c r="E242" s="616"/>
      <c r="F242" s="240"/>
      <c r="G242" s="626" t="s">
        <v>704</v>
      </c>
      <c r="H242" s="149"/>
      <c r="I242" s="616"/>
      <c r="J242" s="240"/>
      <c r="K242" s="626" t="s">
        <v>704</v>
      </c>
      <c r="L242" s="149"/>
      <c r="M242" s="616"/>
      <c r="N242" s="240"/>
      <c r="O242" s="626" t="s">
        <v>705</v>
      </c>
      <c r="P242" s="149"/>
      <c r="Q242" s="616"/>
      <c r="R242" s="240"/>
      <c r="S242" s="626" t="s">
        <v>16</v>
      </c>
      <c r="T242" s="149"/>
      <c r="U242" s="616"/>
      <c r="V242" s="240"/>
      <c r="W242" s="617"/>
      <c r="X242" s="149"/>
      <c r="Y242" s="616"/>
      <c r="Z242" s="240"/>
      <c r="AA242" s="617"/>
      <c r="AB242" s="149"/>
      <c r="AC242" s="616"/>
      <c r="AD242" s="616"/>
      <c r="AE242" s="618"/>
      <c r="AF242" s="616"/>
      <c r="AG242" s="616"/>
      <c r="AH242" s="616"/>
      <c r="AI242" s="619"/>
    </row>
    <row r="243" spans="1:35" ht="21" customHeight="1" thickBot="1">
      <c r="A243" s="60" t="s">
        <v>789</v>
      </c>
    </row>
    <row r="244" spans="1:35" ht="21" customHeight="1" thickBot="1">
      <c r="A244" s="911"/>
      <c r="B244" s="862" t="s">
        <v>476</v>
      </c>
      <c r="C244" s="863">
        <v>1</v>
      </c>
      <c r="D244" s="880">
        <v>2</v>
      </c>
      <c r="E244" s="880">
        <v>3</v>
      </c>
      <c r="F244" s="880">
        <v>4</v>
      </c>
      <c r="G244" s="880">
        <v>5</v>
      </c>
      <c r="H244" s="880">
        <v>6</v>
      </c>
      <c r="I244" s="863">
        <v>7</v>
      </c>
      <c r="J244" s="863">
        <v>8</v>
      </c>
      <c r="K244" s="863">
        <v>9</v>
      </c>
      <c r="L244" s="863">
        <v>10</v>
      </c>
      <c r="M244" s="880">
        <v>11</v>
      </c>
      <c r="N244" s="880">
        <v>12</v>
      </c>
      <c r="O244" s="863">
        <v>13</v>
      </c>
      <c r="P244" s="863">
        <v>14</v>
      </c>
      <c r="Q244" s="863">
        <v>15</v>
      </c>
      <c r="R244" s="863">
        <v>16</v>
      </c>
      <c r="S244" s="863">
        <v>17</v>
      </c>
      <c r="T244" s="880">
        <v>18</v>
      </c>
      <c r="U244" s="880">
        <v>19</v>
      </c>
      <c r="V244" s="863">
        <v>20</v>
      </c>
      <c r="W244" s="863">
        <v>21</v>
      </c>
      <c r="X244" s="863">
        <v>22</v>
      </c>
      <c r="Y244" s="863">
        <v>23</v>
      </c>
      <c r="Z244" s="863">
        <v>24</v>
      </c>
      <c r="AA244" s="880">
        <v>25</v>
      </c>
      <c r="AB244" s="880">
        <v>26</v>
      </c>
      <c r="AC244" s="863">
        <v>27</v>
      </c>
      <c r="AD244" s="863">
        <v>28</v>
      </c>
      <c r="AE244" s="863">
        <v>29</v>
      </c>
      <c r="AF244" s="863">
        <v>30</v>
      </c>
      <c r="AG244" s="943"/>
      <c r="AH244" s="864" t="s">
        <v>477</v>
      </c>
      <c r="AI244" s="865" t="s">
        <v>478</v>
      </c>
    </row>
    <row r="245" spans="1:35" ht="21" customHeight="1">
      <c r="A245" s="14">
        <v>8500</v>
      </c>
      <c r="B245" s="908" t="s">
        <v>707</v>
      </c>
      <c r="C245" s="970" t="s">
        <v>491</v>
      </c>
      <c r="D245" s="768"/>
      <c r="E245" s="768"/>
      <c r="F245" s="768"/>
      <c r="G245" s="768"/>
      <c r="H245" s="768"/>
      <c r="I245" s="768" t="s">
        <v>491</v>
      </c>
      <c r="J245" s="768" t="s">
        <v>491</v>
      </c>
      <c r="K245" s="768" t="s">
        <v>491</v>
      </c>
      <c r="L245" s="768" t="s">
        <v>491</v>
      </c>
      <c r="M245" s="768"/>
      <c r="N245" s="768"/>
      <c r="O245" s="768" t="s">
        <v>491</v>
      </c>
      <c r="P245" s="768" t="s">
        <v>491</v>
      </c>
      <c r="Q245" s="1038" t="s">
        <v>493</v>
      </c>
      <c r="R245" s="768" t="s">
        <v>491</v>
      </c>
      <c r="S245" s="768" t="s">
        <v>491</v>
      </c>
      <c r="T245" s="768"/>
      <c r="U245" s="768"/>
      <c r="V245" s="768" t="s">
        <v>491</v>
      </c>
      <c r="W245" s="768" t="s">
        <v>491</v>
      </c>
      <c r="X245" s="768" t="s">
        <v>491</v>
      </c>
      <c r="Y245" s="768" t="s">
        <v>491</v>
      </c>
      <c r="Z245" s="768" t="s">
        <v>491</v>
      </c>
      <c r="AA245" s="768"/>
      <c r="AB245" s="768"/>
      <c r="AC245" s="1144" t="s">
        <v>491</v>
      </c>
      <c r="AD245" s="1144" t="s">
        <v>491</v>
      </c>
      <c r="AE245" s="1144" t="s">
        <v>491</v>
      </c>
      <c r="AF245" s="1144" t="s">
        <v>491</v>
      </c>
      <c r="AG245" s="769"/>
      <c r="AH245" s="909">
        <v>76</v>
      </c>
      <c r="AI245" s="910">
        <v>37</v>
      </c>
    </row>
    <row r="246" spans="1:35" ht="21" customHeight="1">
      <c r="A246" s="500" t="s">
        <v>708</v>
      </c>
      <c r="B246" s="153" t="s">
        <v>709</v>
      </c>
      <c r="C246" s="762" t="s">
        <v>491</v>
      </c>
      <c r="D246" s="762"/>
      <c r="E246" s="762" t="s">
        <v>481</v>
      </c>
      <c r="F246" s="762"/>
      <c r="G246" s="762"/>
      <c r="H246" s="762"/>
      <c r="I246" s="762" t="s">
        <v>491</v>
      </c>
      <c r="J246" s="762" t="s">
        <v>491</v>
      </c>
      <c r="K246" s="762" t="s">
        <v>491</v>
      </c>
      <c r="L246" s="762" t="s">
        <v>491</v>
      </c>
      <c r="M246" s="762"/>
      <c r="N246" s="768"/>
      <c r="O246" s="768" t="s">
        <v>491</v>
      </c>
      <c r="P246" s="762" t="s">
        <v>491</v>
      </c>
      <c r="Q246" s="762" t="s">
        <v>491</v>
      </c>
      <c r="R246" s="762" t="s">
        <v>491</v>
      </c>
      <c r="S246" s="762" t="s">
        <v>481</v>
      </c>
      <c r="T246" s="762"/>
      <c r="U246" s="762"/>
      <c r="V246" s="762" t="s">
        <v>491</v>
      </c>
      <c r="W246" s="762" t="s">
        <v>491</v>
      </c>
      <c r="X246" s="762" t="s">
        <v>491</v>
      </c>
      <c r="Y246" s="762" t="s">
        <v>491</v>
      </c>
      <c r="Z246" s="762" t="s">
        <v>491</v>
      </c>
      <c r="AA246" s="762"/>
      <c r="AB246" s="768"/>
      <c r="AC246" s="768" t="s">
        <v>491</v>
      </c>
      <c r="AD246" s="762" t="s">
        <v>491</v>
      </c>
      <c r="AE246" s="762" t="s">
        <v>491</v>
      </c>
      <c r="AF246" s="762" t="s">
        <v>491</v>
      </c>
      <c r="AG246" s="762"/>
      <c r="AH246" s="628">
        <v>10</v>
      </c>
      <c r="AI246" s="629">
        <v>37</v>
      </c>
    </row>
    <row r="247" spans="1:35" ht="21.95" customHeight="1">
      <c r="A247" s="442"/>
      <c r="B247" s="153" t="s">
        <v>710</v>
      </c>
      <c r="C247" s="979" t="s">
        <v>491</v>
      </c>
      <c r="D247" s="762"/>
      <c r="E247" s="762"/>
      <c r="F247" s="762"/>
      <c r="G247" s="762"/>
      <c r="H247" s="762"/>
      <c r="I247" s="979" t="s">
        <v>491</v>
      </c>
      <c r="J247" s="979" t="s">
        <v>491</v>
      </c>
      <c r="K247" s="979" t="s">
        <v>491</v>
      </c>
      <c r="L247" s="979" t="s">
        <v>491</v>
      </c>
      <c r="M247" s="762"/>
      <c r="N247" s="768"/>
      <c r="O247" s="768" t="s">
        <v>491</v>
      </c>
      <c r="P247" s="762" t="s">
        <v>491</v>
      </c>
      <c r="Q247" s="762" t="s">
        <v>491</v>
      </c>
      <c r="R247" s="762" t="s">
        <v>491</v>
      </c>
      <c r="S247" s="762" t="s">
        <v>491</v>
      </c>
      <c r="T247" s="762"/>
      <c r="U247" s="762"/>
      <c r="V247" s="762" t="s">
        <v>491</v>
      </c>
      <c r="W247" s="762" t="s">
        <v>491</v>
      </c>
      <c r="X247" s="762" t="s">
        <v>491</v>
      </c>
      <c r="Y247" s="762" t="s">
        <v>491</v>
      </c>
      <c r="Z247" s="762" t="s">
        <v>491</v>
      </c>
      <c r="AA247" s="762"/>
      <c r="AB247" s="768"/>
      <c r="AC247" s="768" t="s">
        <v>491</v>
      </c>
      <c r="AD247" s="762" t="s">
        <v>491</v>
      </c>
      <c r="AE247" s="762" t="s">
        <v>491</v>
      </c>
      <c r="AF247" s="762" t="s">
        <v>491</v>
      </c>
      <c r="AG247" s="762"/>
      <c r="AH247" s="628">
        <v>21</v>
      </c>
      <c r="AI247" s="629">
        <v>37</v>
      </c>
    </row>
    <row r="248" spans="1:35" ht="21.95" customHeight="1">
      <c r="A248" s="516">
        <v>3701</v>
      </c>
      <c r="B248" s="134" t="s">
        <v>711</v>
      </c>
      <c r="C248" s="1246" t="s">
        <v>491</v>
      </c>
      <c r="D248" s="1246"/>
      <c r="E248" s="1246"/>
      <c r="F248" s="1246"/>
      <c r="G248" s="1246"/>
      <c r="H248" s="1246"/>
      <c r="I248" s="1246" t="s">
        <v>491</v>
      </c>
      <c r="J248" s="1246" t="s">
        <v>491</v>
      </c>
      <c r="K248" s="1246" t="s">
        <v>491</v>
      </c>
      <c r="L248" s="1246" t="s">
        <v>491</v>
      </c>
      <c r="M248" s="1246"/>
      <c r="N248" s="1143"/>
      <c r="O248" s="1143" t="s">
        <v>760</v>
      </c>
      <c r="P248" s="848" t="s">
        <v>491</v>
      </c>
      <c r="Q248" s="848" t="s">
        <v>491</v>
      </c>
      <c r="R248" s="848" t="s">
        <v>491</v>
      </c>
      <c r="S248" s="848" t="s">
        <v>491</v>
      </c>
      <c r="T248" s="848"/>
      <c r="U248" s="848"/>
      <c r="V248" s="848" t="s">
        <v>491</v>
      </c>
      <c r="W248" s="848" t="s">
        <v>491</v>
      </c>
      <c r="X248" s="848" t="s">
        <v>491</v>
      </c>
      <c r="Y248" s="848" t="s">
        <v>491</v>
      </c>
      <c r="Z248" s="848" t="s">
        <v>491</v>
      </c>
      <c r="AA248" s="848"/>
      <c r="AB248" s="772"/>
      <c r="AC248" s="772" t="s">
        <v>491</v>
      </c>
      <c r="AD248" s="848" t="s">
        <v>491</v>
      </c>
      <c r="AE248" s="848" t="s">
        <v>491</v>
      </c>
      <c r="AF248" s="848" t="s">
        <v>491</v>
      </c>
      <c r="AG248" s="848"/>
      <c r="AH248" s="849">
        <v>0</v>
      </c>
      <c r="AI248" s="850">
        <v>37</v>
      </c>
    </row>
    <row r="249" spans="1:35" ht="21" customHeight="1">
      <c r="A249" s="793">
        <v>8500</v>
      </c>
      <c r="B249" s="227" t="s">
        <v>712</v>
      </c>
      <c r="C249" s="984" t="s">
        <v>491</v>
      </c>
      <c r="D249" s="852"/>
      <c r="E249" s="852"/>
      <c r="F249" s="852"/>
      <c r="G249" s="852"/>
      <c r="H249" s="852"/>
      <c r="I249" s="984" t="s">
        <v>491</v>
      </c>
      <c r="J249" s="984" t="s">
        <v>491</v>
      </c>
      <c r="K249" s="984" t="s">
        <v>491</v>
      </c>
      <c r="L249" s="984" t="s">
        <v>491</v>
      </c>
      <c r="M249" s="852"/>
      <c r="N249" s="782"/>
      <c r="O249" s="782" t="s">
        <v>491</v>
      </c>
      <c r="P249" s="852" t="s">
        <v>491</v>
      </c>
      <c r="Q249" s="852" t="s">
        <v>491</v>
      </c>
      <c r="R249" s="852" t="s">
        <v>491</v>
      </c>
      <c r="S249" s="852" t="s">
        <v>491</v>
      </c>
      <c r="T249" s="852"/>
      <c r="U249" s="852"/>
      <c r="V249" s="852" t="s">
        <v>491</v>
      </c>
      <c r="W249" s="852" t="s">
        <v>491</v>
      </c>
      <c r="X249" s="852" t="s">
        <v>491</v>
      </c>
      <c r="Y249" s="852" t="s">
        <v>491</v>
      </c>
      <c r="Z249" s="852" t="s">
        <v>491</v>
      </c>
      <c r="AA249" s="852"/>
      <c r="AB249" s="782"/>
      <c r="AC249" s="782" t="s">
        <v>491</v>
      </c>
      <c r="AD249" s="852" t="s">
        <v>491</v>
      </c>
      <c r="AE249" s="852" t="s">
        <v>491</v>
      </c>
      <c r="AF249" s="852" t="s">
        <v>491</v>
      </c>
      <c r="AG249" s="852"/>
      <c r="AH249" s="849">
        <v>185</v>
      </c>
      <c r="AI249" s="850">
        <v>37</v>
      </c>
    </row>
    <row r="250" spans="1:35" ht="21.95" customHeight="1">
      <c r="A250" s="856">
        <v>3350</v>
      </c>
      <c r="B250" s="855"/>
      <c r="C250" s="852" t="s">
        <v>491</v>
      </c>
      <c r="D250" s="852"/>
      <c r="E250" s="852"/>
      <c r="F250" s="852"/>
      <c r="G250" s="852"/>
      <c r="H250" s="852"/>
      <c r="I250" s="852" t="s">
        <v>491</v>
      </c>
      <c r="J250" s="852" t="s">
        <v>491</v>
      </c>
      <c r="K250" s="852" t="s">
        <v>491</v>
      </c>
      <c r="L250" s="852" t="s">
        <v>491</v>
      </c>
      <c r="M250" s="852"/>
      <c r="N250" s="782"/>
      <c r="O250" s="782" t="s">
        <v>491</v>
      </c>
      <c r="P250" s="852" t="s">
        <v>491</v>
      </c>
      <c r="Q250" s="852" t="s">
        <v>491</v>
      </c>
      <c r="R250" s="852" t="s">
        <v>491</v>
      </c>
      <c r="S250" s="852" t="s">
        <v>491</v>
      </c>
      <c r="T250" s="852"/>
      <c r="U250" s="852"/>
      <c r="V250" s="852" t="s">
        <v>491</v>
      </c>
      <c r="W250" s="852" t="s">
        <v>491</v>
      </c>
      <c r="X250" s="852" t="s">
        <v>491</v>
      </c>
      <c r="Y250" s="852" t="s">
        <v>491</v>
      </c>
      <c r="Z250" s="852" t="s">
        <v>491</v>
      </c>
      <c r="AA250" s="852"/>
      <c r="AB250" s="782"/>
      <c r="AC250" s="782" t="s">
        <v>491</v>
      </c>
      <c r="AD250" s="852" t="s">
        <v>491</v>
      </c>
      <c r="AE250" s="852" t="s">
        <v>491</v>
      </c>
      <c r="AF250" s="852" t="s">
        <v>491</v>
      </c>
      <c r="AG250" s="852"/>
      <c r="AH250" s="849"/>
      <c r="AI250" s="850"/>
    </row>
    <row r="251" spans="1:35" ht="21.95" customHeight="1">
      <c r="A251" s="1136"/>
      <c r="B251" s="1137"/>
      <c r="C251" s="1138" t="s">
        <v>491</v>
      </c>
      <c r="D251" s="1138"/>
      <c r="E251" s="1138"/>
      <c r="F251" s="1138"/>
      <c r="G251" s="1138"/>
      <c r="H251" s="1138"/>
      <c r="I251" s="1138" t="s">
        <v>491</v>
      </c>
      <c r="J251" s="1138" t="s">
        <v>491</v>
      </c>
      <c r="K251" s="1138" t="s">
        <v>491</v>
      </c>
      <c r="L251" s="1138" t="s">
        <v>491</v>
      </c>
      <c r="M251" s="1138"/>
      <c r="N251" s="1139"/>
      <c r="O251" s="1139" t="s">
        <v>491</v>
      </c>
      <c r="P251" s="1138" t="s">
        <v>491</v>
      </c>
      <c r="Q251" s="1138" t="s">
        <v>491</v>
      </c>
      <c r="R251" s="1138" t="s">
        <v>491</v>
      </c>
      <c r="S251" s="1138" t="s">
        <v>491</v>
      </c>
      <c r="T251" s="1138"/>
      <c r="U251" s="1138"/>
      <c r="V251" s="1138" t="s">
        <v>491</v>
      </c>
      <c r="W251" s="1138" t="s">
        <v>491</v>
      </c>
      <c r="X251" s="1138" t="s">
        <v>491</v>
      </c>
      <c r="Y251" s="1138" t="s">
        <v>491</v>
      </c>
      <c r="Z251" s="1138" t="s">
        <v>491</v>
      </c>
      <c r="AA251" s="1138"/>
      <c r="AB251" s="1139"/>
      <c r="AC251" s="1139" t="s">
        <v>491</v>
      </c>
      <c r="AD251" s="1138" t="s">
        <v>491</v>
      </c>
      <c r="AE251" s="1138" t="s">
        <v>491</v>
      </c>
      <c r="AF251" s="1138" t="s">
        <v>491</v>
      </c>
      <c r="AG251" s="1138"/>
      <c r="AH251" s="849"/>
      <c r="AI251" s="850"/>
    </row>
    <row r="252" spans="1:35" ht="21.95" customHeight="1">
      <c r="A252" s="856"/>
      <c r="B252" s="1142"/>
      <c r="C252" s="852"/>
      <c r="D252" s="852"/>
      <c r="E252" s="852"/>
      <c r="F252" s="852"/>
      <c r="G252" s="852"/>
      <c r="H252" s="852"/>
      <c r="I252" s="852"/>
      <c r="J252" s="852"/>
      <c r="K252" s="852"/>
      <c r="L252" s="852"/>
      <c r="M252" s="852"/>
      <c r="N252" s="782"/>
      <c r="O252" s="782"/>
      <c r="P252" s="852"/>
      <c r="Q252" s="852"/>
      <c r="R252" s="852"/>
      <c r="S252" s="852"/>
      <c r="T252" s="852"/>
      <c r="U252" s="852"/>
      <c r="V252" s="852"/>
      <c r="W252" s="852"/>
      <c r="X252" s="852"/>
      <c r="Y252" s="852"/>
      <c r="Z252" s="852"/>
      <c r="AA252" s="852"/>
      <c r="AB252" s="782"/>
      <c r="AC252" s="782"/>
      <c r="AD252" s="852"/>
      <c r="AE252" s="852"/>
      <c r="AF252" s="852"/>
      <c r="AG252" s="852"/>
      <c r="AH252" s="1141"/>
      <c r="AI252" s="1141"/>
    </row>
    <row r="253" spans="1:35" ht="21.95" customHeight="1">
      <c r="A253" s="793"/>
      <c r="B253" s="1142"/>
      <c r="C253" s="793"/>
      <c r="D253" s="793"/>
      <c r="E253" s="793"/>
      <c r="F253" s="793"/>
      <c r="G253" s="793"/>
      <c r="H253" s="793"/>
      <c r="I253" s="793"/>
      <c r="J253" s="793"/>
      <c r="K253" s="793"/>
      <c r="L253" s="793"/>
      <c r="M253" s="793"/>
      <c r="N253" s="793"/>
      <c r="O253" s="793"/>
      <c r="P253" s="793"/>
      <c r="Q253" s="793"/>
      <c r="R253" s="793"/>
      <c r="S253" s="793"/>
      <c r="T253" s="793"/>
      <c r="U253" s="793"/>
      <c r="V253" s="793"/>
      <c r="W253" s="793"/>
      <c r="X253" s="793"/>
      <c r="Y253" s="793"/>
      <c r="Z253" s="793"/>
      <c r="AA253" s="793"/>
      <c r="AB253" s="793"/>
      <c r="AC253" s="793"/>
      <c r="AD253" s="793"/>
      <c r="AE253" s="793"/>
      <c r="AF253" s="793"/>
      <c r="AG253" s="852"/>
      <c r="AH253" s="1141"/>
      <c r="AI253" s="793"/>
    </row>
    <row r="255" spans="1:35" ht="25.5" customHeight="1" thickBot="1">
      <c r="A255" s="1" t="s">
        <v>716</v>
      </c>
    </row>
    <row r="256" spans="1:35" ht="21" customHeight="1">
      <c r="A256" s="1"/>
      <c r="B256" s="201" t="s">
        <v>664</v>
      </c>
      <c r="C256" s="7"/>
      <c r="D256" s="522" t="s">
        <v>2</v>
      </c>
      <c r="E256" s="51"/>
      <c r="F256" s="548"/>
      <c r="G256" s="7"/>
      <c r="H256" s="522" t="s">
        <v>3</v>
      </c>
      <c r="I256" s="51"/>
      <c r="J256" s="548"/>
      <c r="K256" s="7"/>
      <c r="L256" s="522" t="s">
        <v>4</v>
      </c>
      <c r="M256" s="51"/>
      <c r="N256" s="548"/>
      <c r="O256" s="7"/>
      <c r="P256" s="522" t="s">
        <v>5</v>
      </c>
      <c r="Q256" s="51"/>
      <c r="R256" s="548"/>
      <c r="S256" s="7"/>
      <c r="T256" s="522" t="s">
        <v>6</v>
      </c>
      <c r="U256" s="51"/>
      <c r="V256" s="548"/>
      <c r="W256" s="7"/>
      <c r="X256" s="522" t="s">
        <v>7</v>
      </c>
      <c r="Y256" s="51"/>
      <c r="Z256" s="548"/>
      <c r="AA256" s="7"/>
      <c r="AB256" s="522" t="s">
        <v>8</v>
      </c>
      <c r="AC256" s="51"/>
      <c r="AD256" s="51"/>
      <c r="AE256" s="425" t="s">
        <v>10</v>
      </c>
      <c r="AF256" s="51"/>
      <c r="AG256" s="51"/>
      <c r="AH256" s="51"/>
      <c r="AI256" s="523"/>
    </row>
    <row r="257" spans="1:35" ht="21" customHeight="1">
      <c r="A257" s="1"/>
      <c r="B257" s="9"/>
      <c r="C257" s="14"/>
      <c r="D257" s="603"/>
      <c r="E257" s="55"/>
      <c r="F257" s="602"/>
      <c r="G257" s="14"/>
      <c r="H257" s="603"/>
      <c r="I257" s="55"/>
      <c r="J257" s="602"/>
      <c r="K257" s="14"/>
      <c r="L257" s="603"/>
      <c r="M257" s="55"/>
      <c r="N257" s="602"/>
      <c r="O257" s="14"/>
      <c r="P257" s="603"/>
      <c r="Q257" s="55"/>
      <c r="R257" s="602"/>
      <c r="S257" s="14"/>
      <c r="T257" s="603"/>
      <c r="U257" s="55"/>
      <c r="V257" s="602"/>
      <c r="W257" s="14"/>
      <c r="X257" s="603"/>
      <c r="Y257" s="55"/>
      <c r="Z257" s="602"/>
      <c r="AA257" s="14"/>
      <c r="AB257" s="603"/>
      <c r="AC257" s="55"/>
      <c r="AD257" s="55"/>
      <c r="AE257" s="604"/>
      <c r="AF257" s="55"/>
      <c r="AG257" s="55"/>
      <c r="AH257" s="55"/>
      <c r="AI257" s="605"/>
    </row>
    <row r="258" spans="1:35" ht="21" customHeight="1">
      <c r="B258" s="606"/>
      <c r="C258" s="121"/>
      <c r="D258" s="157"/>
      <c r="E258" s="157"/>
      <c r="F258" s="564"/>
      <c r="G258" s="121"/>
      <c r="H258" s="157"/>
      <c r="I258" s="157"/>
      <c r="J258" s="564"/>
      <c r="K258" s="121"/>
      <c r="L258" s="157"/>
      <c r="M258" s="157"/>
      <c r="N258" s="564"/>
      <c r="O258" s="121"/>
      <c r="P258" s="157"/>
      <c r="Q258" s="157"/>
      <c r="R258" s="564"/>
      <c r="S258" s="121"/>
      <c r="T258" s="157"/>
      <c r="U258" s="157"/>
      <c r="V258" s="564"/>
      <c r="W258" s="121"/>
      <c r="X258" s="157"/>
      <c r="Y258" s="157"/>
      <c r="Z258" s="564"/>
      <c r="AA258" s="563"/>
      <c r="AB258" s="157"/>
      <c r="AC258" s="157"/>
      <c r="AD258" s="565"/>
      <c r="AE258" s="607"/>
      <c r="AF258" s="157"/>
      <c r="AG258" s="157"/>
      <c r="AH258" s="565"/>
      <c r="AI258" s="490"/>
    </row>
    <row r="259" spans="1:35" ht="21" customHeight="1" thickBot="1">
      <c r="A259" s="1"/>
      <c r="B259" s="47"/>
      <c r="C259" s="570"/>
      <c r="D259" s="53"/>
      <c r="E259" s="53"/>
      <c r="F259" s="571"/>
      <c r="G259" s="570"/>
      <c r="H259" s="53"/>
      <c r="I259" s="53"/>
      <c r="J259" s="571"/>
      <c r="K259" s="570"/>
      <c r="L259" s="53"/>
      <c r="M259" s="53"/>
      <c r="N259" s="571"/>
      <c r="O259" s="570"/>
      <c r="P259" s="53"/>
      <c r="Q259" s="53"/>
      <c r="R259" s="571"/>
      <c r="S259" s="570"/>
      <c r="T259" s="53"/>
      <c r="U259" s="53"/>
      <c r="V259" s="571"/>
      <c r="W259" s="57"/>
      <c r="X259" s="53"/>
      <c r="Y259" s="53"/>
      <c r="Z259" s="571"/>
      <c r="AA259" s="57"/>
      <c r="AB259" s="53"/>
      <c r="AC259" s="53"/>
      <c r="AD259" s="573"/>
      <c r="AE259" s="57"/>
      <c r="AF259" s="53"/>
      <c r="AG259" s="53"/>
      <c r="AH259" s="573"/>
      <c r="AI259" s="536"/>
    </row>
    <row r="260" spans="1:35" ht="33" customHeight="1" thickBot="1">
      <c r="A260" s="1" t="s">
        <v>790</v>
      </c>
      <c r="B260" s="962"/>
      <c r="C260" s="713"/>
      <c r="D260" s="519"/>
      <c r="E260" s="519"/>
      <c r="F260" s="518"/>
      <c r="G260" s="713"/>
      <c r="H260" s="519"/>
      <c r="I260" s="519"/>
      <c r="J260" s="518"/>
      <c r="K260" s="713"/>
      <c r="L260" s="519"/>
      <c r="M260" s="519"/>
      <c r="N260" s="518"/>
      <c r="O260" s="713"/>
      <c r="P260" s="519"/>
      <c r="Q260" s="519"/>
      <c r="R260" s="518"/>
      <c r="S260" s="713"/>
      <c r="T260" s="519"/>
      <c r="U260" s="519"/>
      <c r="V260" s="518"/>
      <c r="W260" s="518"/>
      <c r="X260" s="519"/>
      <c r="Y260" s="519"/>
      <c r="Z260" s="518"/>
      <c r="AA260" s="518"/>
      <c r="AB260" s="519"/>
      <c r="AC260" s="519"/>
      <c r="AD260" s="518"/>
      <c r="AE260" s="518"/>
      <c r="AF260" s="519"/>
      <c r="AG260" s="519"/>
      <c r="AH260" s="354"/>
    </row>
    <row r="261" spans="1:35" ht="21" customHeight="1" thickBot="1">
      <c r="A261" s="861" t="s">
        <v>475</v>
      </c>
      <c r="B261" s="862" t="s">
        <v>476</v>
      </c>
      <c r="C261" s="863">
        <v>1</v>
      </c>
      <c r="D261" s="880">
        <v>2</v>
      </c>
      <c r="E261" s="880">
        <v>3</v>
      </c>
      <c r="F261" s="880">
        <v>4</v>
      </c>
      <c r="G261" s="880">
        <v>5</v>
      </c>
      <c r="H261" s="880">
        <v>6</v>
      </c>
      <c r="I261" s="863">
        <v>7</v>
      </c>
      <c r="J261" s="863">
        <v>8</v>
      </c>
      <c r="K261" s="863">
        <v>9</v>
      </c>
      <c r="L261" s="863">
        <v>10</v>
      </c>
      <c r="M261" s="880">
        <v>11</v>
      </c>
      <c r="N261" s="880">
        <v>12</v>
      </c>
      <c r="O261" s="863">
        <v>13</v>
      </c>
      <c r="P261" s="863">
        <v>14</v>
      </c>
      <c r="Q261" s="863">
        <v>15</v>
      </c>
      <c r="R261" s="863">
        <v>16</v>
      </c>
      <c r="S261" s="863">
        <v>17</v>
      </c>
      <c r="T261" s="880">
        <v>18</v>
      </c>
      <c r="U261" s="880">
        <v>19</v>
      </c>
      <c r="V261" s="863">
        <v>20</v>
      </c>
      <c r="W261" s="863">
        <v>21</v>
      </c>
      <c r="X261" s="863">
        <v>22</v>
      </c>
      <c r="Y261" s="863">
        <v>23</v>
      </c>
      <c r="Z261" s="863">
        <v>24</v>
      </c>
      <c r="AA261" s="880">
        <v>25</v>
      </c>
      <c r="AB261" s="880">
        <v>26</v>
      </c>
      <c r="AC261" s="863">
        <v>27</v>
      </c>
      <c r="AD261" s="863">
        <v>28</v>
      </c>
      <c r="AE261" s="863">
        <v>29</v>
      </c>
      <c r="AF261" s="863">
        <v>30</v>
      </c>
      <c r="AG261" s="863"/>
      <c r="AH261" s="864" t="s">
        <v>477</v>
      </c>
      <c r="AI261" s="865" t="s">
        <v>478</v>
      </c>
    </row>
    <row r="262" spans="1:35" ht="21" customHeight="1">
      <c r="A262" s="438"/>
      <c r="B262" s="916" t="s">
        <v>718</v>
      </c>
      <c r="C262" s="768" t="s">
        <v>491</v>
      </c>
      <c r="D262" s="768"/>
      <c r="E262" s="768"/>
      <c r="F262" s="768"/>
      <c r="G262" s="768"/>
      <c r="H262" s="768"/>
      <c r="I262" s="970" t="s">
        <v>491</v>
      </c>
      <c r="J262" s="970" t="s">
        <v>491</v>
      </c>
      <c r="K262" s="970" t="s">
        <v>491</v>
      </c>
      <c r="L262" s="970" t="s">
        <v>491</v>
      </c>
      <c r="M262" s="970"/>
      <c r="N262" s="970"/>
      <c r="O262" s="970" t="s">
        <v>491</v>
      </c>
      <c r="P262" s="970" t="s">
        <v>491</v>
      </c>
      <c r="Q262" s="970" t="s">
        <v>491</v>
      </c>
      <c r="R262" s="970" t="s">
        <v>491</v>
      </c>
      <c r="S262" s="970" t="s">
        <v>491</v>
      </c>
      <c r="T262" s="970"/>
      <c r="U262" s="970"/>
      <c r="V262" s="970" t="s">
        <v>491</v>
      </c>
      <c r="W262" s="980" t="s">
        <v>491</v>
      </c>
      <c r="X262" s="768" t="s">
        <v>491</v>
      </c>
      <c r="Y262" s="768" t="s">
        <v>491</v>
      </c>
      <c r="Z262" s="768" t="s">
        <v>491</v>
      </c>
      <c r="AA262" s="768"/>
      <c r="AB262" s="768"/>
      <c r="AC262" s="768" t="s">
        <v>491</v>
      </c>
      <c r="AD262" s="768" t="s">
        <v>491</v>
      </c>
      <c r="AE262" s="768" t="s">
        <v>491</v>
      </c>
      <c r="AF262" s="768" t="s">
        <v>491</v>
      </c>
      <c r="AG262" s="769"/>
      <c r="AH262" s="909">
        <v>1</v>
      </c>
      <c r="AI262" s="910">
        <v>37</v>
      </c>
    </row>
    <row r="263" spans="1:35" ht="21" customHeight="1">
      <c r="A263" s="442"/>
      <c r="B263" s="613" t="s">
        <v>719</v>
      </c>
      <c r="C263" s="762" t="s">
        <v>491</v>
      </c>
      <c r="D263" s="762"/>
      <c r="E263" s="762"/>
      <c r="F263" s="762"/>
      <c r="G263" s="762"/>
      <c r="H263" s="762"/>
      <c r="I263" s="762" t="s">
        <v>491</v>
      </c>
      <c r="J263" s="762" t="s">
        <v>491</v>
      </c>
      <c r="K263" s="762" t="s">
        <v>491</v>
      </c>
      <c r="L263" s="762" t="s">
        <v>491</v>
      </c>
      <c r="M263" s="762"/>
      <c r="N263" s="768"/>
      <c r="O263" s="768" t="s">
        <v>491</v>
      </c>
      <c r="P263" s="762" t="s">
        <v>491</v>
      </c>
      <c r="Q263" s="762" t="s">
        <v>491</v>
      </c>
      <c r="R263" s="762" t="s">
        <v>491</v>
      </c>
      <c r="S263" s="762" t="s">
        <v>491</v>
      </c>
      <c r="T263" s="762"/>
      <c r="U263" s="762"/>
      <c r="V263" s="762" t="s">
        <v>491</v>
      </c>
      <c r="W263" s="762" t="s">
        <v>491</v>
      </c>
      <c r="X263" s="762" t="s">
        <v>491</v>
      </c>
      <c r="Y263" s="762" t="s">
        <v>491</v>
      </c>
      <c r="Z263" s="762" t="s">
        <v>491</v>
      </c>
      <c r="AA263" s="762"/>
      <c r="AB263" s="768"/>
      <c r="AC263" s="768" t="s">
        <v>491</v>
      </c>
      <c r="AD263" s="762" t="s">
        <v>491</v>
      </c>
      <c r="AE263" s="762" t="s">
        <v>491</v>
      </c>
      <c r="AF263" s="762" t="s">
        <v>491</v>
      </c>
      <c r="AG263" s="762"/>
      <c r="AH263" s="628">
        <v>1</v>
      </c>
      <c r="AI263" s="629">
        <v>0</v>
      </c>
    </row>
    <row r="264" spans="1:35" ht="21" customHeight="1">
      <c r="A264" s="442"/>
      <c r="B264" s="613" t="s">
        <v>720</v>
      </c>
      <c r="C264" s="966" t="s">
        <v>491</v>
      </c>
      <c r="D264" s="762"/>
      <c r="E264" s="762"/>
      <c r="F264" s="762"/>
      <c r="G264" s="762"/>
      <c r="H264" s="762"/>
      <c r="I264" s="966" t="s">
        <v>491</v>
      </c>
      <c r="J264" s="966" t="s">
        <v>491</v>
      </c>
      <c r="K264" s="979" t="s">
        <v>491</v>
      </c>
      <c r="L264" s="762" t="s">
        <v>491</v>
      </c>
      <c r="M264" s="762"/>
      <c r="N264" s="768"/>
      <c r="O264" s="1088" t="s">
        <v>491</v>
      </c>
      <c r="P264" s="1254" t="s">
        <v>491</v>
      </c>
      <c r="Q264" s="762" t="s">
        <v>491</v>
      </c>
      <c r="R264" s="762" t="s">
        <v>491</v>
      </c>
      <c r="S264" s="762" t="s">
        <v>491</v>
      </c>
      <c r="T264" s="762"/>
      <c r="U264" s="762"/>
      <c r="V264" s="762" t="s">
        <v>491</v>
      </c>
      <c r="W264" s="762" t="s">
        <v>491</v>
      </c>
      <c r="X264" s="762" t="s">
        <v>491</v>
      </c>
      <c r="Y264" s="762" t="s">
        <v>491</v>
      </c>
      <c r="Z264" s="762" t="s">
        <v>491</v>
      </c>
      <c r="AA264" s="762"/>
      <c r="AB264" s="768"/>
      <c r="AC264" s="768" t="s">
        <v>491</v>
      </c>
      <c r="AD264" s="762" t="s">
        <v>491</v>
      </c>
      <c r="AE264" s="762" t="s">
        <v>491</v>
      </c>
      <c r="AF264" s="762" t="s">
        <v>491</v>
      </c>
      <c r="AG264" s="762"/>
      <c r="AH264" s="628">
        <v>0</v>
      </c>
      <c r="AI264" s="629">
        <v>22</v>
      </c>
    </row>
    <row r="265" spans="1:35" ht="21" customHeight="1">
      <c r="A265" s="442"/>
      <c r="B265" s="613" t="s">
        <v>721</v>
      </c>
      <c r="C265" s="762" t="s">
        <v>491</v>
      </c>
      <c r="D265" s="762"/>
      <c r="E265" s="762"/>
      <c r="F265" s="762"/>
      <c r="G265" s="762"/>
      <c r="H265" s="762"/>
      <c r="I265" s="762" t="s">
        <v>491</v>
      </c>
      <c r="J265" s="762" t="s">
        <v>491</v>
      </c>
      <c r="K265" s="762" t="s">
        <v>491</v>
      </c>
      <c r="L265" s="966" t="s">
        <v>491</v>
      </c>
      <c r="M265" s="762"/>
      <c r="N265" s="768"/>
      <c r="O265" s="768" t="s">
        <v>491</v>
      </c>
      <c r="P265" s="762" t="s">
        <v>491</v>
      </c>
      <c r="Q265" s="762" t="s">
        <v>491</v>
      </c>
      <c r="R265" s="762" t="s">
        <v>491</v>
      </c>
      <c r="S265" s="966" t="s">
        <v>491</v>
      </c>
      <c r="T265" s="762"/>
      <c r="U265" s="762"/>
      <c r="V265" s="762" t="s">
        <v>491</v>
      </c>
      <c r="W265" s="762" t="s">
        <v>491</v>
      </c>
      <c r="X265" s="762" t="s">
        <v>491</v>
      </c>
      <c r="Y265" s="1015" t="s">
        <v>491</v>
      </c>
      <c r="Z265" s="1015" t="s">
        <v>491</v>
      </c>
      <c r="AA265" s="1015"/>
      <c r="AB265" s="1038"/>
      <c r="AC265" s="1038" t="s">
        <v>491</v>
      </c>
      <c r="AD265" s="1015" t="s">
        <v>491</v>
      </c>
      <c r="AE265" s="1015" t="s">
        <v>491</v>
      </c>
      <c r="AF265" s="1015" t="s">
        <v>491</v>
      </c>
      <c r="AG265" s="762"/>
      <c r="AH265" s="628">
        <v>62</v>
      </c>
      <c r="AI265" s="629">
        <v>0</v>
      </c>
    </row>
    <row r="266" spans="1:35" ht="21" customHeight="1">
      <c r="A266" s="442"/>
      <c r="B266" s="613" t="s">
        <v>722</v>
      </c>
      <c r="C266" s="762" t="s">
        <v>491</v>
      </c>
      <c r="D266" s="762"/>
      <c r="E266" s="762"/>
      <c r="F266" s="762"/>
      <c r="G266" s="762"/>
      <c r="H266" s="762"/>
      <c r="I266" s="762" t="s">
        <v>491</v>
      </c>
      <c r="J266" s="762" t="s">
        <v>491</v>
      </c>
      <c r="K266" s="762" t="s">
        <v>491</v>
      </c>
      <c r="L266" s="762" t="s">
        <v>491</v>
      </c>
      <c r="M266" s="762"/>
      <c r="N266" s="768"/>
      <c r="O266" s="768" t="s">
        <v>491</v>
      </c>
      <c r="P266" s="762" t="s">
        <v>491</v>
      </c>
      <c r="Q266" s="762" t="s">
        <v>491</v>
      </c>
      <c r="R266" s="762" t="s">
        <v>491</v>
      </c>
      <c r="S266" s="762" t="s">
        <v>491</v>
      </c>
      <c r="T266" s="762"/>
      <c r="U266" s="762"/>
      <c r="V266" s="762" t="s">
        <v>491</v>
      </c>
      <c r="W266" s="762" t="s">
        <v>491</v>
      </c>
      <c r="X266" s="762" t="s">
        <v>491</v>
      </c>
      <c r="Y266" s="1294" t="s">
        <v>491</v>
      </c>
      <c r="Z266" s="1315" t="s">
        <v>491</v>
      </c>
      <c r="AA266" s="762"/>
      <c r="AB266" s="768"/>
      <c r="AC266" s="768" t="s">
        <v>491</v>
      </c>
      <c r="AD266" s="762" t="s">
        <v>491</v>
      </c>
      <c r="AE266" s="762" t="s">
        <v>491</v>
      </c>
      <c r="AF266" s="762" t="s">
        <v>491</v>
      </c>
      <c r="AG266" s="762"/>
      <c r="AH266" s="628">
        <v>55</v>
      </c>
      <c r="AI266" s="629">
        <v>5</v>
      </c>
    </row>
    <row r="267" spans="1:35" ht="21" customHeight="1">
      <c r="A267" s="442"/>
      <c r="B267" s="613" t="s">
        <v>723</v>
      </c>
      <c r="C267" s="762" t="s">
        <v>491</v>
      </c>
      <c r="D267" s="762"/>
      <c r="E267" s="762"/>
      <c r="F267" s="762"/>
      <c r="G267" s="762"/>
      <c r="H267" s="762"/>
      <c r="I267" s="762" t="s">
        <v>491</v>
      </c>
      <c r="J267" s="762" t="s">
        <v>491</v>
      </c>
      <c r="K267" s="762" t="s">
        <v>491</v>
      </c>
      <c r="L267" s="762" t="s">
        <v>491</v>
      </c>
      <c r="M267" s="762"/>
      <c r="N267" s="768"/>
      <c r="O267" s="768" t="s">
        <v>491</v>
      </c>
      <c r="P267" s="762" t="s">
        <v>491</v>
      </c>
      <c r="Q267" s="762" t="s">
        <v>491</v>
      </c>
      <c r="R267" s="762" t="s">
        <v>491</v>
      </c>
      <c r="S267" s="762" t="s">
        <v>491</v>
      </c>
      <c r="T267" s="762"/>
      <c r="U267" s="762"/>
      <c r="V267" s="762" t="s">
        <v>491</v>
      </c>
      <c r="W267" s="762" t="s">
        <v>491</v>
      </c>
      <c r="X267" s="762" t="s">
        <v>491</v>
      </c>
      <c r="Y267" s="762" t="s">
        <v>491</v>
      </c>
      <c r="Z267" s="762" t="s">
        <v>491</v>
      </c>
      <c r="AA267" s="762"/>
      <c r="AB267" s="768"/>
      <c r="AC267" s="768" t="s">
        <v>491</v>
      </c>
      <c r="AD267" s="762" t="s">
        <v>491</v>
      </c>
      <c r="AE267" s="762" t="s">
        <v>491</v>
      </c>
      <c r="AF267" s="762" t="s">
        <v>491</v>
      </c>
      <c r="AG267" s="762"/>
      <c r="AH267" s="628">
        <v>4</v>
      </c>
      <c r="AI267" s="629">
        <v>37</v>
      </c>
    </row>
    <row r="268" spans="1:35" ht="21" customHeight="1">
      <c r="A268" s="442"/>
      <c r="B268" s="613" t="s">
        <v>724</v>
      </c>
      <c r="C268" s="979" t="s">
        <v>491</v>
      </c>
      <c r="D268" s="762"/>
      <c r="E268" s="762"/>
      <c r="F268" s="762"/>
      <c r="G268" s="762"/>
      <c r="H268" s="762"/>
      <c r="I268" s="762" t="s">
        <v>491</v>
      </c>
      <c r="J268" s="762" t="s">
        <v>491</v>
      </c>
      <c r="K268" s="762" t="s">
        <v>491</v>
      </c>
      <c r="L268" s="762" t="s">
        <v>491</v>
      </c>
      <c r="M268" s="762"/>
      <c r="N268" s="768"/>
      <c r="O268" s="768" t="s">
        <v>491</v>
      </c>
      <c r="P268" s="762" t="s">
        <v>491</v>
      </c>
      <c r="Q268" s="762" t="s">
        <v>491</v>
      </c>
      <c r="R268" s="762" t="s">
        <v>491</v>
      </c>
      <c r="S268" s="762" t="s">
        <v>491</v>
      </c>
      <c r="T268" s="762"/>
      <c r="U268" s="762"/>
      <c r="V268" s="762" t="s">
        <v>491</v>
      </c>
      <c r="W268" s="762" t="s">
        <v>491</v>
      </c>
      <c r="X268" s="762" t="s">
        <v>491</v>
      </c>
      <c r="Y268" s="762" t="s">
        <v>491</v>
      </c>
      <c r="Z268" s="762" t="s">
        <v>491</v>
      </c>
      <c r="AA268" s="762"/>
      <c r="AB268" s="768"/>
      <c r="AC268" s="768" t="s">
        <v>491</v>
      </c>
      <c r="AD268" s="762" t="s">
        <v>491</v>
      </c>
      <c r="AE268" s="762" t="s">
        <v>491</v>
      </c>
      <c r="AF268" s="762" t="s">
        <v>491</v>
      </c>
      <c r="AG268" s="762"/>
      <c r="AH268" s="628">
        <v>8</v>
      </c>
      <c r="AI268" s="629">
        <v>25</v>
      </c>
    </row>
    <row r="269" spans="1:35" ht="21" customHeight="1">
      <c r="A269" s="442"/>
      <c r="B269" s="613" t="s">
        <v>725</v>
      </c>
      <c r="C269" s="762" t="s">
        <v>491</v>
      </c>
      <c r="D269" s="762"/>
      <c r="E269" s="762"/>
      <c r="F269" s="762"/>
      <c r="G269" s="762"/>
      <c r="H269" s="762"/>
      <c r="I269" s="966" t="s">
        <v>491</v>
      </c>
      <c r="J269" s="966" t="s">
        <v>491</v>
      </c>
      <c r="K269" s="966" t="s">
        <v>491</v>
      </c>
      <c r="L269" s="966" t="s">
        <v>491</v>
      </c>
      <c r="M269" s="762"/>
      <c r="N269" s="768"/>
      <c r="O269" s="768" t="s">
        <v>491</v>
      </c>
      <c r="P269" s="762" t="s">
        <v>491</v>
      </c>
      <c r="Q269" s="762" t="s">
        <v>491</v>
      </c>
      <c r="R269" s="762" t="s">
        <v>491</v>
      </c>
      <c r="S269" s="762" t="s">
        <v>491</v>
      </c>
      <c r="T269" s="762"/>
      <c r="U269" s="762"/>
      <c r="V269" s="762" t="s">
        <v>491</v>
      </c>
      <c r="W269" s="762" t="s">
        <v>491</v>
      </c>
      <c r="X269" s="762" t="s">
        <v>491</v>
      </c>
      <c r="Y269" s="762" t="s">
        <v>491</v>
      </c>
      <c r="Z269" s="762" t="s">
        <v>491</v>
      </c>
      <c r="AA269" s="762"/>
      <c r="AB269" s="768"/>
      <c r="AC269" s="768" t="s">
        <v>491</v>
      </c>
      <c r="AD269" s="762" t="s">
        <v>491</v>
      </c>
      <c r="AE269" s="979" t="s">
        <v>491</v>
      </c>
      <c r="AF269" s="979" t="s">
        <v>491</v>
      </c>
      <c r="AG269" s="762"/>
      <c r="AH269" s="628">
        <v>59</v>
      </c>
      <c r="AI269" s="629">
        <v>37</v>
      </c>
    </row>
    <row r="270" spans="1:35" ht="21" customHeight="1">
      <c r="A270" s="442"/>
      <c r="B270" s="613" t="s">
        <v>726</v>
      </c>
      <c r="C270" s="762" t="s">
        <v>491</v>
      </c>
      <c r="D270" s="762"/>
      <c r="E270" s="762"/>
      <c r="F270" s="762"/>
      <c r="G270" s="762"/>
      <c r="H270" s="762"/>
      <c r="I270" s="762" t="s">
        <v>491</v>
      </c>
      <c r="J270" s="762" t="s">
        <v>491</v>
      </c>
      <c r="K270" s="762" t="s">
        <v>491</v>
      </c>
      <c r="L270" s="762" t="s">
        <v>491</v>
      </c>
      <c r="M270" s="762"/>
      <c r="N270" s="768"/>
      <c r="O270" s="768" t="s">
        <v>491</v>
      </c>
      <c r="P270" s="762" t="s">
        <v>491</v>
      </c>
      <c r="Q270" s="762" t="s">
        <v>491</v>
      </c>
      <c r="R270" s="762" t="s">
        <v>491</v>
      </c>
      <c r="S270" s="762" t="s">
        <v>491</v>
      </c>
      <c r="T270" s="762"/>
      <c r="U270" s="762"/>
      <c r="V270" s="762" t="s">
        <v>491</v>
      </c>
      <c r="W270" s="762" t="s">
        <v>491</v>
      </c>
      <c r="X270" s="762" t="s">
        <v>491</v>
      </c>
      <c r="Y270" s="762" t="s">
        <v>491</v>
      </c>
      <c r="Z270" s="762" t="s">
        <v>491</v>
      </c>
      <c r="AA270" s="762"/>
      <c r="AB270" s="768"/>
      <c r="AC270" s="768" t="s">
        <v>491</v>
      </c>
      <c r="AD270" s="762" t="s">
        <v>491</v>
      </c>
      <c r="AE270" s="762" t="s">
        <v>491</v>
      </c>
      <c r="AF270" s="762" t="s">
        <v>491</v>
      </c>
      <c r="AG270" s="762"/>
      <c r="AH270" s="628">
        <v>98</v>
      </c>
      <c r="AI270" s="629">
        <v>37</v>
      </c>
    </row>
    <row r="271" spans="1:35" ht="21" customHeight="1">
      <c r="A271" s="442"/>
      <c r="B271" s="613" t="s">
        <v>727</v>
      </c>
      <c r="C271" s="966" t="s">
        <v>491</v>
      </c>
      <c r="D271" s="762"/>
      <c r="E271" s="762"/>
      <c r="F271" s="762"/>
      <c r="G271" s="762"/>
      <c r="H271" s="762"/>
      <c r="I271" s="762" t="s">
        <v>491</v>
      </c>
      <c r="J271" s="762" t="s">
        <v>491</v>
      </c>
      <c r="K271" s="762" t="s">
        <v>491</v>
      </c>
      <c r="L271" s="762" t="s">
        <v>491</v>
      </c>
      <c r="M271" s="762"/>
      <c r="N271" s="768"/>
      <c r="O271" s="768" t="s">
        <v>491</v>
      </c>
      <c r="P271" s="762" t="s">
        <v>491</v>
      </c>
      <c r="Q271" s="762" t="s">
        <v>491</v>
      </c>
      <c r="R271" s="762" t="s">
        <v>491</v>
      </c>
      <c r="S271" s="762" t="s">
        <v>491</v>
      </c>
      <c r="T271" s="762"/>
      <c r="U271" s="762"/>
      <c r="V271" s="762" t="s">
        <v>491</v>
      </c>
      <c r="W271" s="762" t="s">
        <v>491</v>
      </c>
      <c r="X271" s="762" t="s">
        <v>491</v>
      </c>
      <c r="Y271" s="762" t="s">
        <v>491</v>
      </c>
      <c r="Z271" s="1294" t="s">
        <v>491</v>
      </c>
      <c r="AA271" s="762"/>
      <c r="AB271" s="768"/>
      <c r="AC271" s="768" t="s">
        <v>491</v>
      </c>
      <c r="AD271" s="762" t="s">
        <v>491</v>
      </c>
      <c r="AE271" s="762" t="s">
        <v>491</v>
      </c>
      <c r="AF271" s="762" t="s">
        <v>491</v>
      </c>
      <c r="AG271" s="762"/>
      <c r="AH271" s="628">
        <v>55</v>
      </c>
      <c r="AI271" s="629">
        <v>1</v>
      </c>
    </row>
    <row r="272" spans="1:35" ht="21" customHeight="1">
      <c r="A272" s="442"/>
      <c r="B272" s="153" t="s">
        <v>728</v>
      </c>
      <c r="C272" s="762" t="s">
        <v>491</v>
      </c>
      <c r="D272" s="762"/>
      <c r="E272" s="762"/>
      <c r="F272" s="762"/>
      <c r="G272" s="762"/>
      <c r="H272" s="762"/>
      <c r="I272" s="762" t="s">
        <v>491</v>
      </c>
      <c r="J272" s="762" t="s">
        <v>491</v>
      </c>
      <c r="K272" s="762" t="s">
        <v>491</v>
      </c>
      <c r="L272" s="762" t="s">
        <v>491</v>
      </c>
      <c r="M272" s="762"/>
      <c r="N272" s="768"/>
      <c r="O272" s="768" t="s">
        <v>491</v>
      </c>
      <c r="P272" s="762" t="s">
        <v>491</v>
      </c>
      <c r="Q272" s="762" t="s">
        <v>491</v>
      </c>
      <c r="R272" s="762" t="s">
        <v>491</v>
      </c>
      <c r="S272" s="762" t="s">
        <v>491</v>
      </c>
      <c r="T272" s="762"/>
      <c r="U272" s="762"/>
      <c r="V272" s="762" t="s">
        <v>491</v>
      </c>
      <c r="W272" s="762" t="s">
        <v>491</v>
      </c>
      <c r="X272" s="762" t="s">
        <v>491</v>
      </c>
      <c r="Y272" s="762" t="s">
        <v>491</v>
      </c>
      <c r="Z272" s="762" t="s">
        <v>491</v>
      </c>
      <c r="AA272" s="762"/>
      <c r="AB272" s="768"/>
      <c r="AC272" s="768" t="s">
        <v>491</v>
      </c>
      <c r="AD272" s="762" t="s">
        <v>491</v>
      </c>
      <c r="AE272" s="762" t="s">
        <v>491</v>
      </c>
      <c r="AF272" s="762" t="s">
        <v>491</v>
      </c>
      <c r="AG272" s="762"/>
      <c r="AH272" s="628">
        <v>38</v>
      </c>
      <c r="AI272" s="629">
        <v>0</v>
      </c>
    </row>
    <row r="273" spans="1:35" ht="21" customHeight="1">
      <c r="A273" s="442"/>
      <c r="B273" s="153" t="s">
        <v>729</v>
      </c>
      <c r="C273" s="762" t="s">
        <v>491</v>
      </c>
      <c r="D273" s="762"/>
      <c r="E273" s="762"/>
      <c r="F273" s="762"/>
      <c r="G273" s="762"/>
      <c r="H273" s="762"/>
      <c r="I273" s="762" t="s">
        <v>491</v>
      </c>
      <c r="J273" s="762" t="s">
        <v>491</v>
      </c>
      <c r="K273" s="762" t="s">
        <v>491</v>
      </c>
      <c r="L273" s="762" t="s">
        <v>491</v>
      </c>
      <c r="M273" s="762"/>
      <c r="N273" s="768"/>
      <c r="O273" s="1144" t="s">
        <v>491</v>
      </c>
      <c r="P273" s="1255" t="s">
        <v>491</v>
      </c>
      <c r="Q273" s="1255" t="s">
        <v>491</v>
      </c>
      <c r="R273" s="1255" t="s">
        <v>491</v>
      </c>
      <c r="S273" s="1255" t="s">
        <v>491</v>
      </c>
      <c r="T273" s="762"/>
      <c r="U273" s="762"/>
      <c r="V273" s="762" t="s">
        <v>491</v>
      </c>
      <c r="W273" s="762" t="s">
        <v>491</v>
      </c>
      <c r="X273" s="762" t="s">
        <v>491</v>
      </c>
      <c r="Y273" s="762" t="s">
        <v>491</v>
      </c>
      <c r="Z273" s="762" t="s">
        <v>491</v>
      </c>
      <c r="AA273" s="762"/>
      <c r="AB273" s="768"/>
      <c r="AC273" s="768" t="s">
        <v>491</v>
      </c>
      <c r="AD273" s="762" t="s">
        <v>491</v>
      </c>
      <c r="AE273" s="966" t="s">
        <v>491</v>
      </c>
      <c r="AF273" s="966" t="s">
        <v>491</v>
      </c>
      <c r="AG273" s="762"/>
      <c r="AH273" s="628">
        <v>17</v>
      </c>
      <c r="AI273" s="629">
        <v>0</v>
      </c>
    </row>
    <row r="274" spans="1:35" ht="21" customHeight="1">
      <c r="A274" s="134"/>
      <c r="B274" s="134" t="s">
        <v>730</v>
      </c>
      <c r="C274" s="1207" t="s">
        <v>491</v>
      </c>
      <c r="D274" s="848"/>
      <c r="E274" s="848"/>
      <c r="F274" s="848"/>
      <c r="G274" s="848"/>
      <c r="H274" s="848"/>
      <c r="I274" s="848" t="s">
        <v>491</v>
      </c>
      <c r="J274" s="848" t="s">
        <v>491</v>
      </c>
      <c r="K274" s="848" t="s">
        <v>491</v>
      </c>
      <c r="L274" s="848" t="s">
        <v>491</v>
      </c>
      <c r="M274" s="848"/>
      <c r="N274" s="772"/>
      <c r="O274" s="772" t="s">
        <v>491</v>
      </c>
      <c r="P274" s="848" t="s">
        <v>491</v>
      </c>
      <c r="Q274" s="848" t="s">
        <v>491</v>
      </c>
      <c r="R274" s="848" t="s">
        <v>491</v>
      </c>
      <c r="S274" s="848" t="s">
        <v>491</v>
      </c>
      <c r="T274" s="848"/>
      <c r="U274" s="848"/>
      <c r="V274" s="848" t="s">
        <v>491</v>
      </c>
      <c r="W274" s="848" t="s">
        <v>491</v>
      </c>
      <c r="X274" s="848" t="s">
        <v>491</v>
      </c>
      <c r="Y274" s="848" t="s">
        <v>491</v>
      </c>
      <c r="Z274" s="848" t="s">
        <v>491</v>
      </c>
      <c r="AA274" s="848"/>
      <c r="AB274" s="772"/>
      <c r="AC274" s="772" t="s">
        <v>491</v>
      </c>
      <c r="AD274" s="848" t="s">
        <v>491</v>
      </c>
      <c r="AE274" s="848" t="s">
        <v>491</v>
      </c>
      <c r="AF274" s="848" t="s">
        <v>491</v>
      </c>
      <c r="AG274" s="848"/>
      <c r="AH274" s="849">
        <v>24</v>
      </c>
      <c r="AI274" s="850">
        <v>2</v>
      </c>
    </row>
    <row r="275" spans="1:35" ht="21" customHeight="1" thickBot="1">
      <c r="A275" s="917"/>
      <c r="B275" s="917" t="s">
        <v>731</v>
      </c>
      <c r="C275" s="875" t="s">
        <v>491</v>
      </c>
      <c r="D275" s="875"/>
      <c r="E275" s="875"/>
      <c r="F275" s="875"/>
      <c r="G275" s="875"/>
      <c r="H275" s="875"/>
      <c r="I275" s="875" t="s">
        <v>491</v>
      </c>
      <c r="J275" s="875" t="s">
        <v>491</v>
      </c>
      <c r="K275" s="875" t="s">
        <v>491</v>
      </c>
      <c r="L275" s="875" t="s">
        <v>491</v>
      </c>
      <c r="M275" s="875"/>
      <c r="N275" s="867"/>
      <c r="O275" s="867" t="s">
        <v>491</v>
      </c>
      <c r="P275" s="875" t="s">
        <v>491</v>
      </c>
      <c r="Q275" s="875" t="s">
        <v>491</v>
      </c>
      <c r="R275" s="875" t="s">
        <v>491</v>
      </c>
      <c r="S275" s="875" t="s">
        <v>491</v>
      </c>
      <c r="T275" s="875"/>
      <c r="U275" s="875"/>
      <c r="V275" s="875" t="s">
        <v>491</v>
      </c>
      <c r="W275" s="875" t="s">
        <v>491</v>
      </c>
      <c r="X275" s="875" t="s">
        <v>491</v>
      </c>
      <c r="Y275" s="875" t="s">
        <v>491</v>
      </c>
      <c r="Z275" s="875" t="s">
        <v>491</v>
      </c>
      <c r="AA275" s="875"/>
      <c r="AB275" s="867"/>
      <c r="AC275" s="867" t="s">
        <v>491</v>
      </c>
      <c r="AD275" s="875" t="s">
        <v>491</v>
      </c>
      <c r="AE275" s="875" t="s">
        <v>491</v>
      </c>
      <c r="AF275" s="875" t="s">
        <v>491</v>
      </c>
      <c r="AG275" s="875"/>
      <c r="AH275" s="914">
        <v>185</v>
      </c>
      <c r="AI275" s="915">
        <v>37</v>
      </c>
    </row>
  </sheetData>
  <sheetProtection password="CC44" sheet="1" objects="1" scenarios="1"/>
  <pageMargins left="0.19652777777777777" right="0" top="0.19652777777777777" bottom="0" header="0.19652777777777777" footer="0.51180555555555551"/>
  <pageSetup paperSize="9" scale="95" firstPageNumber="0" orientation="landscape" r:id="rId1"/>
  <headerFooter alignWithMargins="0">
    <oddHeader xml:space="preserve">&amp;R&amp;"Arial,fed"&amp;12&amp;A </oddHeader>
  </headerFooter>
  <rowBreaks count="1" manualBreakCount="1">
    <brk id="159" max="16383" man="1"/>
  </rowBreaks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16"/>
  <dimension ref="A1:D21"/>
  <sheetViews>
    <sheetView zoomScale="67" zoomScaleNormal="67" workbookViewId="0">
      <selection activeCell="B256" sqref="B256"/>
    </sheetView>
  </sheetViews>
  <sheetFormatPr defaultRowHeight="12.75"/>
  <cols>
    <col min="1" max="1" width="92.140625" customWidth="1"/>
    <col min="2" max="3" width="14.5703125" customWidth="1"/>
    <col min="4" max="4" width="15.7109375" customWidth="1"/>
  </cols>
  <sheetData>
    <row r="1" spans="1:4" ht="23.25">
      <c r="A1" s="630" t="s">
        <v>815</v>
      </c>
    </row>
    <row r="3" spans="1:4" ht="48" customHeight="1">
      <c r="A3" s="631" t="s">
        <v>28</v>
      </c>
      <c r="B3" s="1078" t="s">
        <v>816</v>
      </c>
      <c r="C3" s="1079" t="s">
        <v>817</v>
      </c>
      <c r="D3" s="1080" t="s">
        <v>818</v>
      </c>
    </row>
    <row r="4" spans="1:4" ht="45" customHeight="1">
      <c r="A4" s="632" t="s">
        <v>819</v>
      </c>
      <c r="B4" s="1082">
        <v>350</v>
      </c>
      <c r="C4" s="1082">
        <v>350</v>
      </c>
      <c r="D4" s="1082">
        <v>350</v>
      </c>
    </row>
    <row r="5" spans="1:4" ht="45" customHeight="1">
      <c r="A5" s="634" t="s">
        <v>820</v>
      </c>
      <c r="B5" s="1082">
        <v>450</v>
      </c>
      <c r="C5" s="1083">
        <v>525</v>
      </c>
      <c r="D5" s="1083">
        <v>525</v>
      </c>
    </row>
    <row r="6" spans="1:4" ht="45" customHeight="1">
      <c r="A6" s="634" t="s">
        <v>821</v>
      </c>
      <c r="B6" s="1082">
        <v>600</v>
      </c>
      <c r="C6" s="1083">
        <v>525</v>
      </c>
      <c r="D6" s="1083">
        <v>525</v>
      </c>
    </row>
    <row r="7" spans="1:4" ht="48.75" customHeight="1">
      <c r="A7" s="634" t="s">
        <v>822</v>
      </c>
      <c r="B7" s="633">
        <v>375</v>
      </c>
      <c r="C7" s="1081"/>
      <c r="D7" s="1077"/>
    </row>
    <row r="8" spans="1:4" ht="58.5" customHeight="1">
      <c r="A8" s="634" t="s">
        <v>823</v>
      </c>
      <c r="B8" s="635">
        <v>450</v>
      </c>
      <c r="C8" s="636"/>
    </row>
    <row r="9" spans="1:4" ht="45" customHeight="1">
      <c r="A9" s="637" t="s">
        <v>824</v>
      </c>
      <c r="B9" s="638">
        <v>315</v>
      </c>
      <c r="C9" s="639"/>
    </row>
    <row r="10" spans="1:4" ht="45" customHeight="1">
      <c r="A10" s="640" t="s">
        <v>825</v>
      </c>
      <c r="B10" s="638">
        <v>450</v>
      </c>
      <c r="C10" s="641"/>
    </row>
    <row r="11" spans="1:4" ht="45" customHeight="1">
      <c r="A11" s="640" t="s">
        <v>826</v>
      </c>
      <c r="B11" s="638">
        <v>100</v>
      </c>
    </row>
    <row r="12" spans="1:4" ht="45" customHeight="1">
      <c r="A12" s="640" t="s">
        <v>827</v>
      </c>
      <c r="B12" s="638">
        <v>230</v>
      </c>
    </row>
    <row r="13" spans="1:4" ht="45" customHeight="1">
      <c r="A13" s="642" t="s">
        <v>828</v>
      </c>
      <c r="B13" s="643">
        <v>220</v>
      </c>
    </row>
    <row r="14" spans="1:4" ht="45" customHeight="1">
      <c r="A14" s="644" t="s">
        <v>829</v>
      </c>
      <c r="B14" s="645">
        <v>250</v>
      </c>
    </row>
    <row r="15" spans="1:4" ht="45" customHeight="1">
      <c r="A15" s="644" t="s">
        <v>830</v>
      </c>
      <c r="B15" s="645">
        <v>300</v>
      </c>
    </row>
    <row r="16" spans="1:4" ht="45" customHeight="1">
      <c r="A16" s="644" t="s">
        <v>831</v>
      </c>
      <c r="B16" s="645">
        <v>0.4</v>
      </c>
    </row>
    <row r="17" spans="1:2" ht="45" customHeight="1">
      <c r="A17" s="644" t="s">
        <v>832</v>
      </c>
      <c r="B17" s="645">
        <v>250</v>
      </c>
    </row>
    <row r="18" spans="1:2" ht="45" customHeight="1">
      <c r="A18" s="644" t="s">
        <v>833</v>
      </c>
      <c r="B18" s="645">
        <v>350</v>
      </c>
    </row>
    <row r="19" spans="1:2" ht="45" customHeight="1">
      <c r="A19" s="646" t="s">
        <v>834</v>
      </c>
      <c r="B19" s="647">
        <v>310</v>
      </c>
    </row>
    <row r="20" spans="1:2" ht="45" customHeight="1">
      <c r="A20" s="646" t="s">
        <v>835</v>
      </c>
      <c r="B20" s="647">
        <v>100</v>
      </c>
    </row>
    <row r="21" spans="1:2" ht="45" customHeight="1">
      <c r="A21" s="646"/>
      <c r="B21" s="648"/>
    </row>
  </sheetData>
  <sheetProtection password="CC44" sheet="1" objects="1" scenarios="1" selectLockedCells="1" selectUnlockedCells="1"/>
  <phoneticPr fontId="8" type="noConversion"/>
  <pageMargins left="0" right="0" top="0.39374999999999999" bottom="0.19652777777777777" header="0.51180555555555551" footer="0.51180555555555551"/>
  <pageSetup paperSize="9" scale="85" firstPageNumber="0" orientation="portrait" horizontalDpi="300" verticalDpi="30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17"/>
  <dimension ref="A1:K56"/>
  <sheetViews>
    <sheetView topLeftCell="A4" zoomScale="67" zoomScaleNormal="67" workbookViewId="0">
      <selection activeCell="G41" sqref="G41"/>
    </sheetView>
  </sheetViews>
  <sheetFormatPr defaultRowHeight="12.75"/>
  <cols>
    <col min="1" max="1" width="18.5703125" customWidth="1"/>
    <col min="2" max="2" width="30.7109375" customWidth="1"/>
    <col min="3" max="3" width="13.7109375" customWidth="1"/>
    <col min="4" max="4" width="8.140625" customWidth="1"/>
    <col min="5" max="5" width="25.28515625" bestFit="1" customWidth="1"/>
    <col min="6" max="6" width="42.5703125" bestFit="1" customWidth="1"/>
    <col min="7" max="7" width="12.85546875" style="649" customWidth="1"/>
    <col min="8" max="8" width="2.7109375" customWidth="1"/>
    <col min="9" max="9" width="22.85546875" customWidth="1"/>
    <col min="10" max="10" width="27" customWidth="1"/>
    <col min="11" max="11" width="11.42578125" customWidth="1"/>
  </cols>
  <sheetData>
    <row r="1" spans="1:11" ht="20.25">
      <c r="F1" s="650" t="s">
        <v>836</v>
      </c>
    </row>
    <row r="2" spans="1:11" ht="15.95" customHeight="1">
      <c r="A2" s="599" t="s">
        <v>837</v>
      </c>
      <c r="B2" s="717"/>
      <c r="C2" s="717"/>
      <c r="D2" s="717"/>
      <c r="E2" s="599" t="s">
        <v>838</v>
      </c>
      <c r="F2" s="717"/>
      <c r="G2" s="718"/>
      <c r="H2" s="717"/>
      <c r="I2" s="599" t="s">
        <v>839</v>
      </c>
      <c r="J2" s="717"/>
    </row>
    <row r="3" spans="1:11" ht="15" customHeight="1" thickBot="1">
      <c r="A3" s="719" t="s">
        <v>840</v>
      </c>
      <c r="B3" s="719" t="s">
        <v>841</v>
      </c>
      <c r="C3" s="719" t="s">
        <v>842</v>
      </c>
      <c r="D3" s="717"/>
      <c r="E3" s="720" t="s">
        <v>840</v>
      </c>
      <c r="F3" s="720" t="s">
        <v>841</v>
      </c>
      <c r="G3" s="721" t="s">
        <v>842</v>
      </c>
      <c r="H3" s="717"/>
      <c r="I3" s="720" t="s">
        <v>840</v>
      </c>
      <c r="J3" s="720" t="s">
        <v>841</v>
      </c>
      <c r="K3" s="651" t="s">
        <v>842</v>
      </c>
    </row>
    <row r="4" spans="1:11" ht="15" customHeight="1" thickBot="1">
      <c r="A4" s="742" t="s">
        <v>26</v>
      </c>
      <c r="B4" s="722" t="s">
        <v>843</v>
      </c>
      <c r="C4" s="752" t="s">
        <v>844</v>
      </c>
      <c r="D4" s="717"/>
      <c r="E4" s="1167"/>
      <c r="F4" s="722"/>
      <c r="G4" s="755"/>
      <c r="H4" s="717"/>
      <c r="I4" s="1167" t="s">
        <v>845</v>
      </c>
      <c r="J4" s="722" t="s">
        <v>691</v>
      </c>
      <c r="K4" s="46"/>
    </row>
    <row r="5" spans="1:11" ht="15" customHeight="1" thickBot="1">
      <c r="A5" s="722"/>
      <c r="B5" s="722" t="s">
        <v>846</v>
      </c>
      <c r="C5" s="752" t="s">
        <v>847</v>
      </c>
      <c r="D5" s="717"/>
      <c r="E5" s="726"/>
      <c r="F5" s="727"/>
      <c r="G5" s="753"/>
      <c r="H5" s="717"/>
      <c r="I5" s="726"/>
      <c r="J5" s="722" t="s">
        <v>848</v>
      </c>
      <c r="K5" s="191"/>
    </row>
    <row r="6" spans="1:11" ht="15" customHeight="1" thickBot="1">
      <c r="A6" s="722"/>
      <c r="B6" s="722" t="s">
        <v>849</v>
      </c>
      <c r="C6" s="752" t="s">
        <v>850</v>
      </c>
      <c r="D6" s="717"/>
      <c r="E6" s="1167" t="s">
        <v>851</v>
      </c>
      <c r="F6" s="724" t="s">
        <v>511</v>
      </c>
      <c r="G6" s="755" t="s">
        <v>852</v>
      </c>
      <c r="H6" s="717"/>
      <c r="I6" s="728"/>
      <c r="J6" s="729" t="s">
        <v>853</v>
      </c>
      <c r="K6" s="136"/>
    </row>
    <row r="7" spans="1:11" ht="15" customHeight="1">
      <c r="A7" s="722"/>
      <c r="B7" s="722" t="s">
        <v>854</v>
      </c>
      <c r="C7" s="1267" t="s">
        <v>855</v>
      </c>
      <c r="D7" s="717"/>
      <c r="E7" s="726"/>
      <c r="F7" s="722" t="s">
        <v>516</v>
      </c>
      <c r="G7" s="753"/>
      <c r="H7" s="717"/>
      <c r="I7" s="1167" t="s">
        <v>845</v>
      </c>
      <c r="J7" s="724" t="s">
        <v>856</v>
      </c>
      <c r="K7" s="46"/>
    </row>
    <row r="8" spans="1:11" ht="15" customHeight="1">
      <c r="A8" s="722"/>
      <c r="B8" s="722"/>
      <c r="C8" s="1267"/>
      <c r="D8" s="717"/>
      <c r="E8" s="728"/>
      <c r="F8" s="1165" t="s">
        <v>650</v>
      </c>
      <c r="G8" s="754" t="s">
        <v>857</v>
      </c>
      <c r="H8" s="717"/>
      <c r="I8" s="732"/>
      <c r="J8" s="729"/>
      <c r="K8" s="56"/>
    </row>
    <row r="9" spans="1:11" ht="15" customHeight="1" thickBot="1">
      <c r="A9" s="722"/>
      <c r="B9" s="722" t="s">
        <v>858</v>
      </c>
      <c r="C9" s="1267" t="s">
        <v>859</v>
      </c>
      <c r="D9" s="717"/>
      <c r="E9" s="730"/>
      <c r="F9" s="731" t="s">
        <v>518</v>
      </c>
      <c r="G9" s="757" t="s">
        <v>860</v>
      </c>
      <c r="H9" s="717"/>
      <c r="I9" s="732"/>
      <c r="J9" s="729"/>
      <c r="K9" s="56"/>
    </row>
    <row r="10" spans="1:11" ht="15" customHeight="1">
      <c r="A10" s="722"/>
      <c r="B10" s="722" t="s">
        <v>861</v>
      </c>
      <c r="C10" s="1267" t="s">
        <v>862</v>
      </c>
      <c r="D10" s="717"/>
      <c r="E10" s="1167" t="s">
        <v>863</v>
      </c>
      <c r="F10" s="727" t="s">
        <v>864</v>
      </c>
      <c r="G10" s="755" t="s">
        <v>865</v>
      </c>
      <c r="H10" s="717"/>
      <c r="I10" s="726"/>
      <c r="J10" s="733" t="s">
        <v>866</v>
      </c>
      <c r="K10" s="191"/>
    </row>
    <row r="11" spans="1:11" ht="15" customHeight="1">
      <c r="A11" s="722"/>
      <c r="B11" s="722" t="s">
        <v>867</v>
      </c>
      <c r="C11" s="752" t="s">
        <v>868</v>
      </c>
      <c r="D11" s="717"/>
      <c r="E11" s="732"/>
      <c r="F11" s="734" t="s">
        <v>527</v>
      </c>
      <c r="G11" s="756"/>
      <c r="H11" s="717"/>
      <c r="I11" s="728"/>
      <c r="J11" s="722"/>
      <c r="K11" s="136"/>
    </row>
    <row r="12" spans="1:11" ht="15" customHeight="1" thickBot="1">
      <c r="A12" s="722"/>
      <c r="B12" s="722" t="s">
        <v>869</v>
      </c>
      <c r="C12" s="752" t="s">
        <v>870</v>
      </c>
      <c r="D12" s="717"/>
      <c r="E12" s="726"/>
      <c r="F12" s="735" t="s">
        <v>528</v>
      </c>
      <c r="G12" s="753"/>
      <c r="H12" s="717"/>
      <c r="I12" s="730"/>
      <c r="J12" s="736" t="s">
        <v>871</v>
      </c>
      <c r="K12" s="49"/>
    </row>
    <row r="13" spans="1:11" ht="15" customHeight="1" thickBot="1">
      <c r="A13" s="722"/>
      <c r="B13" s="722" t="s">
        <v>872</v>
      </c>
      <c r="C13" s="725"/>
      <c r="D13" s="717"/>
      <c r="E13" s="730"/>
      <c r="F13" s="737" t="s">
        <v>529</v>
      </c>
      <c r="G13" s="757"/>
      <c r="H13" s="717"/>
      <c r="I13" s="723"/>
      <c r="K13" s="46"/>
    </row>
    <row r="14" spans="1:11" ht="15" customHeight="1">
      <c r="A14" s="717"/>
      <c r="B14" s="717"/>
      <c r="C14" s="717"/>
      <c r="D14" s="717"/>
      <c r="E14" s="1167" t="s">
        <v>35</v>
      </c>
      <c r="F14" s="746"/>
      <c r="G14" s="755"/>
      <c r="H14" s="717"/>
      <c r="I14" s="726"/>
      <c r="J14" s="722" t="s">
        <v>698</v>
      </c>
      <c r="K14" s="191"/>
    </row>
    <row r="15" spans="1:11" ht="15" customHeight="1">
      <c r="A15" s="599" t="s">
        <v>873</v>
      </c>
      <c r="B15" s="717"/>
      <c r="C15" s="717"/>
      <c r="D15" s="717"/>
      <c r="E15" s="726"/>
      <c r="F15" s="735" t="s">
        <v>874</v>
      </c>
      <c r="G15" s="753"/>
      <c r="H15" s="717"/>
      <c r="I15" s="726"/>
      <c r="J15" s="734" t="s">
        <v>700</v>
      </c>
      <c r="K15" s="191"/>
    </row>
    <row r="16" spans="1:11" ht="15" customHeight="1" thickBot="1">
      <c r="A16" s="719" t="s">
        <v>840</v>
      </c>
      <c r="B16" s="719" t="s">
        <v>841</v>
      </c>
      <c r="C16" s="719" t="s">
        <v>842</v>
      </c>
      <c r="D16" s="717"/>
      <c r="E16" s="730"/>
      <c r="F16" s="738" t="s">
        <v>875</v>
      </c>
      <c r="G16" s="758"/>
      <c r="H16" s="717"/>
      <c r="I16" s="730"/>
      <c r="J16" s="738"/>
      <c r="K16" s="49"/>
    </row>
    <row r="17" spans="1:11" ht="15" customHeight="1">
      <c r="A17" s="742" t="s">
        <v>26</v>
      </c>
      <c r="B17" s="739" t="s">
        <v>876</v>
      </c>
      <c r="C17" s="1267" t="s">
        <v>859</v>
      </c>
      <c r="D17" s="717"/>
      <c r="E17" s="1167" t="s">
        <v>877</v>
      </c>
      <c r="F17" s="739" t="s">
        <v>530</v>
      </c>
      <c r="G17" s="755" t="s">
        <v>878</v>
      </c>
      <c r="H17" s="717"/>
      <c r="I17" s="717"/>
      <c r="J17" s="717"/>
    </row>
    <row r="18" spans="1:11" ht="15" customHeight="1" thickBot="1">
      <c r="A18" s="722"/>
      <c r="B18" s="722" t="s">
        <v>879</v>
      </c>
      <c r="C18" s="752" t="s">
        <v>880</v>
      </c>
      <c r="D18" s="717"/>
      <c r="E18" s="726"/>
      <c r="F18" s="735" t="s">
        <v>881</v>
      </c>
      <c r="G18" s="753"/>
      <c r="H18" s="717"/>
      <c r="I18" s="599"/>
      <c r="J18" s="717"/>
    </row>
    <row r="19" spans="1:11" ht="15" customHeight="1" thickBot="1">
      <c r="A19" s="722"/>
      <c r="B19" s="722" t="s">
        <v>882</v>
      </c>
      <c r="C19" s="752" t="s">
        <v>883</v>
      </c>
      <c r="D19" s="717"/>
      <c r="E19" s="730"/>
      <c r="F19" s="738" t="s">
        <v>532</v>
      </c>
      <c r="G19" s="755" t="s">
        <v>878</v>
      </c>
      <c r="H19" s="717"/>
      <c r="I19" s="599"/>
      <c r="J19" s="717"/>
    </row>
    <row r="20" spans="1:11" ht="15" customHeight="1">
      <c r="A20" s="722"/>
      <c r="B20" s="722" t="s">
        <v>884</v>
      </c>
      <c r="C20" s="752" t="s">
        <v>885</v>
      </c>
      <c r="D20" s="717"/>
      <c r="E20" s="1167" t="s">
        <v>37</v>
      </c>
      <c r="F20" s="740" t="s">
        <v>886</v>
      </c>
      <c r="G20" s="759"/>
      <c r="H20" s="717"/>
      <c r="I20" s="720" t="s">
        <v>840</v>
      </c>
      <c r="J20" s="720" t="s">
        <v>841</v>
      </c>
      <c r="K20" s="651" t="s">
        <v>842</v>
      </c>
    </row>
    <row r="21" spans="1:11" ht="15" customHeight="1">
      <c r="A21" s="722"/>
      <c r="B21" s="735" t="s">
        <v>887</v>
      </c>
      <c r="C21" s="752" t="s">
        <v>888</v>
      </c>
      <c r="D21" s="717"/>
      <c r="E21" s="1170"/>
      <c r="F21" s="722" t="s">
        <v>551</v>
      </c>
      <c r="G21" s="753"/>
      <c r="H21" s="717"/>
      <c r="I21" s="742" t="s">
        <v>671</v>
      </c>
      <c r="J21" s="722" t="s">
        <v>26</v>
      </c>
      <c r="K21" s="1260">
        <v>41967</v>
      </c>
    </row>
    <row r="22" spans="1:11" ht="15" customHeight="1">
      <c r="A22" s="722"/>
      <c r="B22" s="735" t="s">
        <v>889</v>
      </c>
      <c r="C22" s="752" t="s">
        <v>890</v>
      </c>
      <c r="D22" s="717"/>
      <c r="E22" s="1170"/>
      <c r="F22" s="747" t="s">
        <v>572</v>
      </c>
      <c r="G22" s="753"/>
      <c r="H22" s="717"/>
      <c r="I22" s="722"/>
      <c r="J22" s="722" t="s">
        <v>37</v>
      </c>
      <c r="K22" s="793"/>
    </row>
    <row r="23" spans="1:11" ht="15" customHeight="1">
      <c r="A23" s="722"/>
      <c r="B23" s="735" t="s">
        <v>891</v>
      </c>
      <c r="C23" s="752" t="s">
        <v>892</v>
      </c>
      <c r="D23" s="717"/>
      <c r="E23" s="1170"/>
      <c r="F23" s="734" t="s">
        <v>574</v>
      </c>
      <c r="G23" s="753" t="s">
        <v>870</v>
      </c>
      <c r="H23" s="717"/>
      <c r="I23" s="722"/>
      <c r="J23" s="722" t="s">
        <v>672</v>
      </c>
      <c r="K23" s="793"/>
    </row>
    <row r="24" spans="1:11" ht="15" customHeight="1">
      <c r="A24" s="722"/>
      <c r="B24" s="1175" t="s">
        <v>893</v>
      </c>
      <c r="C24" s="752" t="s">
        <v>894</v>
      </c>
      <c r="D24" s="717"/>
      <c r="E24" s="1171"/>
      <c r="F24" s="722" t="s">
        <v>657</v>
      </c>
      <c r="G24" s="754" t="s">
        <v>895</v>
      </c>
      <c r="H24" s="717"/>
      <c r="I24" s="722"/>
      <c r="J24" s="722" t="s">
        <v>718</v>
      </c>
      <c r="K24" s="793"/>
    </row>
    <row r="25" spans="1:11" ht="15" customHeight="1">
      <c r="A25" s="722"/>
      <c r="B25" s="735" t="s">
        <v>896</v>
      </c>
      <c r="C25" s="752" t="s">
        <v>897</v>
      </c>
      <c r="D25" s="717"/>
      <c r="E25" s="1171"/>
      <c r="F25" s="1165" t="s">
        <v>556</v>
      </c>
      <c r="G25" s="754" t="s">
        <v>898</v>
      </c>
      <c r="H25" s="717"/>
      <c r="I25" s="722"/>
      <c r="J25" s="722" t="s">
        <v>120</v>
      </c>
      <c r="K25" s="793"/>
    </row>
    <row r="26" spans="1:11" ht="15" customHeight="1" thickBot="1">
      <c r="A26" s="722"/>
      <c r="B26" s="735" t="s">
        <v>899</v>
      </c>
      <c r="C26" s="752" t="s">
        <v>900</v>
      </c>
      <c r="D26" s="717"/>
      <c r="E26" s="1172"/>
      <c r="F26" s="731" t="s">
        <v>558</v>
      </c>
      <c r="G26" s="757" t="s">
        <v>901</v>
      </c>
      <c r="H26" s="717"/>
      <c r="I26" s="722"/>
      <c r="J26" s="733" t="s">
        <v>845</v>
      </c>
      <c r="K26" s="793"/>
    </row>
    <row r="27" spans="1:11" ht="15" customHeight="1">
      <c r="A27" s="722"/>
      <c r="B27" s="735" t="s">
        <v>902</v>
      </c>
      <c r="C27" s="752" t="s">
        <v>900</v>
      </c>
      <c r="D27" s="717"/>
      <c r="E27" s="1167" t="s">
        <v>858</v>
      </c>
      <c r="F27" s="727" t="s">
        <v>864</v>
      </c>
      <c r="G27" s="755"/>
      <c r="H27" s="717"/>
      <c r="I27" s="722"/>
      <c r="J27" s="722" t="s">
        <v>903</v>
      </c>
      <c r="K27" s="793"/>
    </row>
    <row r="28" spans="1:11" ht="15" customHeight="1">
      <c r="A28" s="722"/>
      <c r="B28" s="744" t="s">
        <v>904</v>
      </c>
      <c r="C28" s="752" t="s">
        <v>847</v>
      </c>
      <c r="D28" s="717"/>
      <c r="E28" s="1173"/>
      <c r="F28" s="735" t="s">
        <v>520</v>
      </c>
      <c r="G28" s="753" t="s">
        <v>905</v>
      </c>
      <c r="H28" s="717"/>
      <c r="I28" s="722"/>
      <c r="J28" s="722" t="s">
        <v>632</v>
      </c>
      <c r="K28" s="793"/>
    </row>
    <row r="29" spans="1:11" ht="15" customHeight="1" thickBot="1">
      <c r="A29" s="722"/>
      <c r="B29" s="731" t="s">
        <v>906</v>
      </c>
      <c r="C29" s="752" t="s">
        <v>907</v>
      </c>
      <c r="D29" s="717"/>
      <c r="E29" s="1173"/>
      <c r="F29" s="722" t="s">
        <v>522</v>
      </c>
      <c r="G29" s="753" t="s">
        <v>905</v>
      </c>
      <c r="H29" s="717"/>
      <c r="I29" s="722"/>
      <c r="J29" s="722" t="s">
        <v>908</v>
      </c>
      <c r="K29" s="793"/>
    </row>
    <row r="30" spans="1:11" ht="15" customHeight="1" thickBot="1">
      <c r="A30" s="722"/>
      <c r="B30" s="739"/>
      <c r="C30" s="752"/>
      <c r="D30" s="717"/>
      <c r="E30" s="1174"/>
      <c r="F30" s="737" t="s">
        <v>523</v>
      </c>
      <c r="G30" s="757" t="s">
        <v>905</v>
      </c>
      <c r="H30" s="717"/>
      <c r="I30" s="722"/>
      <c r="J30" s="722" t="s">
        <v>909</v>
      </c>
      <c r="K30" s="793"/>
    </row>
    <row r="31" spans="1:11" ht="15" customHeight="1">
      <c r="A31" s="722"/>
      <c r="B31" s="735"/>
      <c r="C31" s="752"/>
      <c r="D31" s="717"/>
      <c r="E31" s="1167" t="s">
        <v>910</v>
      </c>
      <c r="F31" s="1176" t="s">
        <v>911</v>
      </c>
      <c r="G31" s="755" t="s">
        <v>868</v>
      </c>
      <c r="H31" s="717"/>
      <c r="I31" s="722"/>
      <c r="J31" s="735" t="s">
        <v>912</v>
      </c>
      <c r="K31" s="793"/>
    </row>
    <row r="32" spans="1:11" ht="15" customHeight="1">
      <c r="A32" s="742"/>
      <c r="B32" s="735"/>
      <c r="C32" s="753"/>
      <c r="D32" s="717"/>
      <c r="E32" s="726"/>
      <c r="F32" s="1177" t="s">
        <v>655</v>
      </c>
      <c r="G32" s="753" t="s">
        <v>913</v>
      </c>
      <c r="H32" s="717"/>
      <c r="I32" s="722"/>
      <c r="J32" s="722" t="s">
        <v>914</v>
      </c>
      <c r="K32" s="793"/>
    </row>
    <row r="33" spans="1:11" ht="15" customHeight="1">
      <c r="A33" s="743"/>
      <c r="B33" s="744"/>
      <c r="C33" s="754"/>
      <c r="D33" s="717"/>
      <c r="E33" s="745"/>
      <c r="F33" s="722"/>
      <c r="G33" s="753"/>
      <c r="H33" s="717"/>
      <c r="I33" s="722"/>
      <c r="J33" s="735" t="s">
        <v>787</v>
      </c>
      <c r="K33" s="793"/>
    </row>
    <row r="34" spans="1:11" ht="15" customHeight="1" thickBot="1">
      <c r="A34" s="599" t="s">
        <v>915</v>
      </c>
      <c r="B34" s="717"/>
      <c r="C34" s="717"/>
      <c r="D34" s="717"/>
      <c r="E34" s="765"/>
      <c r="F34" s="731"/>
      <c r="G34" s="760"/>
      <c r="H34" s="717"/>
      <c r="I34" s="722"/>
      <c r="J34" s="722" t="s">
        <v>788</v>
      </c>
      <c r="K34" s="793"/>
    </row>
    <row r="35" spans="1:11" ht="15" customHeight="1">
      <c r="A35" s="719" t="s">
        <v>840</v>
      </c>
      <c r="B35" s="719" t="s">
        <v>841</v>
      </c>
      <c r="C35" s="719" t="s">
        <v>842</v>
      </c>
      <c r="D35" s="717"/>
      <c r="E35" s="1167" t="s">
        <v>916</v>
      </c>
      <c r="F35" s="739" t="s">
        <v>648</v>
      </c>
      <c r="G35" s="755" t="s">
        <v>917</v>
      </c>
      <c r="H35" s="717"/>
      <c r="I35" s="741"/>
      <c r="J35" s="717"/>
    </row>
    <row r="36" spans="1:11" ht="15" customHeight="1">
      <c r="A36" s="742" t="s">
        <v>26</v>
      </c>
      <c r="B36" s="722" t="s">
        <v>582</v>
      </c>
      <c r="C36" s="752"/>
      <c r="D36" s="717"/>
      <c r="E36" s="726"/>
      <c r="F36" s="722" t="s">
        <v>656</v>
      </c>
      <c r="G36" s="753" t="s">
        <v>918</v>
      </c>
      <c r="H36" s="717"/>
      <c r="I36" s="1166" t="s">
        <v>632</v>
      </c>
      <c r="J36" s="858"/>
      <c r="K36" s="793"/>
    </row>
    <row r="37" spans="1:11" ht="15" customHeight="1" thickBot="1">
      <c r="A37" s="722"/>
      <c r="B37" s="722" t="s">
        <v>919</v>
      </c>
      <c r="C37" s="752" t="s">
        <v>880</v>
      </c>
      <c r="D37" s="717"/>
      <c r="E37" s="730"/>
      <c r="F37" s="722" t="s">
        <v>920</v>
      </c>
      <c r="G37" s="757" t="s">
        <v>921</v>
      </c>
      <c r="H37" s="717"/>
      <c r="I37" s="739"/>
      <c r="J37" s="1168" t="s">
        <v>922</v>
      </c>
      <c r="K37" s="793"/>
    </row>
    <row r="38" spans="1:11" ht="15" customHeight="1">
      <c r="A38" s="722"/>
      <c r="B38" s="722" t="s">
        <v>923</v>
      </c>
      <c r="C38" s="752" t="s">
        <v>924</v>
      </c>
      <c r="D38" s="717"/>
      <c r="E38" s="723"/>
      <c r="F38" s="722"/>
      <c r="G38" s="755"/>
      <c r="H38" s="717"/>
      <c r="I38" s="739"/>
      <c r="J38" s="1168" t="s">
        <v>634</v>
      </c>
      <c r="K38" s="793"/>
    </row>
    <row r="39" spans="1:11" ht="15" customHeight="1">
      <c r="A39" s="722"/>
      <c r="B39" s="722"/>
      <c r="C39" s="752"/>
      <c r="D39" s="717"/>
      <c r="E39" s="726"/>
      <c r="F39" s="722"/>
      <c r="G39" s="753"/>
      <c r="H39" s="717"/>
      <c r="I39" s="739"/>
      <c r="J39" s="842" t="s">
        <v>638</v>
      </c>
      <c r="K39" s="793"/>
    </row>
    <row r="40" spans="1:11" ht="15" customHeight="1" thickBot="1">
      <c r="A40" s="599"/>
      <c r="B40" s="717"/>
      <c r="C40" s="717"/>
      <c r="D40" s="717"/>
      <c r="E40" s="730"/>
      <c r="F40" s="722"/>
      <c r="G40" s="757"/>
      <c r="H40" s="717"/>
      <c r="I40" s="739"/>
      <c r="J40" s="842" t="s">
        <v>635</v>
      </c>
      <c r="K40" s="793"/>
    </row>
    <row r="41" spans="1:11" ht="15" customHeight="1">
      <c r="A41" s="72"/>
      <c r="B41" s="72"/>
      <c r="C41" s="72"/>
      <c r="I41" s="821"/>
      <c r="J41" s="1169" t="s">
        <v>637</v>
      </c>
      <c r="K41" s="793"/>
    </row>
    <row r="42" spans="1:11" ht="15" customHeight="1">
      <c r="A42" s="742" t="s">
        <v>925</v>
      </c>
      <c r="B42" s="804"/>
      <c r="I42" s="793"/>
      <c r="J42" s="793"/>
      <c r="K42" s="793"/>
    </row>
    <row r="43" spans="1:11" ht="15" customHeight="1">
      <c r="A43" s="793" t="s">
        <v>872</v>
      </c>
      <c r="B43" s="804"/>
      <c r="I43" s="793"/>
      <c r="J43" s="793"/>
      <c r="K43" s="793"/>
    </row>
    <row r="44" spans="1:11" ht="15" customHeight="1">
      <c r="A44" s="1260">
        <v>41981</v>
      </c>
      <c r="B44" s="804" t="s">
        <v>614</v>
      </c>
      <c r="I44" s="793"/>
      <c r="J44" s="793"/>
      <c r="K44" s="793"/>
    </row>
    <row r="45" spans="1:11" ht="15" customHeight="1">
      <c r="A45" s="1260">
        <v>41981</v>
      </c>
      <c r="B45" s="804" t="s">
        <v>615</v>
      </c>
    </row>
    <row r="46" spans="1:11" ht="15" customHeight="1">
      <c r="A46" s="1260">
        <v>42023</v>
      </c>
      <c r="B46" s="804" t="s">
        <v>616</v>
      </c>
    </row>
    <row r="47" spans="1:11" ht="15" customHeight="1">
      <c r="A47" s="1260">
        <v>42024</v>
      </c>
      <c r="B47" s="804" t="s">
        <v>617</v>
      </c>
    </row>
    <row r="48" spans="1:11" ht="15" customHeight="1">
      <c r="A48" s="793"/>
      <c r="B48" s="804" t="s">
        <v>619</v>
      </c>
    </row>
    <row r="49" spans="1:2" ht="15" customHeight="1">
      <c r="A49" s="793"/>
      <c r="B49" s="804" t="s">
        <v>621</v>
      </c>
    </row>
    <row r="50" spans="1:2" ht="15" customHeight="1">
      <c r="A50" s="1260">
        <v>42080</v>
      </c>
      <c r="B50" s="804" t="s">
        <v>622</v>
      </c>
    </row>
    <row r="51" spans="1:2" ht="15">
      <c r="A51" s="1260">
        <v>41977</v>
      </c>
      <c r="B51" s="804" t="s">
        <v>623</v>
      </c>
    </row>
    <row r="52" spans="1:2" ht="15">
      <c r="A52" s="1260">
        <v>41977</v>
      </c>
      <c r="B52" s="804" t="s">
        <v>624</v>
      </c>
    </row>
    <row r="53" spans="1:2" ht="15">
      <c r="A53" s="1260">
        <v>42066</v>
      </c>
      <c r="B53" s="804" t="s">
        <v>626</v>
      </c>
    </row>
    <row r="54" spans="1:2" ht="15">
      <c r="A54" s="793"/>
      <c r="B54" s="804" t="s">
        <v>627</v>
      </c>
    </row>
    <row r="55" spans="1:2" ht="15">
      <c r="A55" s="793"/>
      <c r="B55" s="804" t="s">
        <v>629</v>
      </c>
    </row>
    <row r="56" spans="1:2">
      <c r="A56" s="793" t="s">
        <v>926</v>
      </c>
      <c r="B56" s="793"/>
    </row>
  </sheetData>
  <sheetProtection password="CC44" sheet="1" objects="1" scenarios="1" selectLockedCells="1" selectUnlockedCells="1"/>
  <phoneticPr fontId="8" type="noConversion"/>
  <pageMargins left="0.19652777777777777" right="0" top="0" bottom="0" header="0.51180555555555551" footer="0.51180555555555551"/>
  <pageSetup paperSize="9" scale="90" firstPageNumber="0" orientation="landscape" horizontalDpi="300" verticalDpi="300" r:id="rId1"/>
  <headerFooter alignWithMargins="0"/>
  <ignoredErrors>
    <ignoredError sqref="C4" twoDigitTextYear="1"/>
  </ignoredError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21"/>
  <dimension ref="A1:N20"/>
  <sheetViews>
    <sheetView zoomScale="67" zoomScaleNormal="67" workbookViewId="0">
      <selection activeCell="C12" sqref="C12"/>
    </sheetView>
  </sheetViews>
  <sheetFormatPr defaultRowHeight="12.75"/>
  <cols>
    <col min="1" max="1" width="10.28515625" customWidth="1"/>
    <col min="2" max="2" width="17.85546875" customWidth="1"/>
    <col min="3" max="3" width="27.5703125" customWidth="1"/>
    <col min="4" max="4" width="8.28515625" customWidth="1"/>
    <col min="5" max="5" width="8.7109375" customWidth="1"/>
    <col min="6" max="6" width="8.42578125" customWidth="1"/>
    <col min="7" max="7" width="8.7109375" customWidth="1"/>
    <col min="8" max="8" width="9.7109375" customWidth="1"/>
    <col min="9" max="9" width="8.85546875" customWidth="1"/>
    <col min="10" max="12" width="10" customWidth="1"/>
    <col min="14" max="14" width="13.140625" customWidth="1"/>
    <col min="15" max="15" width="16" customWidth="1"/>
  </cols>
  <sheetData>
    <row r="1" spans="1:14" ht="18">
      <c r="A1" s="1329" t="s">
        <v>927</v>
      </c>
      <c r="B1" s="1329"/>
      <c r="C1" s="1329"/>
      <c r="D1" s="1329"/>
      <c r="E1" s="1329"/>
      <c r="F1" s="1329"/>
      <c r="G1" s="1329"/>
      <c r="H1" s="1329"/>
      <c r="I1" s="1329"/>
      <c r="J1" s="1329"/>
      <c r="K1" s="1329"/>
      <c r="L1" s="1329"/>
      <c r="M1" s="1329"/>
      <c r="N1" s="1329"/>
    </row>
    <row r="2" spans="1:14" ht="32.25" customHeight="1">
      <c r="A2" s="653"/>
      <c r="B2" s="654" t="s">
        <v>928</v>
      </c>
      <c r="C2" s="654" t="s">
        <v>929</v>
      </c>
      <c r="D2" s="655" t="s">
        <v>930</v>
      </c>
      <c r="E2" s="655" t="s">
        <v>931</v>
      </c>
      <c r="F2" s="653"/>
      <c r="G2" s="656" t="s">
        <v>932</v>
      </c>
      <c r="H2" s="656"/>
      <c r="I2" s="657"/>
      <c r="J2" s="653"/>
      <c r="K2" s="656" t="s">
        <v>933</v>
      </c>
      <c r="L2" s="656"/>
      <c r="M2" s="657"/>
      <c r="N2" s="657" t="s">
        <v>10</v>
      </c>
    </row>
    <row r="3" spans="1:14">
      <c r="A3" s="658"/>
      <c r="B3" s="659" t="s">
        <v>28</v>
      </c>
      <c r="C3" s="659"/>
      <c r="D3" s="660"/>
      <c r="E3" s="660"/>
      <c r="F3" s="661" t="s">
        <v>934</v>
      </c>
      <c r="G3" s="662" t="s">
        <v>935</v>
      </c>
      <c r="H3" s="662" t="s">
        <v>936</v>
      </c>
      <c r="I3" s="663" t="s">
        <v>937</v>
      </c>
      <c r="J3" s="661" t="s">
        <v>934</v>
      </c>
      <c r="K3" s="662" t="s">
        <v>935</v>
      </c>
      <c r="L3" s="662" t="s">
        <v>936</v>
      </c>
      <c r="M3" s="663" t="s">
        <v>937</v>
      </c>
      <c r="N3" s="664"/>
    </row>
    <row r="4" spans="1:14" ht="48.75" customHeight="1">
      <c r="A4" s="665" t="s">
        <v>938</v>
      </c>
      <c r="B4" s="666" t="s">
        <v>939</v>
      </c>
      <c r="C4" s="667" t="s">
        <v>940</v>
      </c>
      <c r="D4" s="668" t="s">
        <v>941</v>
      </c>
      <c r="E4" s="669" t="s">
        <v>26</v>
      </c>
      <c r="F4" s="670"/>
      <c r="G4" s="671"/>
      <c r="H4" s="672"/>
      <c r="I4" s="672"/>
      <c r="J4" s="670"/>
      <c r="K4" s="672"/>
      <c r="L4" s="672"/>
      <c r="M4" s="673"/>
      <c r="N4" s="674"/>
    </row>
    <row r="5" spans="1:14">
      <c r="A5" s="675"/>
      <c r="B5" s="675"/>
      <c r="C5" s="675"/>
      <c r="D5" s="675"/>
      <c r="E5" s="675"/>
      <c r="F5" s="676"/>
      <c r="G5" s="676"/>
      <c r="H5" s="676"/>
      <c r="I5" s="676"/>
      <c r="J5" s="676"/>
      <c r="K5" s="676"/>
      <c r="L5" s="676"/>
      <c r="M5" s="676"/>
      <c r="N5" s="675"/>
    </row>
    <row r="6" spans="1:14" ht="32.25" customHeight="1">
      <c r="A6" s="653"/>
      <c r="B6" s="654" t="s">
        <v>942</v>
      </c>
      <c r="C6" s="654" t="s">
        <v>929</v>
      </c>
      <c r="D6" s="655" t="s">
        <v>930</v>
      </c>
      <c r="E6" s="655" t="s">
        <v>931</v>
      </c>
      <c r="F6" s="677"/>
      <c r="G6" s="678" t="s">
        <v>932</v>
      </c>
      <c r="H6" s="678"/>
      <c r="I6" s="679"/>
      <c r="J6" s="677"/>
      <c r="K6" s="678" t="s">
        <v>933</v>
      </c>
      <c r="L6" s="678"/>
      <c r="M6" s="679"/>
      <c r="N6" s="657" t="s">
        <v>10</v>
      </c>
    </row>
    <row r="7" spans="1:14">
      <c r="A7" s="658"/>
      <c r="B7" s="659" t="s">
        <v>28</v>
      </c>
      <c r="C7" s="659"/>
      <c r="D7" s="660"/>
      <c r="E7" s="660"/>
      <c r="F7" s="661" t="s">
        <v>934</v>
      </c>
      <c r="G7" s="662" t="s">
        <v>935</v>
      </c>
      <c r="H7" s="662" t="s">
        <v>936</v>
      </c>
      <c r="I7" s="663" t="s">
        <v>937</v>
      </c>
      <c r="J7" s="661" t="s">
        <v>934</v>
      </c>
      <c r="K7" s="662" t="s">
        <v>935</v>
      </c>
      <c r="L7" s="662" t="s">
        <v>936</v>
      </c>
      <c r="M7" s="663" t="s">
        <v>937</v>
      </c>
      <c r="N7" s="664"/>
    </row>
    <row r="8" spans="1:14" ht="36" customHeight="1">
      <c r="A8" s="680" t="s">
        <v>943</v>
      </c>
      <c r="B8" s="666" t="s">
        <v>944</v>
      </c>
      <c r="C8" s="667" t="s">
        <v>945</v>
      </c>
      <c r="D8" s="681" t="s">
        <v>946</v>
      </c>
      <c r="E8" s="682" t="s">
        <v>947</v>
      </c>
      <c r="F8" s="683">
        <v>0</v>
      </c>
      <c r="G8" s="684">
        <v>0</v>
      </c>
      <c r="H8" s="684">
        <v>0</v>
      </c>
      <c r="I8" s="685">
        <v>0</v>
      </c>
      <c r="J8" s="683">
        <v>0</v>
      </c>
      <c r="K8" s="684">
        <v>0</v>
      </c>
      <c r="L8" s="684">
        <v>0</v>
      </c>
      <c r="M8" s="685"/>
      <c r="N8" s="686"/>
    </row>
    <row r="9" spans="1:14" ht="39.75" customHeight="1">
      <c r="A9" s="680" t="s">
        <v>838</v>
      </c>
      <c r="B9" s="227" t="s">
        <v>948</v>
      </c>
      <c r="C9" s="687" t="s">
        <v>949</v>
      </c>
      <c r="D9" s="688" t="s">
        <v>950</v>
      </c>
      <c r="E9" s="682" t="s">
        <v>947</v>
      </c>
      <c r="F9" s="683" t="s">
        <v>28</v>
      </c>
      <c r="G9" s="684"/>
      <c r="H9" s="684">
        <v>4</v>
      </c>
      <c r="I9" s="685"/>
      <c r="J9" s="683">
        <v>0</v>
      </c>
      <c r="K9" s="684">
        <v>0</v>
      </c>
      <c r="L9" s="684" t="s">
        <v>28</v>
      </c>
      <c r="M9" s="685"/>
      <c r="N9" s="689"/>
    </row>
    <row r="10" spans="1:14" ht="39" customHeight="1">
      <c r="A10" s="690" t="s">
        <v>951</v>
      </c>
      <c r="B10" s="666" t="s">
        <v>944</v>
      </c>
      <c r="C10" s="667" t="s">
        <v>945</v>
      </c>
      <c r="D10" s="681" t="s">
        <v>946</v>
      </c>
      <c r="E10" s="682" t="s">
        <v>952</v>
      </c>
      <c r="F10" s="683">
        <v>0</v>
      </c>
      <c r="G10" s="684">
        <v>0</v>
      </c>
      <c r="H10" s="684">
        <v>0</v>
      </c>
      <c r="I10" s="685">
        <v>0</v>
      </c>
      <c r="J10" s="683">
        <v>0</v>
      </c>
      <c r="K10" s="684">
        <v>0</v>
      </c>
      <c r="L10" s="684">
        <v>0</v>
      </c>
      <c r="M10" s="685"/>
      <c r="N10" s="686"/>
    </row>
    <row r="11" spans="1:14" ht="45">
      <c r="A11" s="690" t="s">
        <v>953</v>
      </c>
      <c r="B11" s="227" t="s">
        <v>948</v>
      </c>
      <c r="C11" s="687" t="s">
        <v>949</v>
      </c>
      <c r="D11" s="688" t="s">
        <v>950</v>
      </c>
      <c r="E11" s="682" t="s">
        <v>954</v>
      </c>
      <c r="F11" s="683" t="s">
        <v>28</v>
      </c>
      <c r="G11" s="684"/>
      <c r="H11" s="684">
        <v>4</v>
      </c>
      <c r="I11" s="685"/>
      <c r="J11" s="683">
        <v>0</v>
      </c>
      <c r="K11" s="684">
        <v>0</v>
      </c>
      <c r="L11" s="684">
        <v>0</v>
      </c>
      <c r="M11" s="685"/>
      <c r="N11" s="689"/>
    </row>
    <row r="12" spans="1:14" ht="36" customHeight="1">
      <c r="A12" s="691" t="s">
        <v>955</v>
      </c>
      <c r="B12" s="666" t="s">
        <v>944</v>
      </c>
      <c r="C12" s="667" t="s">
        <v>945</v>
      </c>
      <c r="D12" s="681" t="s">
        <v>946</v>
      </c>
      <c r="E12" s="682" t="s">
        <v>956</v>
      </c>
      <c r="F12" s="683">
        <v>0</v>
      </c>
      <c r="G12" s="684">
        <v>0</v>
      </c>
      <c r="H12" s="684">
        <v>0</v>
      </c>
      <c r="I12" s="685">
        <v>0</v>
      </c>
      <c r="J12" s="683">
        <v>0</v>
      </c>
      <c r="K12" s="684">
        <v>0</v>
      </c>
      <c r="L12" s="684">
        <v>0</v>
      </c>
      <c r="M12" s="685"/>
      <c r="N12" s="686"/>
    </row>
    <row r="13" spans="1:14" ht="37.5" customHeight="1">
      <c r="A13" s="691" t="s">
        <v>682</v>
      </c>
      <c r="B13" s="227" t="s">
        <v>948</v>
      </c>
      <c r="C13" s="687" t="s">
        <v>949</v>
      </c>
      <c r="D13" s="688" t="s">
        <v>950</v>
      </c>
      <c r="E13" s="682" t="s">
        <v>956</v>
      </c>
      <c r="F13" s="683" t="s">
        <v>28</v>
      </c>
      <c r="G13" s="684"/>
      <c r="H13" s="684">
        <v>4</v>
      </c>
      <c r="I13" s="685"/>
      <c r="J13" s="683">
        <v>0</v>
      </c>
      <c r="K13" s="684">
        <v>0</v>
      </c>
      <c r="L13" s="684">
        <v>0</v>
      </c>
      <c r="M13" s="685"/>
      <c r="N13" s="689"/>
    </row>
    <row r="14" spans="1:14" ht="36" customHeight="1">
      <c r="A14" s="692" t="s">
        <v>957</v>
      </c>
      <c r="B14" s="666" t="s">
        <v>944</v>
      </c>
      <c r="C14" s="667" t="s">
        <v>945</v>
      </c>
      <c r="D14" s="681" t="s">
        <v>946</v>
      </c>
      <c r="E14" s="682" t="s">
        <v>956</v>
      </c>
      <c r="F14" s="683">
        <v>0</v>
      </c>
      <c r="G14" s="684">
        <v>0</v>
      </c>
      <c r="H14" s="684">
        <v>0</v>
      </c>
      <c r="I14" s="685">
        <v>0</v>
      </c>
      <c r="J14" s="683">
        <v>0</v>
      </c>
      <c r="K14" s="684">
        <v>0</v>
      </c>
      <c r="L14" s="684">
        <v>0</v>
      </c>
      <c r="M14" s="685"/>
      <c r="N14" s="686"/>
    </row>
    <row r="15" spans="1:14" ht="45">
      <c r="A15" s="693" t="s">
        <v>702</v>
      </c>
      <c r="B15" s="138" t="s">
        <v>948</v>
      </c>
      <c r="C15" s="694" t="s">
        <v>949</v>
      </c>
      <c r="D15" s="695" t="s">
        <v>950</v>
      </c>
      <c r="E15" s="696" t="s">
        <v>956</v>
      </c>
      <c r="F15" s="697" t="s">
        <v>28</v>
      </c>
      <c r="G15" s="698"/>
      <c r="H15" s="698">
        <v>4</v>
      </c>
      <c r="I15" s="699"/>
      <c r="J15" s="697">
        <v>0</v>
      </c>
      <c r="K15" s="698">
        <v>0</v>
      </c>
      <c r="L15" s="698">
        <v>0</v>
      </c>
      <c r="M15" s="699"/>
      <c r="N15" s="700"/>
    </row>
    <row r="16" spans="1:14" ht="36" customHeight="1">
      <c r="A16" s="701"/>
      <c r="B16" s="666" t="s">
        <v>944</v>
      </c>
      <c r="C16" s="667" t="s">
        <v>945</v>
      </c>
      <c r="D16" s="681" t="s">
        <v>946</v>
      </c>
      <c r="E16" s="682" t="s">
        <v>958</v>
      </c>
      <c r="F16" s="683">
        <v>0</v>
      </c>
      <c r="G16" s="684">
        <v>0</v>
      </c>
      <c r="H16" s="684">
        <v>0</v>
      </c>
      <c r="I16" s="685">
        <v>0</v>
      </c>
      <c r="J16" s="702"/>
      <c r="K16" s="703"/>
      <c r="L16" s="703"/>
      <c r="M16" s="704"/>
      <c r="N16" s="705"/>
    </row>
    <row r="17" spans="1:14" ht="45.75" customHeight="1">
      <c r="A17" s="706" t="s">
        <v>959</v>
      </c>
      <c r="B17" s="138" t="s">
        <v>948</v>
      </c>
      <c r="C17" s="694" t="s">
        <v>949</v>
      </c>
      <c r="D17" s="695" t="s">
        <v>950</v>
      </c>
      <c r="E17" s="696" t="s">
        <v>958</v>
      </c>
      <c r="F17" s="707"/>
      <c r="G17" s="708"/>
      <c r="H17" s="698">
        <v>4</v>
      </c>
      <c r="I17" s="709"/>
      <c r="J17" s="707"/>
      <c r="K17" s="708"/>
      <c r="L17" s="708"/>
      <c r="M17" s="709"/>
      <c r="N17" s="710"/>
    </row>
    <row r="18" spans="1:14">
      <c r="A18" s="675"/>
      <c r="B18" s="675"/>
      <c r="C18" s="675"/>
      <c r="D18" s="675"/>
      <c r="E18" s="675"/>
      <c r="F18" s="676"/>
      <c r="G18" s="676"/>
      <c r="H18" s="676"/>
      <c r="I18" s="676"/>
      <c r="J18" s="676"/>
      <c r="K18" s="676"/>
      <c r="L18" s="676"/>
      <c r="M18" s="676"/>
      <c r="N18" s="675"/>
    </row>
    <row r="19" spans="1:14">
      <c r="A19" s="675"/>
      <c r="B19" s="675"/>
      <c r="C19" s="675"/>
      <c r="D19" s="675"/>
      <c r="E19" s="675"/>
      <c r="F19" s="676"/>
      <c r="G19" s="676"/>
      <c r="H19" s="676"/>
      <c r="I19" s="676"/>
      <c r="J19" s="676"/>
      <c r="K19" s="676"/>
      <c r="L19" s="676"/>
      <c r="M19" s="676"/>
      <c r="N19" s="675"/>
    </row>
    <row r="20" spans="1:14" ht="18">
      <c r="A20" s="675"/>
      <c r="B20" s="675"/>
      <c r="C20" s="711"/>
      <c r="D20" s="675"/>
      <c r="E20" s="675"/>
      <c r="F20" s="676"/>
      <c r="G20" s="676"/>
      <c r="H20" s="676"/>
      <c r="I20" s="676"/>
      <c r="J20" s="676"/>
      <c r="K20" s="676"/>
      <c r="L20" s="676"/>
      <c r="M20" s="676"/>
      <c r="N20" s="675"/>
    </row>
  </sheetData>
  <sheetProtection selectLockedCells="1" selectUnlockedCells="1"/>
  <mergeCells count="1">
    <mergeCell ref="A1:N1"/>
  </mergeCells>
  <phoneticPr fontId="8" type="noConversion"/>
  <pageMargins left="0" right="0" top="0" bottom="0" header="0.51180555555555551" footer="0.51180555555555551"/>
  <pageSetup paperSize="9" scale="85" firstPageNumber="0" orientation="landscape" horizontalDpi="300" verticalDpi="30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Ark19"/>
  <dimension ref="A1:N34"/>
  <sheetViews>
    <sheetView workbookViewId="0">
      <selection activeCell="N14" sqref="N14"/>
    </sheetView>
  </sheetViews>
  <sheetFormatPr defaultColWidth="9.140625" defaultRowHeight="12.75"/>
  <cols>
    <col min="1" max="1" width="22.140625" style="749" bestFit="1" customWidth="1"/>
    <col min="2" max="2" width="10.7109375" style="749" bestFit="1" customWidth="1"/>
    <col min="3" max="3" width="11.5703125" style="749" bestFit="1" customWidth="1"/>
    <col min="4" max="4" width="11.85546875" style="749" bestFit="1" customWidth="1"/>
    <col min="5" max="5" width="15.7109375" style="749" customWidth="1"/>
    <col min="6" max="6" width="7.85546875" style="749" customWidth="1"/>
    <col min="7" max="7" width="13.7109375" style="749" customWidth="1"/>
    <col min="8" max="8" width="6.140625" style="749" customWidth="1"/>
    <col min="9" max="9" width="5.85546875" style="749" customWidth="1"/>
    <col min="10" max="10" width="5.7109375" style="749" customWidth="1"/>
    <col min="11" max="11" width="9.140625" style="749"/>
    <col min="12" max="12" width="13.42578125" style="749" customWidth="1"/>
    <col min="13" max="13" width="8" style="749" customWidth="1"/>
    <col min="14" max="16384" width="9.140625" style="749"/>
  </cols>
  <sheetData>
    <row r="1" spans="1:14" ht="20.25">
      <c r="A1" s="748" t="s">
        <v>960</v>
      </c>
      <c r="D1" s="748"/>
    </row>
    <row r="4" spans="1:14" ht="15">
      <c r="A4" s="750" t="s">
        <v>476</v>
      </c>
      <c r="B4" s="750" t="s">
        <v>961</v>
      </c>
      <c r="C4" s="750" t="s">
        <v>962</v>
      </c>
      <c r="D4" s="750" t="s">
        <v>963</v>
      </c>
      <c r="E4" s="750" t="s">
        <v>964</v>
      </c>
      <c r="F4" s="750" t="s">
        <v>639</v>
      </c>
      <c r="G4" s="750" t="s">
        <v>965</v>
      </c>
      <c r="H4" s="839" t="s">
        <v>553</v>
      </c>
      <c r="I4" s="839" t="s">
        <v>554</v>
      </c>
      <c r="J4" s="839" t="s">
        <v>966</v>
      </c>
      <c r="K4" s="839" t="s">
        <v>967</v>
      </c>
      <c r="L4" s="839" t="s">
        <v>968</v>
      </c>
      <c r="M4" s="839" t="s">
        <v>969</v>
      </c>
      <c r="N4" s="846" t="s">
        <v>970</v>
      </c>
    </row>
    <row r="5" spans="1:14" ht="20.25">
      <c r="A5" s="842" t="s">
        <v>648</v>
      </c>
      <c r="B5" s="843" t="s">
        <v>971</v>
      </c>
      <c r="C5" s="843" t="s">
        <v>971</v>
      </c>
      <c r="D5" s="843" t="s">
        <v>971</v>
      </c>
      <c r="E5" s="843" t="s">
        <v>971</v>
      </c>
      <c r="F5" s="750"/>
      <c r="G5" s="750"/>
      <c r="H5" s="839" t="s">
        <v>971</v>
      </c>
      <c r="I5" s="839" t="s">
        <v>971</v>
      </c>
      <c r="J5" s="839" t="s">
        <v>971</v>
      </c>
      <c r="K5" s="839" t="s">
        <v>971</v>
      </c>
      <c r="L5" s="841"/>
      <c r="M5" s="841"/>
      <c r="N5" s="841"/>
    </row>
    <row r="6" spans="1:14" ht="15">
      <c r="A6" s="842" t="s">
        <v>794</v>
      </c>
      <c r="B6" s="750" t="s">
        <v>971</v>
      </c>
      <c r="C6" s="750" t="s">
        <v>971</v>
      </c>
      <c r="D6" s="750" t="s">
        <v>971</v>
      </c>
      <c r="E6" s="750" t="s">
        <v>971</v>
      </c>
      <c r="F6" s="750" t="s">
        <v>971</v>
      </c>
      <c r="G6" s="750" t="s">
        <v>971</v>
      </c>
      <c r="H6" s="839" t="s">
        <v>971</v>
      </c>
      <c r="I6" s="841"/>
      <c r="J6" s="839" t="s">
        <v>971</v>
      </c>
      <c r="K6" s="839" t="s">
        <v>971</v>
      </c>
      <c r="L6" s="839" t="s">
        <v>971</v>
      </c>
      <c r="M6" s="839" t="s">
        <v>971</v>
      </c>
      <c r="N6" s="839" t="s">
        <v>971</v>
      </c>
    </row>
    <row r="7" spans="1:14" ht="16.5" customHeight="1">
      <c r="A7" s="844" t="s">
        <v>651</v>
      </c>
      <c r="B7" s="750" t="s">
        <v>971</v>
      </c>
      <c r="C7" s="750" t="s">
        <v>971</v>
      </c>
      <c r="D7" s="750" t="s">
        <v>971</v>
      </c>
      <c r="E7" s="750" t="s">
        <v>971</v>
      </c>
      <c r="F7" s="750" t="s">
        <v>971</v>
      </c>
      <c r="G7" s="750" t="s">
        <v>971</v>
      </c>
      <c r="H7" s="839" t="s">
        <v>971</v>
      </c>
      <c r="I7" s="839" t="s">
        <v>971</v>
      </c>
      <c r="J7" s="841"/>
      <c r="K7" s="839" t="s">
        <v>971</v>
      </c>
      <c r="L7" s="839" t="s">
        <v>971</v>
      </c>
      <c r="M7" s="839" t="s">
        <v>971</v>
      </c>
      <c r="N7" s="841"/>
    </row>
    <row r="8" spans="1:14" ht="15">
      <c r="A8" s="844" t="s">
        <v>972</v>
      </c>
      <c r="B8" s="750" t="s">
        <v>971</v>
      </c>
      <c r="C8" s="750" t="s">
        <v>971</v>
      </c>
      <c r="D8" s="750" t="s">
        <v>971</v>
      </c>
      <c r="E8" s="750" t="s">
        <v>971</v>
      </c>
      <c r="F8" s="750" t="s">
        <v>971</v>
      </c>
      <c r="G8" s="750" t="s">
        <v>971</v>
      </c>
      <c r="H8" s="839" t="s">
        <v>971</v>
      </c>
      <c r="I8" s="839" t="s">
        <v>971</v>
      </c>
      <c r="J8" s="839" t="s">
        <v>971</v>
      </c>
      <c r="K8" s="841"/>
      <c r="L8" s="839" t="s">
        <v>971</v>
      </c>
      <c r="M8" s="839" t="s">
        <v>971</v>
      </c>
      <c r="N8" s="841"/>
    </row>
    <row r="9" spans="1:14" ht="15">
      <c r="A9" s="842" t="s">
        <v>973</v>
      </c>
      <c r="B9" s="750" t="s">
        <v>971</v>
      </c>
      <c r="C9" s="750" t="s">
        <v>971</v>
      </c>
      <c r="D9" s="750" t="s">
        <v>971</v>
      </c>
      <c r="E9" s="750" t="s">
        <v>971</v>
      </c>
      <c r="F9" s="750" t="s">
        <v>971</v>
      </c>
      <c r="G9" s="750" t="s">
        <v>971</v>
      </c>
      <c r="H9" s="839" t="s">
        <v>971</v>
      </c>
      <c r="I9" s="839" t="s">
        <v>971</v>
      </c>
      <c r="J9" s="839" t="s">
        <v>971</v>
      </c>
      <c r="K9" s="839" t="s">
        <v>971</v>
      </c>
      <c r="L9" s="839" t="s">
        <v>971</v>
      </c>
      <c r="M9" s="839" t="s">
        <v>971</v>
      </c>
      <c r="N9" s="839" t="s">
        <v>971</v>
      </c>
    </row>
    <row r="10" spans="1:14" ht="15">
      <c r="A10" s="844" t="s">
        <v>974</v>
      </c>
      <c r="B10" s="750"/>
      <c r="C10" s="750"/>
      <c r="D10" s="750"/>
      <c r="E10" s="750"/>
      <c r="F10" s="750"/>
      <c r="G10" s="750"/>
      <c r="H10" s="841"/>
      <c r="I10" s="841"/>
      <c r="J10" s="841"/>
      <c r="K10" s="841"/>
      <c r="L10" s="841"/>
      <c r="M10" s="841"/>
      <c r="N10" s="841"/>
    </row>
    <row r="11" spans="1:14" ht="15">
      <c r="A11" s="845" t="s">
        <v>975</v>
      </c>
      <c r="B11" s="750" t="s">
        <v>976</v>
      </c>
      <c r="C11" s="750" t="s">
        <v>976</v>
      </c>
      <c r="D11" s="750" t="s">
        <v>976</v>
      </c>
      <c r="E11" s="750" t="s">
        <v>976</v>
      </c>
      <c r="F11" s="750" t="s">
        <v>976</v>
      </c>
      <c r="G11" s="750" t="s">
        <v>976</v>
      </c>
      <c r="H11" s="839" t="s">
        <v>976</v>
      </c>
      <c r="I11" s="839" t="s">
        <v>976</v>
      </c>
      <c r="J11" s="839" t="s">
        <v>976</v>
      </c>
      <c r="K11" s="839" t="s">
        <v>976</v>
      </c>
      <c r="L11" s="839" t="s">
        <v>976</v>
      </c>
      <c r="M11" s="839" t="s">
        <v>976</v>
      </c>
      <c r="N11" s="839" t="s">
        <v>976</v>
      </c>
    </row>
    <row r="12" spans="1:14" ht="20.25">
      <c r="A12" s="845" t="s">
        <v>660</v>
      </c>
      <c r="B12" s="843" t="s">
        <v>971</v>
      </c>
      <c r="C12" s="843" t="s">
        <v>971</v>
      </c>
      <c r="D12" s="843" t="s">
        <v>971</v>
      </c>
      <c r="E12" s="843" t="s">
        <v>971</v>
      </c>
      <c r="F12" s="750"/>
      <c r="G12" s="750"/>
      <c r="H12" s="841"/>
      <c r="I12" s="841"/>
      <c r="J12" s="841"/>
      <c r="K12" s="841"/>
      <c r="L12" s="1313" t="s">
        <v>976</v>
      </c>
      <c r="M12" s="1313" t="s">
        <v>976</v>
      </c>
      <c r="N12" s="841"/>
    </row>
    <row r="13" spans="1:14" ht="15">
      <c r="A13" s="842" t="s">
        <v>520</v>
      </c>
      <c r="B13" s="750" t="s">
        <v>971</v>
      </c>
      <c r="C13" s="750" t="s">
        <v>971</v>
      </c>
      <c r="D13" s="750" t="s">
        <v>971</v>
      </c>
      <c r="E13" s="750" t="s">
        <v>971</v>
      </c>
      <c r="F13" s="750" t="s">
        <v>976</v>
      </c>
      <c r="G13" s="750" t="s">
        <v>976</v>
      </c>
      <c r="H13" s="841"/>
      <c r="I13" s="841"/>
      <c r="J13" s="841"/>
      <c r="K13" s="841"/>
      <c r="L13" s="841"/>
      <c r="M13" s="841"/>
      <c r="N13" s="841"/>
    </row>
    <row r="14" spans="1:14" ht="15">
      <c r="A14" s="845" t="s">
        <v>661</v>
      </c>
      <c r="B14" s="750" t="s">
        <v>976</v>
      </c>
      <c r="C14" s="750" t="s">
        <v>976</v>
      </c>
      <c r="D14" s="750" t="s">
        <v>976</v>
      </c>
      <c r="E14" s="750" t="s">
        <v>976</v>
      </c>
      <c r="F14" s="1155" t="s">
        <v>976</v>
      </c>
      <c r="G14" s="750" t="s">
        <v>976</v>
      </c>
      <c r="H14" s="839" t="s">
        <v>976</v>
      </c>
      <c r="I14" s="839" t="s">
        <v>976</v>
      </c>
      <c r="J14" s="841"/>
      <c r="K14" s="839" t="s">
        <v>976</v>
      </c>
      <c r="L14" s="839" t="s">
        <v>976</v>
      </c>
      <c r="M14" s="839" t="s">
        <v>976</v>
      </c>
      <c r="N14" s="839" t="s">
        <v>976</v>
      </c>
    </row>
    <row r="15" spans="1:14" ht="14.25">
      <c r="A15" s="842" t="s">
        <v>656</v>
      </c>
      <c r="B15" s="840"/>
      <c r="C15" s="840"/>
      <c r="D15" s="840"/>
      <c r="E15" s="840"/>
      <c r="F15" s="840"/>
      <c r="G15" s="840"/>
      <c r="H15" s="840"/>
      <c r="I15" s="840"/>
      <c r="J15" s="840"/>
      <c r="K15" s="840"/>
      <c r="L15" s="840"/>
      <c r="M15" s="840"/>
      <c r="N15" s="840"/>
    </row>
    <row r="16" spans="1:14" ht="15.75">
      <c r="A16" s="859" t="s">
        <v>807</v>
      </c>
      <c r="B16" s="750"/>
      <c r="C16" s="750"/>
      <c r="D16" s="750"/>
      <c r="E16" s="750"/>
      <c r="F16" s="750"/>
      <c r="G16" s="750"/>
      <c r="H16" s="841"/>
      <c r="I16" s="841"/>
      <c r="J16" s="841"/>
      <c r="K16" s="841"/>
      <c r="L16" s="841"/>
      <c r="M16" s="841"/>
      <c r="N16" s="841"/>
    </row>
    <row r="17" spans="1:14" ht="15">
      <c r="A17" s="1153" t="s">
        <v>808</v>
      </c>
      <c r="B17" s="1325"/>
      <c r="C17" s="1325"/>
      <c r="D17" s="1325"/>
      <c r="E17" s="1325"/>
      <c r="F17" s="1325"/>
      <c r="G17" s="750"/>
      <c r="H17" s="841"/>
      <c r="I17" s="841"/>
      <c r="J17" s="841"/>
      <c r="K17" s="841"/>
      <c r="L17" s="841"/>
      <c r="M17" s="841"/>
      <c r="N17" s="841"/>
    </row>
    <row r="18" spans="1:14" ht="15">
      <c r="A18" s="1153" t="s">
        <v>809</v>
      </c>
      <c r="B18" s="1325"/>
      <c r="C18" s="1325"/>
      <c r="D18" s="1325"/>
      <c r="E18" s="1325"/>
      <c r="F18" s="1325"/>
      <c r="G18" s="750"/>
      <c r="H18" s="841"/>
      <c r="I18" s="841"/>
      <c r="J18" s="841"/>
      <c r="K18" s="841"/>
      <c r="L18" s="841"/>
      <c r="M18" s="841"/>
      <c r="N18" s="841"/>
    </row>
    <row r="19" spans="1:14" ht="15">
      <c r="A19" s="1153"/>
      <c r="B19" s="1325"/>
      <c r="C19" s="1325"/>
      <c r="D19" s="1325"/>
      <c r="E19" s="1325"/>
      <c r="F19" s="1325"/>
      <c r="G19" s="750"/>
      <c r="H19" s="841"/>
      <c r="I19" s="841"/>
      <c r="J19" s="841"/>
      <c r="K19" s="841"/>
      <c r="L19" s="841"/>
      <c r="M19" s="841"/>
      <c r="N19" s="841"/>
    </row>
    <row r="21" spans="1:14" ht="15">
      <c r="A21" s="1326"/>
      <c r="B21" s="1326"/>
      <c r="C21" s="1326"/>
      <c r="D21" s="1326"/>
      <c r="E21" s="1326"/>
      <c r="F21" s="838"/>
      <c r="G21" s="1326"/>
    </row>
    <row r="22" spans="1:14" ht="15">
      <c r="A22" s="1326"/>
      <c r="B22" s="1326"/>
      <c r="C22" s="1326"/>
      <c r="D22" s="1326"/>
      <c r="E22" s="1326"/>
      <c r="F22" s="1326"/>
      <c r="G22" s="1326"/>
    </row>
    <row r="23" spans="1:14" ht="18">
      <c r="A23" s="1327"/>
      <c r="B23" s="1326"/>
      <c r="C23" s="1326"/>
      <c r="D23" s="1326"/>
      <c r="E23" s="1326"/>
      <c r="F23" s="1326"/>
      <c r="G23" s="1326"/>
    </row>
    <row r="24" spans="1:14" ht="15">
      <c r="A24" s="1328"/>
      <c r="B24" s="1328"/>
      <c r="C24" s="1328"/>
      <c r="D24" s="1328"/>
      <c r="E24" s="1328"/>
      <c r="F24" s="1326"/>
      <c r="G24" s="1326"/>
    </row>
    <row r="25" spans="1:14" ht="15">
      <c r="A25" s="1328"/>
      <c r="B25" s="1328"/>
      <c r="C25" s="1328"/>
      <c r="D25" s="1328"/>
      <c r="E25" s="1328"/>
      <c r="F25" s="1326"/>
      <c r="G25" s="1326"/>
    </row>
    <row r="26" spans="1:14" ht="15">
      <c r="A26" s="1328"/>
      <c r="B26" s="1328"/>
      <c r="C26" s="1328"/>
      <c r="D26" s="1328"/>
      <c r="E26" s="1328"/>
      <c r="F26" s="1326"/>
      <c r="G26" s="1326"/>
    </row>
    <row r="27" spans="1:14" ht="15">
      <c r="A27" s="1326"/>
      <c r="B27" s="1326"/>
      <c r="C27" s="1326"/>
      <c r="D27" s="1326"/>
      <c r="E27" s="1326"/>
      <c r="F27" s="1326"/>
      <c r="G27" s="1326"/>
    </row>
    <row r="28" spans="1:14" ht="15">
      <c r="A28" s="751"/>
      <c r="B28" s="1326"/>
      <c r="C28" s="1326"/>
      <c r="D28" s="1326"/>
      <c r="E28" s="1326"/>
      <c r="F28" s="1326"/>
      <c r="G28" s="1326"/>
    </row>
    <row r="29" spans="1:14" ht="15">
      <c r="A29" s="1326"/>
      <c r="B29" s="1326"/>
      <c r="C29" s="1326"/>
      <c r="D29" s="1326"/>
      <c r="E29" s="1326"/>
      <c r="F29" s="1326"/>
      <c r="G29" s="1326"/>
    </row>
    <row r="30" spans="1:14" ht="15">
      <c r="A30" s="1326"/>
      <c r="B30" s="1326"/>
      <c r="C30" s="1326"/>
      <c r="D30" s="1326"/>
      <c r="E30" s="1326"/>
      <c r="F30" s="1326"/>
      <c r="G30" s="1326"/>
    </row>
    <row r="31" spans="1:14" ht="15">
      <c r="A31" s="1326"/>
      <c r="B31" s="1326"/>
      <c r="C31" s="1326"/>
      <c r="D31" s="1326"/>
      <c r="E31" s="1326"/>
      <c r="F31" s="1326"/>
      <c r="G31" s="1326"/>
    </row>
    <row r="32" spans="1:14" ht="15">
      <c r="A32" s="1326"/>
      <c r="B32" s="1326"/>
      <c r="C32" s="1326"/>
      <c r="D32" s="1326"/>
      <c r="E32" s="1326"/>
      <c r="F32" s="1326"/>
      <c r="G32" s="1326"/>
    </row>
    <row r="33" spans="1:7" ht="15">
      <c r="A33" s="1326"/>
      <c r="B33" s="1326"/>
      <c r="C33" s="1326"/>
      <c r="D33" s="1326"/>
      <c r="E33" s="1326"/>
      <c r="F33" s="1326"/>
      <c r="G33" s="1326"/>
    </row>
    <row r="34" spans="1:7" ht="15">
      <c r="A34" s="1326"/>
      <c r="B34" s="1326"/>
      <c r="C34" s="1326"/>
      <c r="D34" s="1326"/>
      <c r="E34" s="1326"/>
      <c r="F34" s="1326"/>
      <c r="G34" s="1326"/>
    </row>
  </sheetData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Ark5"/>
  <dimension ref="A1"/>
  <sheetViews>
    <sheetView workbookViewId="0">
      <selection activeCell="B256" sqref="B256"/>
    </sheetView>
  </sheetViews>
  <sheetFormatPr defaultRowHeight="12.75"/>
  <cols>
    <col min="2" max="2" width="9.140625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Ark7"/>
  <dimension ref="A1"/>
  <sheetViews>
    <sheetView workbookViewId="0">
      <selection activeCell="B256" sqref="B256"/>
    </sheetView>
  </sheetViews>
  <sheetFormatPr defaultRowHeight="12.7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"/>
  <sheetViews>
    <sheetView workbookViewId="0"/>
  </sheetViews>
  <sheetFormatPr defaultRowHeight="12.7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MigreringsDokument" ma:contentTypeID="0x010100B015E2879F2C3E49A84E4FBA662FB26A0046F37DEC036D284BBEE537A85881DFA0" ma:contentTypeVersion="8" ma:contentTypeDescription="" ma:contentTypeScope="" ma:versionID="204b4f41741311cf3d4604c45a43f42c">
  <xsd:schema xmlns:xsd="http://www.w3.org/2001/XMLSchema" xmlns:xs="http://www.w3.org/2001/XMLSchema" xmlns:p="http://schemas.microsoft.com/office/2006/metadata/properties" xmlns:ns2="0dd46b0f-e2c7-4a31-a61e-54a1e81a6d74" targetNamespace="http://schemas.microsoft.com/office/2006/metadata/properties" ma:root="true" ma:fieldsID="5e25330f2461cae1f360396c77e972dd" ns2:_="">
    <xsd:import namespace="0dd46b0f-e2c7-4a31-a61e-54a1e81a6d74"/>
    <xsd:element name="properties">
      <xsd:complexType>
        <xsd:sequence>
          <xsd:element name="documentManagement">
            <xsd:complexType>
              <xsd:all>
                <xsd:element ref="ns2:MigrationPath" minOccurs="0"/>
                <xsd:element ref="ns2:MigrationDirectoryID" minOccurs="0"/>
                <xsd:element ref="ns2:MigrationOriginalDate" minOccurs="0"/>
                <xsd:element ref="ns2:j2c2601e249f4d2993f2fcc4fe83f7c1" minOccurs="0"/>
                <xsd:element ref="ns2:TaxCatchAll" minOccurs="0"/>
                <xsd:element ref="ns2:TaxCatchAllLabe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d46b0f-e2c7-4a31-a61e-54a1e81a6d74" elementFormDefault="qualified">
    <xsd:import namespace="http://schemas.microsoft.com/office/2006/documentManagement/types"/>
    <xsd:import namespace="http://schemas.microsoft.com/office/infopath/2007/PartnerControls"/>
    <xsd:element name="MigrationPath" ma:index="8" nillable="true" ma:displayName="Migreringssti" ma:internalName="MigrationPath" ma:readOnly="false">
      <xsd:simpleType>
        <xsd:restriction base="dms:Text">
          <xsd:maxLength value="255"/>
        </xsd:restriction>
      </xsd:simpleType>
    </xsd:element>
    <xsd:element name="MigrationDirectoryID" ma:index="9" nillable="true" ma:displayName="MigreringsFolderId" ma:internalName="MigrationDirectoryID" ma:readOnly="false">
      <xsd:simpleType>
        <xsd:restriction base="dms:Text">
          <xsd:maxLength value="255"/>
        </xsd:restriction>
      </xsd:simpleType>
    </xsd:element>
    <xsd:element name="MigrationOriginalDate" ma:index="10" nillable="true" ma:displayName="Original dato" ma:description="The modified date from the file system" ma:format="DateTime" ma:internalName="MigrationOriginalDate">
      <xsd:simpleType>
        <xsd:restriction base="dms:DateTime"/>
      </xsd:simpleType>
    </xsd:element>
    <xsd:element name="j2c2601e249f4d2993f2fcc4fe83f7c1" ma:index="11" nillable="true" ma:taxonomy="true" ma:internalName="j2c2601e249f4d2993f2fcc4fe83f7c1" ma:taxonomyFieldName="Sensitivity" ma:displayName="Sensitivity" ma:default="" ma:fieldId="{32c2601e-249f-4d29-93f2-fcc4fe83f7c1}" ma:sspId="e6a412d2-aea5-45d9-add9-4615ec186553" ma:termSetId="2400aab3-62fb-4893-836f-46f56c17e615" ma:anchorId="a96bf159-1ff9-48c6-9318-7ab65633f375" ma:open="false" ma:isKeyword="fals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1adb61e6-50f3-4f94-b9a9-c9b4ea046575}" ma:internalName="TaxCatchAll" ma:showField="CatchAllData" ma:web="45c24c4d-4de2-4a11-996b-ad1b02b5a53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3" nillable="true" ma:displayName="Taxonomy Catch All Column1" ma:hidden="true" ma:list="{1adb61e6-50f3-4f94-b9a9-c9b4ea046575}" ma:internalName="TaxCatchAllLabel" ma:readOnly="true" ma:showField="CatchAllDataLabel" ma:web="45c24c4d-4de2-4a11-996b-ad1b02b5a53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Path xmlns="0dd46b0f-e2c7-4a31-a61e-54a1e81a6d74">\\kk-dfs.kk.dk\of$\KEjd\SERVICE &amp; KUNDER\RÅDHUSSERVICE\Betjent\_Rådhusvagten\Vagtplaner\Vagtplan 2014 - 2015.xlsm</MigrationPath>
    <MigrationDirectoryID xmlns="0dd46b0f-e2c7-4a31-a61e-54a1e81a6d74">EB2DA93E41303435E0260E130F69F969BB3D0AA6</MigrationDirectoryID>
    <MigrationOriginalDate xmlns="0dd46b0f-e2c7-4a31-a61e-54a1e81a6d74" xsi:nil="true"/>
    <TaxCatchAll xmlns="0dd46b0f-e2c7-4a31-a61e-54a1e81a6d74"/>
    <j2c2601e249f4d2993f2fcc4fe83f7c1 xmlns="0dd46b0f-e2c7-4a31-a61e-54a1e81a6d74">
      <Terms xmlns="http://schemas.microsoft.com/office/infopath/2007/PartnerControls"/>
    </j2c2601e249f4d2993f2fcc4fe83f7c1>
  </documentManagement>
</p:properties>
</file>

<file path=customXml/item4.xml><?xml version="1.0" encoding="utf-8"?>
<?mso-contentType ?>
<SharedContentType xmlns="Microsoft.SharePoint.Taxonomy.ContentTypeSync" SourceId="e6a412d2-aea5-45d9-add9-4615ec186553" ContentTypeId="0x010100B015E2879F2C3E49A84E4FBA662FB26A" PreviousValue="false"/>
</file>

<file path=customXml/itemProps1.xml><?xml version="1.0" encoding="utf-8"?>
<ds:datastoreItem xmlns:ds="http://schemas.openxmlformats.org/officeDocument/2006/customXml" ds:itemID="{1EC5347F-BE8B-4E49-A4AB-5A42A36FA95B}"/>
</file>

<file path=customXml/itemProps2.xml><?xml version="1.0" encoding="utf-8"?>
<ds:datastoreItem xmlns:ds="http://schemas.openxmlformats.org/officeDocument/2006/customXml" ds:itemID="{620CE46E-4B35-48E2-8E11-3BD226332512}"/>
</file>

<file path=customXml/itemProps3.xml><?xml version="1.0" encoding="utf-8"?>
<ds:datastoreItem xmlns:ds="http://schemas.openxmlformats.org/officeDocument/2006/customXml" ds:itemID="{032FC870-B6E8-4DAE-9B84-7E3D14313F55}"/>
</file>

<file path=customXml/itemProps4.xml><?xml version="1.0" encoding="utf-8"?>
<ds:datastoreItem xmlns:ds="http://schemas.openxmlformats.org/officeDocument/2006/customXml" ds:itemID="{1F3CF923-2387-4F27-ACC2-5F3C529FBDB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Kff</dc:creator>
  <cp:keywords/>
  <dc:description/>
  <cp:lastModifiedBy>Kemal Türkmen</cp:lastModifiedBy>
  <cp:revision>11</cp:revision>
  <dcterms:created xsi:type="dcterms:W3CDTF">2000-02-23T09:56:36Z</dcterms:created>
  <dcterms:modified xsi:type="dcterms:W3CDTF">2021-11-23T04:37:39Z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ujitsuDocumentOpenedAndNotYetMarkedAsEDocInExcel">
    <vt:bool>false</vt:bool>
  </property>
  <property fmtid="{D5CDD505-2E9C-101B-9397-08002B2CF9AE}" pid="3" name="ICLInviaDenyAllSaves">
    <vt:bool>false</vt:bool>
  </property>
  <property fmtid="{D5CDD505-2E9C-101B-9397-08002B2CF9AE}" pid="4" name="ICLInviaDocumentId">
    <vt:lpwstr>{4E6EB6B6-D0DC-409E-891A-6296969950C6}</vt:lpwstr>
  </property>
  <property fmtid="{D5CDD505-2E9C-101B-9397-08002B2CF9AE}" pid="5" name="ICLInviaIsBeingSaved">
    <vt:bool>true</vt:bool>
  </property>
  <property fmtid="{D5CDD505-2E9C-101B-9397-08002B2CF9AE}" pid="6" name="ICLInviaLocalDocument">
    <vt:bool>true</vt:bool>
  </property>
  <property fmtid="{D5CDD505-2E9C-101B-9397-08002B2CF9AE}" pid="7" name="ICLInviaNewDocument">
    <vt:bool>false</vt:bool>
  </property>
  <property fmtid="{D5CDD505-2E9C-101B-9397-08002B2CF9AE}" pid="8" name="ICLInviaReadOnly">
    <vt:bool>false</vt:bool>
  </property>
  <property fmtid="{D5CDD505-2E9C-101B-9397-08002B2CF9AE}" pid="9" name="ICLInviaTemplate">
    <vt:bool>false</vt:bool>
  </property>
  <property fmtid="{D5CDD505-2E9C-101B-9397-08002B2CF9AE}" pid="10" name="eDocWrapped">
    <vt:bool>true</vt:bool>
  </property>
  <property fmtid="{D5CDD505-2E9C-101B-9397-08002B2CF9AE}" pid="11" name="ContentTypeId">
    <vt:lpwstr>0x010100B015E2879F2C3E49A84E4FBA662FB26A0046F37DEC036D284BBEE537A85881DFA0</vt:lpwstr>
  </property>
  <property fmtid="{D5CDD505-2E9C-101B-9397-08002B2CF9AE}" pid="12" name="Order">
    <vt:r8>100</vt:r8>
  </property>
  <property fmtid="{D5CDD505-2E9C-101B-9397-08002B2CF9AE}" pid="13" name="Sensitivity">
    <vt:lpwstr/>
  </property>
</Properties>
</file>